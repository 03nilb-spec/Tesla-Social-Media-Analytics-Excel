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10.xml" ContentType="application/vnd.openxmlformats-officedocument.spreadsheetml.pivotCacheDefinition+xml"/>
  <Override PartName="/xl/pivotCache/pivotCacheRecords10.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4.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4.xml" ContentType="application/vnd.openxmlformats-officedocument.spreadsheetml.pivotTable+xml"/>
  <Override PartName="/xl/pivotTables/pivotTable25.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7.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Nilesh Bahirgaonkar\Desktop\Internshala\Excel\"/>
    </mc:Choice>
  </mc:AlternateContent>
  <xr:revisionPtr revIDLastSave="0" documentId="13_ncr:1_{5A73F329-D457-4C1C-80A4-8950D141CC2C}" xr6:coauthVersionLast="47" xr6:coauthVersionMax="47" xr10:uidLastSave="{00000000-0000-0000-0000-000000000000}"/>
  <bookViews>
    <workbookView xWindow="-108" yWindow="-108" windowWidth="23256" windowHeight="13896" tabRatio="892" firstSheet="11" activeTab="23" xr2:uid="{CC283848-0129-4705-9BE2-7DD03C05B6AC}"/>
  </bookViews>
  <sheets>
    <sheet name="Posts data" sheetId="1" r:id="rId1"/>
    <sheet name="Engagement summary data" sheetId="2" r:id="rId2"/>
    <sheet name="Campaign data " sheetId="3" r:id="rId3"/>
    <sheet name="Task 2.1" sheetId="5" r:id="rId4"/>
    <sheet name="Task 2.2" sheetId="6" r:id="rId5"/>
    <sheet name="Task 2.3 I" sheetId="8" r:id="rId6"/>
    <sheet name="Task 2.3 II" sheetId="11" r:id="rId7"/>
    <sheet name="Task 2.4" sheetId="12" r:id="rId8"/>
    <sheet name="Task 3.1" sheetId="14" r:id="rId9"/>
    <sheet name="Task 3.2" sheetId="16" r:id="rId10"/>
    <sheet name="Task 3.3" sheetId="21" r:id="rId11"/>
    <sheet name="Task 3.4" sheetId="26" r:id="rId12"/>
    <sheet name="Task 4.1" sheetId="28" r:id="rId13"/>
    <sheet name="Task 4.2" sheetId="33" r:id="rId14"/>
    <sheet name="Task 4.2 Data" sheetId="29" r:id="rId15"/>
    <sheet name="Task 4.3" sheetId="36" r:id="rId16"/>
    <sheet name="Task 4.4" sheetId="37" r:id="rId17"/>
    <sheet name="Task 5.1" sheetId="41" r:id="rId18"/>
    <sheet name="Task 5.2 I" sheetId="44" r:id="rId19"/>
    <sheet name="Task 5.2 II" sheetId="50" r:id="rId20"/>
    <sheet name="Task 6.1" sheetId="46" r:id="rId21"/>
    <sheet name="Task 6.2" sheetId="56" r:id="rId22"/>
    <sheet name="task 6.3" sheetId="58" r:id="rId23"/>
    <sheet name="Task 6.4" sheetId="59" r:id="rId24"/>
  </sheets>
  <definedNames>
    <definedName name="_xlnm._FilterDatabase" localSheetId="1" hidden="1">'Engagement summary data'!$A$1:$J$201</definedName>
    <definedName name="_xlnm._FilterDatabase" localSheetId="0" hidden="1">'Posts data'!$L$1:$L$301</definedName>
    <definedName name="_xlnm._FilterDatabase" localSheetId="14" hidden="1">'Task 4.2 Data'!$A$1:$A$918</definedName>
    <definedName name="Campaign_Name">'Posts data'!$L$2:$L$301</definedName>
    <definedName name="Clicks">'Posts data'!$K$2:$K$301</definedName>
    <definedName name="Comments">'Posts data'!$H$2:$H$301</definedName>
    <definedName name="Content_Type">'Posts data'!$D$2:$D$301</definedName>
    <definedName name="Date">'Posts data'!$C$2:$C$301</definedName>
    <definedName name="Engagement_rate">'Posts data'!$P$2:$P$301</definedName>
    <definedName name="Hashtag_1">'Posts data'!$M$2:$M$301</definedName>
    <definedName name="Hashtag_2">'Posts data'!$N$2:$N$301</definedName>
    <definedName name="Hashtag_3">'Posts data'!$O$2:$O$301</definedName>
    <definedName name="Impressions">'Posts data'!$I$2:$I$301</definedName>
    <definedName name="Likes">'Posts data'!$F$2:$F$301</definedName>
    <definedName name="Platform">'Posts data'!$B$2:$B$301</definedName>
    <definedName name="Post_ID">'Posts data'!$A$2:$A$301</definedName>
    <definedName name="Post_Text">'Posts data'!$E$2:$E$301</definedName>
    <definedName name="Reach">'Posts data'!$J$2:$J$301</definedName>
    <definedName name="Shares">'Posts data'!$G$2:$G$301</definedName>
    <definedName name="Slicer_Content_Type">#N/A</definedName>
    <definedName name="Slicer_Hashtag_1">#N/A</definedName>
    <definedName name="Slicer_Hashtag_2">#N/A</definedName>
    <definedName name="Slicer_Hashtag_3">#N/A</definedName>
  </definedNames>
  <calcPr calcId="191029"/>
  <pivotCaches>
    <pivotCache cacheId="0" r:id="rId25"/>
    <pivotCache cacheId="1" r:id="rId26"/>
    <pivotCache cacheId="2" r:id="rId27"/>
    <pivotCache cacheId="3" r:id="rId28"/>
    <pivotCache cacheId="4" r:id="rId29"/>
    <pivotCache cacheId="5" r:id="rId30"/>
    <pivotCache cacheId="6" r:id="rId31"/>
    <pivotCache cacheId="7" r:id="rId32"/>
    <pivotCache cacheId="8" r:id="rId33"/>
    <pivotCache cacheId="9" r:id="rId34"/>
  </pivotCaches>
  <extLst>
    <ext xmlns:x14="http://schemas.microsoft.com/office/spreadsheetml/2009/9/main" uri="{BBE1A952-AA13-448e-AADC-164F8A28A991}">
      <x14:slicerCaches>
        <x14:slicerCache r:id="rId35"/>
        <x14:slicerCache r:id="rId36"/>
        <x14:slicerCache r:id="rId37"/>
        <x14:slicerCache r:id="rId3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63" i="6" l="1"/>
  <c r="Q180" i="6"/>
  <c r="Q183" i="6"/>
  <c r="Q85" i="6"/>
  <c r="Q112" i="6"/>
  <c r="Q106" i="6"/>
  <c r="Q94" i="6"/>
  <c r="Q61" i="6"/>
  <c r="Q42" i="6"/>
  <c r="Q184" i="6"/>
  <c r="Q174" i="6"/>
  <c r="Q256" i="6"/>
  <c r="Q64" i="6"/>
  <c r="Q87" i="6"/>
  <c r="Q114" i="6"/>
  <c r="Q58" i="6"/>
  <c r="Q141" i="6"/>
  <c r="Q261" i="6"/>
  <c r="Q67" i="6"/>
  <c r="Q20" i="6"/>
  <c r="Q238" i="6"/>
  <c r="Q215" i="6"/>
  <c r="Q74" i="6"/>
  <c r="Q150" i="6"/>
  <c r="Q137" i="6"/>
  <c r="Q220" i="6"/>
  <c r="Q283" i="6"/>
  <c r="Q198" i="6"/>
  <c r="Q163" i="6"/>
  <c r="Q293" i="6"/>
  <c r="Q209" i="6"/>
  <c r="Q230" i="6"/>
  <c r="Q234" i="6"/>
  <c r="Q121" i="6"/>
  <c r="Q43" i="6"/>
  <c r="Q107" i="6"/>
  <c r="Q148" i="6"/>
  <c r="Q103" i="6"/>
  <c r="Q33" i="6"/>
  <c r="Q269" i="6"/>
  <c r="Q200" i="6"/>
  <c r="Q188" i="6"/>
  <c r="Q155" i="6"/>
  <c r="Q135" i="6"/>
  <c r="Q270" i="6"/>
  <c r="Q145" i="6"/>
  <c r="Q197" i="6"/>
  <c r="Q177" i="6"/>
  <c r="Q178" i="6"/>
  <c r="Q181" i="6"/>
  <c r="Q257" i="6"/>
  <c r="Q271" i="6"/>
  <c r="Q170" i="6"/>
  <c r="Q275" i="6"/>
  <c r="Q134" i="6"/>
  <c r="Q144" i="6"/>
  <c r="Q290" i="6"/>
  <c r="Q191" i="6"/>
  <c r="Q242" i="6"/>
  <c r="Q2" i="6"/>
  <c r="Q299" i="6"/>
  <c r="Q83" i="6"/>
  <c r="Q149" i="6"/>
  <c r="Q214" i="6"/>
  <c r="Q291" i="6"/>
  <c r="Q28" i="6"/>
  <c r="Q172" i="6"/>
  <c r="Q218" i="6"/>
  <c r="Q274" i="6"/>
  <c r="Q142" i="6"/>
  <c r="Q300" i="6"/>
  <c r="Q54" i="6"/>
  <c r="Q226" i="6"/>
  <c r="Q202" i="6"/>
  <c r="Q280" i="6"/>
  <c r="Q251" i="6"/>
  <c r="Q265" i="6"/>
  <c r="Q151" i="6"/>
  <c r="Q168" i="6"/>
  <c r="Q243" i="6"/>
  <c r="Q281" i="6"/>
  <c r="Q263" i="6"/>
  <c r="Q171" i="6"/>
  <c r="Q77" i="6"/>
  <c r="Q133" i="6"/>
  <c r="Q199" i="6"/>
  <c r="Q294" i="6"/>
  <c r="Q208" i="6"/>
  <c r="Q66" i="6"/>
  <c r="Q239" i="6"/>
  <c r="Q46" i="6"/>
  <c r="Q219" i="6"/>
  <c r="Q166" i="6"/>
  <c r="Q131" i="6"/>
  <c r="Q236" i="6"/>
  <c r="Q29" i="6"/>
  <c r="Q190" i="6"/>
  <c r="Q76" i="6"/>
  <c r="Q225" i="6"/>
  <c r="Q22" i="6"/>
  <c r="Q231" i="6"/>
  <c r="Q120" i="6"/>
  <c r="Q93" i="6"/>
  <c r="Q296" i="6"/>
  <c r="Q8" i="6"/>
  <c r="Q15" i="6"/>
  <c r="Q36" i="6"/>
  <c r="Q110" i="6"/>
  <c r="Q81" i="6"/>
  <c r="Q173" i="6"/>
  <c r="Q169" i="6"/>
  <c r="Q57" i="6"/>
  <c r="Q45" i="6"/>
  <c r="Q204" i="6"/>
  <c r="Q105" i="6"/>
  <c r="Q216" i="6"/>
  <c r="Q27" i="6"/>
  <c r="Q165" i="6"/>
  <c r="Q240" i="6"/>
  <c r="Q262" i="6"/>
  <c r="Q97" i="6"/>
  <c r="Q48" i="6"/>
  <c r="Q254" i="6"/>
  <c r="Q70" i="6"/>
  <c r="Q89" i="6"/>
  <c r="Q90" i="6"/>
  <c r="Q154" i="6"/>
  <c r="Q179" i="6"/>
  <c r="Q158" i="6"/>
  <c r="Q16" i="6"/>
  <c r="Q185" i="6"/>
  <c r="Q201" i="6"/>
  <c r="Q122" i="6"/>
  <c r="Q68" i="6"/>
  <c r="Q95" i="6"/>
  <c r="Q164" i="6"/>
  <c r="Q295" i="6"/>
  <c r="Q167" i="6"/>
  <c r="Q187" i="6"/>
  <c r="Q99" i="6"/>
  <c r="Q196" i="6"/>
  <c r="Q298" i="6"/>
  <c r="Q3" i="6"/>
  <c r="Q232" i="6"/>
  <c r="Q124" i="6"/>
  <c r="Q123" i="6"/>
  <c r="Q65" i="6"/>
  <c r="Q206" i="6"/>
  <c r="Q26" i="6"/>
  <c r="Q130" i="6"/>
  <c r="Q18" i="6"/>
  <c r="Q282" i="6"/>
  <c r="Q228" i="6"/>
  <c r="Q207" i="6"/>
  <c r="Q80" i="6"/>
  <c r="Q47" i="6"/>
  <c r="Q210" i="6"/>
  <c r="Q195" i="6"/>
  <c r="Q252" i="6"/>
  <c r="Q9" i="6"/>
  <c r="Q116" i="6"/>
  <c r="Q41" i="6"/>
  <c r="Q4" i="6"/>
  <c r="Q153" i="6"/>
  <c r="Q255" i="6"/>
  <c r="Q17" i="6"/>
  <c r="Q160" i="6"/>
  <c r="Q109" i="6"/>
  <c r="Q86" i="6"/>
  <c r="Q250" i="6"/>
  <c r="Q136" i="6"/>
  <c r="Q224" i="6"/>
  <c r="Q113" i="6"/>
  <c r="Q286" i="6"/>
  <c r="Q118" i="6"/>
  <c r="Q126" i="6"/>
  <c r="Q289" i="6"/>
  <c r="Q73" i="6"/>
  <c r="Q104" i="6"/>
  <c r="Q246" i="6"/>
  <c r="Q40" i="6"/>
  <c r="Q277" i="6"/>
  <c r="Q101" i="6"/>
  <c r="Q82" i="6"/>
  <c r="Q84" i="6"/>
  <c r="Q223" i="6"/>
  <c r="Q156" i="6"/>
  <c r="Q100" i="6"/>
  <c r="Q229" i="6"/>
  <c r="Q23" i="6"/>
  <c r="Q237" i="6"/>
  <c r="Q34" i="6"/>
  <c r="Q49" i="6"/>
  <c r="Q259" i="6"/>
  <c r="Q213" i="6"/>
  <c r="Q21" i="6"/>
  <c r="Q245" i="6"/>
  <c r="Q176" i="6"/>
  <c r="Q98" i="6"/>
  <c r="Q278" i="6"/>
  <c r="Q217" i="6"/>
  <c r="Q117" i="6"/>
  <c r="Q159" i="6"/>
  <c r="Q78" i="6"/>
  <c r="Q267" i="6"/>
  <c r="Q69" i="6"/>
  <c r="Q132" i="6"/>
  <c r="Q143" i="6"/>
  <c r="Q260" i="6"/>
  <c r="Q221" i="6"/>
  <c r="Q79" i="6"/>
  <c r="Q138" i="6"/>
  <c r="Q264" i="6"/>
  <c r="Q7" i="6"/>
  <c r="Q253" i="6"/>
  <c r="Q14" i="6"/>
  <c r="Q193" i="6"/>
  <c r="Q249" i="6"/>
  <c r="Q288" i="6"/>
  <c r="Q62" i="6"/>
  <c r="Q192" i="6"/>
  <c r="Q139" i="6"/>
  <c r="Q276" i="6"/>
  <c r="Q56" i="6"/>
  <c r="Q227" i="6"/>
  <c r="Q297" i="6"/>
  <c r="Q10" i="6"/>
  <c r="Q13" i="6"/>
  <c r="Q125" i="6"/>
  <c r="Q247" i="6"/>
  <c r="Q287" i="6"/>
  <c r="Q194" i="6"/>
  <c r="Q248" i="6"/>
  <c r="Q92" i="6"/>
  <c r="Q258" i="6"/>
  <c r="Q75" i="6"/>
  <c r="Q25" i="6"/>
  <c r="Q38" i="6"/>
  <c r="Q273" i="6"/>
  <c r="Q30" i="6"/>
  <c r="Q35" i="6"/>
  <c r="Q72" i="6"/>
  <c r="Q6" i="6"/>
  <c r="Q51" i="6"/>
  <c r="Q268" i="6"/>
  <c r="Q111" i="6"/>
  <c r="Q284" i="6"/>
  <c r="Q279" i="6"/>
  <c r="Q59" i="6"/>
  <c r="Q212" i="6"/>
  <c r="Q205" i="6"/>
  <c r="Q88" i="6"/>
  <c r="Q186" i="6"/>
  <c r="Q91" i="6"/>
  <c r="Q222" i="6"/>
  <c r="Q128" i="6"/>
  <c r="Q102" i="6"/>
  <c r="Q292" i="6"/>
  <c r="Q32" i="6"/>
  <c r="Q5" i="6"/>
  <c r="Q272" i="6"/>
  <c r="Q152" i="6"/>
  <c r="Q301" i="6"/>
  <c r="Q189" i="6"/>
  <c r="Q50" i="6"/>
  <c r="Q108" i="6"/>
  <c r="Q60" i="6"/>
  <c r="Q52" i="6"/>
  <c r="Q119" i="6"/>
  <c r="Q96" i="6"/>
  <c r="Q19" i="6"/>
  <c r="Q129" i="6"/>
  <c r="Q115" i="6"/>
  <c r="Q182" i="6"/>
  <c r="Q244" i="6"/>
  <c r="Q39" i="6"/>
  <c r="Q24" i="6"/>
  <c r="Q11" i="6"/>
  <c r="Q31" i="6"/>
  <c r="Q147" i="6"/>
  <c r="Q235" i="6"/>
  <c r="Q140" i="6"/>
  <c r="Q285" i="6"/>
  <c r="Q71" i="6"/>
  <c r="Q127" i="6"/>
  <c r="Q233" i="6"/>
  <c r="Q12" i="6"/>
  <c r="Q162" i="6"/>
  <c r="Q175" i="6"/>
  <c r="Q55" i="6"/>
  <c r="Q266" i="6"/>
  <c r="Q146" i="6"/>
  <c r="Q44" i="6"/>
  <c r="Q211" i="6"/>
  <c r="Q157" i="6"/>
  <c r="Q203" i="6"/>
  <c r="Q53" i="6"/>
  <c r="Q161" i="6"/>
  <c r="Q37" i="6"/>
  <c r="Q241" i="6"/>
  <c r="I22" i="50"/>
  <c r="I23" i="50"/>
  <c r="I24" i="50"/>
  <c r="I21" i="50"/>
  <c r="B19" i="44"/>
  <c r="B20" i="44"/>
  <c r="B21" i="44"/>
  <c r="B18" i="44"/>
  <c r="I901" i="29"/>
  <c r="H901" i="29"/>
  <c r="I900" i="29"/>
  <c r="H900" i="29"/>
  <c r="I899" i="29"/>
  <c r="H899" i="29"/>
  <c r="I898" i="29"/>
  <c r="H898" i="29"/>
  <c r="I897" i="29"/>
  <c r="H897" i="29"/>
  <c r="I896" i="29"/>
  <c r="H896" i="29"/>
  <c r="I895" i="29"/>
  <c r="H895" i="29"/>
  <c r="I894" i="29"/>
  <c r="H894" i="29"/>
  <c r="I893" i="29"/>
  <c r="H893" i="29"/>
  <c r="I892" i="29"/>
  <c r="H892" i="29"/>
  <c r="I891" i="29"/>
  <c r="H891" i="29"/>
  <c r="I890" i="29"/>
  <c r="H890" i="29"/>
  <c r="I889" i="29"/>
  <c r="H889" i="29"/>
  <c r="I888" i="29"/>
  <c r="H888" i="29"/>
  <c r="I887" i="29"/>
  <c r="H887" i="29"/>
  <c r="I886" i="29"/>
  <c r="H886" i="29"/>
  <c r="I885" i="29"/>
  <c r="H885" i="29"/>
  <c r="I884" i="29"/>
  <c r="H884" i="29"/>
  <c r="I883" i="29"/>
  <c r="H883" i="29"/>
  <c r="I882" i="29"/>
  <c r="H882" i="29"/>
  <c r="I881" i="29"/>
  <c r="H881" i="29"/>
  <c r="I880" i="29"/>
  <c r="H880" i="29"/>
  <c r="I879" i="29"/>
  <c r="H879" i="29"/>
  <c r="I878" i="29"/>
  <c r="H878" i="29"/>
  <c r="I877" i="29"/>
  <c r="H877" i="29"/>
  <c r="I876" i="29"/>
  <c r="H876" i="29"/>
  <c r="I875" i="29"/>
  <c r="H875" i="29"/>
  <c r="I874" i="29"/>
  <c r="H874" i="29"/>
  <c r="I873" i="29"/>
  <c r="H873" i="29"/>
  <c r="I872" i="29"/>
  <c r="H872" i="29"/>
  <c r="I871" i="29"/>
  <c r="H871" i="29"/>
  <c r="I870" i="29"/>
  <c r="H870" i="29"/>
  <c r="I869" i="29"/>
  <c r="H869" i="29"/>
  <c r="I868" i="29"/>
  <c r="H868" i="29"/>
  <c r="I867" i="29"/>
  <c r="H867" i="29"/>
  <c r="I866" i="29"/>
  <c r="H866" i="29"/>
  <c r="I865" i="29"/>
  <c r="H865" i="29"/>
  <c r="I864" i="29"/>
  <c r="H864" i="29"/>
  <c r="I863" i="29"/>
  <c r="H863" i="29"/>
  <c r="I862" i="29"/>
  <c r="H862" i="29"/>
  <c r="I861" i="29"/>
  <c r="H861" i="29"/>
  <c r="I860" i="29"/>
  <c r="H860" i="29"/>
  <c r="I859" i="29"/>
  <c r="H859" i="29"/>
  <c r="I858" i="29"/>
  <c r="H858" i="29"/>
  <c r="I857" i="29"/>
  <c r="H857" i="29"/>
  <c r="I856" i="29"/>
  <c r="H856" i="29"/>
  <c r="I855" i="29"/>
  <c r="H855" i="29"/>
  <c r="I854" i="29"/>
  <c r="H854" i="29"/>
  <c r="I853" i="29"/>
  <c r="H853" i="29"/>
  <c r="I852" i="29"/>
  <c r="H852" i="29"/>
  <c r="I851" i="29"/>
  <c r="H851" i="29"/>
  <c r="I850" i="29"/>
  <c r="H850" i="29"/>
  <c r="I849" i="29"/>
  <c r="H849" i="29"/>
  <c r="I848" i="29"/>
  <c r="H848" i="29"/>
  <c r="I847" i="29"/>
  <c r="H847" i="29"/>
  <c r="I846" i="29"/>
  <c r="H846" i="29"/>
  <c r="I845" i="29"/>
  <c r="H845" i="29"/>
  <c r="I844" i="29"/>
  <c r="H844" i="29"/>
  <c r="I843" i="29"/>
  <c r="H843" i="29"/>
  <c r="I842" i="29"/>
  <c r="H842" i="29"/>
  <c r="I841" i="29"/>
  <c r="H841" i="29"/>
  <c r="I840" i="29"/>
  <c r="H840" i="29"/>
  <c r="I839" i="29"/>
  <c r="H839" i="29"/>
  <c r="I838" i="29"/>
  <c r="H838" i="29"/>
  <c r="I837" i="29"/>
  <c r="H837" i="29"/>
  <c r="I836" i="29"/>
  <c r="H836" i="29"/>
  <c r="I835" i="29"/>
  <c r="H835" i="29"/>
  <c r="I834" i="29"/>
  <c r="H834" i="29"/>
  <c r="I833" i="29"/>
  <c r="H833" i="29"/>
  <c r="I832" i="29"/>
  <c r="H832" i="29"/>
  <c r="I831" i="29"/>
  <c r="H831" i="29"/>
  <c r="I830" i="29"/>
  <c r="H830" i="29"/>
  <c r="I829" i="29"/>
  <c r="H829" i="29"/>
  <c r="I828" i="29"/>
  <c r="H828" i="29"/>
  <c r="I827" i="29"/>
  <c r="H827" i="29"/>
  <c r="I826" i="29"/>
  <c r="H826" i="29"/>
  <c r="I825" i="29"/>
  <c r="H825" i="29"/>
  <c r="I824" i="29"/>
  <c r="H824" i="29"/>
  <c r="I823" i="29"/>
  <c r="H823" i="29"/>
  <c r="I822" i="29"/>
  <c r="H822" i="29"/>
  <c r="I821" i="29"/>
  <c r="H821" i="29"/>
  <c r="I820" i="29"/>
  <c r="H820" i="29"/>
  <c r="I819" i="29"/>
  <c r="H819" i="29"/>
  <c r="I818" i="29"/>
  <c r="H818" i="29"/>
  <c r="I817" i="29"/>
  <c r="H817" i="29"/>
  <c r="I816" i="29"/>
  <c r="H816" i="29"/>
  <c r="I815" i="29"/>
  <c r="H815" i="29"/>
  <c r="I814" i="29"/>
  <c r="H814" i="29"/>
  <c r="I813" i="29"/>
  <c r="H813" i="29"/>
  <c r="I812" i="29"/>
  <c r="H812" i="29"/>
  <c r="I811" i="29"/>
  <c r="H811" i="29"/>
  <c r="I810" i="29"/>
  <c r="H810" i="29"/>
  <c r="I809" i="29"/>
  <c r="H809" i="29"/>
  <c r="I808" i="29"/>
  <c r="H808" i="29"/>
  <c r="I807" i="29"/>
  <c r="H807" i="29"/>
  <c r="I806" i="29"/>
  <c r="H806" i="29"/>
  <c r="I805" i="29"/>
  <c r="H805" i="29"/>
  <c r="I804" i="29"/>
  <c r="H804" i="29"/>
  <c r="I803" i="29"/>
  <c r="H803" i="29"/>
  <c r="I802" i="29"/>
  <c r="H802" i="29"/>
  <c r="I801" i="29"/>
  <c r="H801" i="29"/>
  <c r="I800" i="29"/>
  <c r="H800" i="29"/>
  <c r="I799" i="29"/>
  <c r="H799" i="29"/>
  <c r="I798" i="29"/>
  <c r="H798" i="29"/>
  <c r="I797" i="29"/>
  <c r="H797" i="29"/>
  <c r="I796" i="29"/>
  <c r="H796" i="29"/>
  <c r="I795" i="29"/>
  <c r="H795" i="29"/>
  <c r="I794" i="29"/>
  <c r="H794" i="29"/>
  <c r="I793" i="29"/>
  <c r="H793" i="29"/>
  <c r="I792" i="29"/>
  <c r="H792" i="29"/>
  <c r="I791" i="29"/>
  <c r="H791" i="29"/>
  <c r="I790" i="29"/>
  <c r="H790" i="29"/>
  <c r="I789" i="29"/>
  <c r="H789" i="29"/>
  <c r="I788" i="29"/>
  <c r="H788" i="29"/>
  <c r="I787" i="29"/>
  <c r="H787" i="29"/>
  <c r="I786" i="29"/>
  <c r="H786" i="29"/>
  <c r="I785" i="29"/>
  <c r="H785" i="29"/>
  <c r="I784" i="29"/>
  <c r="H784" i="29"/>
  <c r="I783" i="29"/>
  <c r="H783" i="29"/>
  <c r="I782" i="29"/>
  <c r="H782" i="29"/>
  <c r="I781" i="29"/>
  <c r="H781" i="29"/>
  <c r="I780" i="29"/>
  <c r="H780" i="29"/>
  <c r="I779" i="29"/>
  <c r="H779" i="29"/>
  <c r="I778" i="29"/>
  <c r="H778" i="29"/>
  <c r="I777" i="29"/>
  <c r="H777" i="29"/>
  <c r="I776" i="29"/>
  <c r="H776" i="29"/>
  <c r="I775" i="29"/>
  <c r="H775" i="29"/>
  <c r="I774" i="29"/>
  <c r="H774" i="29"/>
  <c r="I773" i="29"/>
  <c r="H773" i="29"/>
  <c r="I772" i="29"/>
  <c r="H772" i="29"/>
  <c r="I771" i="29"/>
  <c r="H771" i="29"/>
  <c r="I770" i="29"/>
  <c r="H770" i="29"/>
  <c r="I769" i="29"/>
  <c r="H769" i="29"/>
  <c r="I768" i="29"/>
  <c r="H768" i="29"/>
  <c r="I767" i="29"/>
  <c r="H767" i="29"/>
  <c r="I766" i="29"/>
  <c r="H766" i="29"/>
  <c r="I765" i="29"/>
  <c r="H765" i="29"/>
  <c r="I764" i="29"/>
  <c r="H764" i="29"/>
  <c r="I763" i="29"/>
  <c r="H763" i="29"/>
  <c r="I762" i="29"/>
  <c r="H762" i="29"/>
  <c r="I761" i="29"/>
  <c r="H761" i="29"/>
  <c r="I760" i="29"/>
  <c r="H760" i="29"/>
  <c r="I759" i="29"/>
  <c r="H759" i="29"/>
  <c r="I758" i="29"/>
  <c r="H758" i="29"/>
  <c r="I757" i="29"/>
  <c r="H757" i="29"/>
  <c r="I756" i="29"/>
  <c r="H756" i="29"/>
  <c r="I755" i="29"/>
  <c r="H755" i="29"/>
  <c r="I754" i="29"/>
  <c r="H754" i="29"/>
  <c r="I753" i="29"/>
  <c r="H753" i="29"/>
  <c r="I752" i="29"/>
  <c r="H752" i="29"/>
  <c r="I751" i="29"/>
  <c r="H751" i="29"/>
  <c r="I750" i="29"/>
  <c r="H750" i="29"/>
  <c r="I749" i="29"/>
  <c r="H749" i="29"/>
  <c r="I748" i="29"/>
  <c r="H748" i="29"/>
  <c r="I747" i="29"/>
  <c r="H747" i="29"/>
  <c r="I746" i="29"/>
  <c r="H746" i="29"/>
  <c r="I745" i="29"/>
  <c r="H745" i="29"/>
  <c r="I744" i="29"/>
  <c r="H744" i="29"/>
  <c r="I743" i="29"/>
  <c r="H743" i="29"/>
  <c r="I742" i="29"/>
  <c r="H742" i="29"/>
  <c r="I741" i="29"/>
  <c r="H741" i="29"/>
  <c r="I740" i="29"/>
  <c r="H740" i="29"/>
  <c r="I739" i="29"/>
  <c r="H739" i="29"/>
  <c r="I738" i="29"/>
  <c r="H738" i="29"/>
  <c r="I737" i="29"/>
  <c r="H737" i="29"/>
  <c r="I736" i="29"/>
  <c r="H736" i="29"/>
  <c r="I735" i="29"/>
  <c r="H735" i="29"/>
  <c r="I734" i="29"/>
  <c r="H734" i="29"/>
  <c r="I733" i="29"/>
  <c r="H733" i="29"/>
  <c r="I732" i="29"/>
  <c r="H732" i="29"/>
  <c r="I731" i="29"/>
  <c r="H731" i="29"/>
  <c r="I730" i="29"/>
  <c r="H730" i="29"/>
  <c r="I729" i="29"/>
  <c r="H729" i="29"/>
  <c r="I728" i="29"/>
  <c r="H728" i="29"/>
  <c r="I727" i="29"/>
  <c r="H727" i="29"/>
  <c r="I726" i="29"/>
  <c r="H726" i="29"/>
  <c r="I725" i="29"/>
  <c r="H725" i="29"/>
  <c r="I724" i="29"/>
  <c r="H724" i="29"/>
  <c r="I723" i="29"/>
  <c r="H723" i="29"/>
  <c r="I722" i="29"/>
  <c r="H722" i="29"/>
  <c r="I721" i="29"/>
  <c r="H721" i="29"/>
  <c r="I720" i="29"/>
  <c r="H720" i="29"/>
  <c r="I719" i="29"/>
  <c r="H719" i="29"/>
  <c r="I718" i="29"/>
  <c r="H718" i="29"/>
  <c r="I717" i="29"/>
  <c r="H717" i="29"/>
  <c r="I716" i="29"/>
  <c r="H716" i="29"/>
  <c r="I715" i="29"/>
  <c r="H715" i="29"/>
  <c r="I714" i="29"/>
  <c r="H714" i="29"/>
  <c r="I713" i="29"/>
  <c r="H713" i="29"/>
  <c r="I712" i="29"/>
  <c r="H712" i="29"/>
  <c r="I711" i="29"/>
  <c r="H711" i="29"/>
  <c r="I710" i="29"/>
  <c r="H710" i="29"/>
  <c r="I709" i="29"/>
  <c r="H709" i="29"/>
  <c r="I708" i="29"/>
  <c r="H708" i="29"/>
  <c r="I707" i="29"/>
  <c r="H707" i="29"/>
  <c r="I706" i="29"/>
  <c r="H706" i="29"/>
  <c r="I705" i="29"/>
  <c r="H705" i="29"/>
  <c r="I704" i="29"/>
  <c r="H704" i="29"/>
  <c r="I703" i="29"/>
  <c r="H703" i="29"/>
  <c r="I702" i="29"/>
  <c r="H702" i="29"/>
  <c r="I701" i="29"/>
  <c r="H701" i="29"/>
  <c r="I700" i="29"/>
  <c r="H700" i="29"/>
  <c r="I699" i="29"/>
  <c r="H699" i="29"/>
  <c r="I698" i="29"/>
  <c r="H698" i="29"/>
  <c r="I697" i="29"/>
  <c r="H697" i="29"/>
  <c r="I696" i="29"/>
  <c r="H696" i="29"/>
  <c r="I695" i="29"/>
  <c r="H695" i="29"/>
  <c r="I694" i="29"/>
  <c r="H694" i="29"/>
  <c r="I693" i="29"/>
  <c r="H693" i="29"/>
  <c r="I692" i="29"/>
  <c r="H692" i="29"/>
  <c r="I691" i="29"/>
  <c r="H691" i="29"/>
  <c r="I690" i="29"/>
  <c r="H690" i="29"/>
  <c r="I689" i="29"/>
  <c r="H689" i="29"/>
  <c r="I688" i="29"/>
  <c r="H688" i="29"/>
  <c r="I687" i="29"/>
  <c r="H687" i="29"/>
  <c r="I686" i="29"/>
  <c r="H686" i="29"/>
  <c r="I685" i="29"/>
  <c r="H685" i="29"/>
  <c r="I684" i="29"/>
  <c r="H684" i="29"/>
  <c r="I683" i="29"/>
  <c r="H683" i="29"/>
  <c r="I682" i="29"/>
  <c r="H682" i="29"/>
  <c r="I681" i="29"/>
  <c r="H681" i="29"/>
  <c r="I680" i="29"/>
  <c r="H680" i="29"/>
  <c r="I679" i="29"/>
  <c r="H679" i="29"/>
  <c r="I678" i="29"/>
  <c r="H678" i="29"/>
  <c r="I677" i="29"/>
  <c r="H677" i="29"/>
  <c r="I676" i="29"/>
  <c r="H676" i="29"/>
  <c r="I675" i="29"/>
  <c r="H675" i="29"/>
  <c r="I674" i="29"/>
  <c r="H674" i="29"/>
  <c r="I673" i="29"/>
  <c r="H673" i="29"/>
  <c r="I672" i="29"/>
  <c r="H672" i="29"/>
  <c r="I671" i="29"/>
  <c r="H671" i="29"/>
  <c r="I670" i="29"/>
  <c r="H670" i="29"/>
  <c r="I669" i="29"/>
  <c r="H669" i="29"/>
  <c r="I668" i="29"/>
  <c r="H668" i="29"/>
  <c r="I667" i="29"/>
  <c r="H667" i="29"/>
  <c r="I666" i="29"/>
  <c r="H666" i="29"/>
  <c r="I665" i="29"/>
  <c r="H665" i="29"/>
  <c r="I664" i="29"/>
  <c r="H664" i="29"/>
  <c r="I663" i="29"/>
  <c r="H663" i="29"/>
  <c r="I662" i="29"/>
  <c r="H662" i="29"/>
  <c r="I661" i="29"/>
  <c r="H661" i="29"/>
  <c r="I660" i="29"/>
  <c r="H660" i="29"/>
  <c r="I659" i="29"/>
  <c r="H659" i="29"/>
  <c r="I658" i="29"/>
  <c r="H658" i="29"/>
  <c r="I657" i="29"/>
  <c r="H657" i="29"/>
  <c r="I656" i="29"/>
  <c r="H656" i="29"/>
  <c r="I655" i="29"/>
  <c r="H655" i="29"/>
  <c r="I654" i="29"/>
  <c r="H654" i="29"/>
  <c r="I653" i="29"/>
  <c r="H653" i="29"/>
  <c r="I652" i="29"/>
  <c r="H652" i="29"/>
  <c r="I651" i="29"/>
  <c r="H651" i="29"/>
  <c r="I650" i="29"/>
  <c r="H650" i="29"/>
  <c r="I649" i="29"/>
  <c r="H649" i="29"/>
  <c r="I648" i="29"/>
  <c r="H648" i="29"/>
  <c r="I647" i="29"/>
  <c r="H647" i="29"/>
  <c r="I646" i="29"/>
  <c r="H646" i="29"/>
  <c r="I645" i="29"/>
  <c r="H645" i="29"/>
  <c r="I644" i="29"/>
  <c r="H644" i="29"/>
  <c r="I643" i="29"/>
  <c r="H643" i="29"/>
  <c r="I642" i="29"/>
  <c r="H642" i="29"/>
  <c r="I641" i="29"/>
  <c r="H641" i="29"/>
  <c r="I640" i="29"/>
  <c r="H640" i="29"/>
  <c r="I639" i="29"/>
  <c r="H639" i="29"/>
  <c r="I638" i="29"/>
  <c r="H638" i="29"/>
  <c r="I637" i="29"/>
  <c r="H637" i="29"/>
  <c r="I636" i="29"/>
  <c r="H636" i="29"/>
  <c r="I635" i="29"/>
  <c r="H635" i="29"/>
  <c r="I634" i="29"/>
  <c r="H634" i="29"/>
  <c r="I633" i="29"/>
  <c r="H633" i="29"/>
  <c r="I632" i="29"/>
  <c r="H632" i="29"/>
  <c r="I631" i="29"/>
  <c r="H631" i="29"/>
  <c r="I630" i="29"/>
  <c r="H630" i="29"/>
  <c r="I629" i="29"/>
  <c r="H629" i="29"/>
  <c r="I628" i="29"/>
  <c r="H628" i="29"/>
  <c r="I627" i="29"/>
  <c r="H627" i="29"/>
  <c r="I626" i="29"/>
  <c r="H626" i="29"/>
  <c r="I625" i="29"/>
  <c r="H625" i="29"/>
  <c r="I624" i="29"/>
  <c r="H624" i="29"/>
  <c r="I623" i="29"/>
  <c r="H623" i="29"/>
  <c r="I622" i="29"/>
  <c r="H622" i="29"/>
  <c r="I621" i="29"/>
  <c r="H621" i="29"/>
  <c r="I620" i="29"/>
  <c r="H620" i="29"/>
  <c r="I619" i="29"/>
  <c r="H619" i="29"/>
  <c r="I618" i="29"/>
  <c r="H618" i="29"/>
  <c r="I617" i="29"/>
  <c r="H617" i="29"/>
  <c r="I616" i="29"/>
  <c r="H616" i="29"/>
  <c r="I615" i="29"/>
  <c r="H615" i="29"/>
  <c r="I614" i="29"/>
  <c r="H614" i="29"/>
  <c r="I613" i="29"/>
  <c r="H613" i="29"/>
  <c r="I612" i="29"/>
  <c r="H612" i="29"/>
  <c r="I611" i="29"/>
  <c r="H611" i="29"/>
  <c r="I610" i="29"/>
  <c r="H610" i="29"/>
  <c r="I609" i="29"/>
  <c r="H609" i="29"/>
  <c r="I608" i="29"/>
  <c r="H608" i="29"/>
  <c r="I607" i="29"/>
  <c r="H607" i="29"/>
  <c r="I606" i="29"/>
  <c r="H606" i="29"/>
  <c r="I605" i="29"/>
  <c r="H605" i="29"/>
  <c r="I604" i="29"/>
  <c r="H604" i="29"/>
  <c r="I603" i="29"/>
  <c r="H603" i="29"/>
  <c r="I602" i="29"/>
  <c r="H602" i="29"/>
  <c r="I601" i="29"/>
  <c r="H601" i="29"/>
  <c r="I600" i="29"/>
  <c r="H600" i="29"/>
  <c r="I599" i="29"/>
  <c r="H599" i="29"/>
  <c r="I598" i="29"/>
  <c r="H598" i="29"/>
  <c r="I597" i="29"/>
  <c r="H597" i="29"/>
  <c r="I596" i="29"/>
  <c r="H596" i="29"/>
  <c r="I595" i="29"/>
  <c r="H595" i="29"/>
  <c r="I594" i="29"/>
  <c r="H594" i="29"/>
  <c r="I593" i="29"/>
  <c r="H593" i="29"/>
  <c r="I592" i="29"/>
  <c r="H592" i="29"/>
  <c r="I591" i="29"/>
  <c r="H591" i="29"/>
  <c r="I590" i="29"/>
  <c r="H590" i="29"/>
  <c r="I589" i="29"/>
  <c r="H589" i="29"/>
  <c r="I588" i="29"/>
  <c r="H588" i="29"/>
  <c r="I587" i="29"/>
  <c r="H587" i="29"/>
  <c r="I586" i="29"/>
  <c r="H586" i="29"/>
  <c r="I585" i="29"/>
  <c r="H585" i="29"/>
  <c r="I584" i="29"/>
  <c r="H584" i="29"/>
  <c r="I583" i="29"/>
  <c r="H583" i="29"/>
  <c r="I582" i="29"/>
  <c r="H582" i="29"/>
  <c r="I581" i="29"/>
  <c r="H581" i="29"/>
  <c r="I580" i="29"/>
  <c r="H580" i="29"/>
  <c r="I579" i="29"/>
  <c r="H579" i="29"/>
  <c r="I578" i="29"/>
  <c r="H578" i="29"/>
  <c r="I577" i="29"/>
  <c r="H577" i="29"/>
  <c r="I576" i="29"/>
  <c r="H576" i="29"/>
  <c r="I575" i="29"/>
  <c r="H575" i="29"/>
  <c r="I574" i="29"/>
  <c r="H574" i="29"/>
  <c r="I573" i="29"/>
  <c r="H573" i="29"/>
  <c r="I572" i="29"/>
  <c r="H572" i="29"/>
  <c r="I571" i="29"/>
  <c r="H571" i="29"/>
  <c r="I570" i="29"/>
  <c r="H570" i="29"/>
  <c r="I569" i="29"/>
  <c r="H569" i="29"/>
  <c r="I568" i="29"/>
  <c r="H568" i="29"/>
  <c r="I567" i="29"/>
  <c r="H567" i="29"/>
  <c r="I566" i="29"/>
  <c r="H566" i="29"/>
  <c r="I565" i="29"/>
  <c r="H565" i="29"/>
  <c r="I564" i="29"/>
  <c r="H564" i="29"/>
  <c r="I563" i="29"/>
  <c r="H563" i="29"/>
  <c r="I562" i="29"/>
  <c r="H562" i="29"/>
  <c r="I561" i="29"/>
  <c r="H561" i="29"/>
  <c r="I560" i="29"/>
  <c r="H560" i="29"/>
  <c r="I559" i="29"/>
  <c r="H559" i="29"/>
  <c r="I558" i="29"/>
  <c r="H558" i="29"/>
  <c r="I557" i="29"/>
  <c r="H557" i="29"/>
  <c r="I556" i="29"/>
  <c r="H556" i="29"/>
  <c r="I555" i="29"/>
  <c r="H555" i="29"/>
  <c r="I554" i="29"/>
  <c r="H554" i="29"/>
  <c r="I553" i="29"/>
  <c r="H553" i="29"/>
  <c r="I552" i="29"/>
  <c r="H552" i="29"/>
  <c r="I551" i="29"/>
  <c r="H551" i="29"/>
  <c r="I550" i="29"/>
  <c r="H550" i="29"/>
  <c r="I549" i="29"/>
  <c r="H549" i="29"/>
  <c r="I548" i="29"/>
  <c r="H548" i="29"/>
  <c r="I547" i="29"/>
  <c r="H547" i="29"/>
  <c r="I546" i="29"/>
  <c r="H546" i="29"/>
  <c r="I545" i="29"/>
  <c r="H545" i="29"/>
  <c r="I544" i="29"/>
  <c r="H544" i="29"/>
  <c r="I543" i="29"/>
  <c r="H543" i="29"/>
  <c r="I542" i="29"/>
  <c r="H542" i="29"/>
  <c r="I541" i="29"/>
  <c r="H541" i="29"/>
  <c r="I540" i="29"/>
  <c r="H540" i="29"/>
  <c r="I539" i="29"/>
  <c r="H539" i="29"/>
  <c r="I538" i="29"/>
  <c r="H538" i="29"/>
  <c r="I537" i="29"/>
  <c r="H537" i="29"/>
  <c r="I536" i="29"/>
  <c r="H536" i="29"/>
  <c r="I535" i="29"/>
  <c r="H535" i="29"/>
  <c r="I534" i="29"/>
  <c r="H534" i="29"/>
  <c r="I533" i="29"/>
  <c r="H533" i="29"/>
  <c r="I532" i="29"/>
  <c r="H532" i="29"/>
  <c r="I531" i="29"/>
  <c r="H531" i="29"/>
  <c r="I530" i="29"/>
  <c r="H530" i="29"/>
  <c r="I529" i="29"/>
  <c r="H529" i="29"/>
  <c r="I528" i="29"/>
  <c r="H528" i="29"/>
  <c r="I527" i="29"/>
  <c r="H527" i="29"/>
  <c r="I526" i="29"/>
  <c r="H526" i="29"/>
  <c r="I525" i="29"/>
  <c r="H525" i="29"/>
  <c r="I524" i="29"/>
  <c r="H524" i="29"/>
  <c r="I523" i="29"/>
  <c r="H523" i="29"/>
  <c r="I522" i="29"/>
  <c r="H522" i="29"/>
  <c r="I521" i="29"/>
  <c r="H521" i="29"/>
  <c r="I520" i="29"/>
  <c r="H520" i="29"/>
  <c r="I519" i="29"/>
  <c r="H519" i="29"/>
  <c r="I518" i="29"/>
  <c r="H518" i="29"/>
  <c r="I517" i="29"/>
  <c r="H517" i="29"/>
  <c r="I516" i="29"/>
  <c r="H516" i="29"/>
  <c r="I515" i="29"/>
  <c r="H515" i="29"/>
  <c r="I514" i="29"/>
  <c r="H514" i="29"/>
  <c r="I513" i="29"/>
  <c r="H513" i="29"/>
  <c r="I512" i="29"/>
  <c r="H512" i="29"/>
  <c r="I511" i="29"/>
  <c r="H511" i="29"/>
  <c r="I510" i="29"/>
  <c r="H510" i="29"/>
  <c r="I509" i="29"/>
  <c r="H509" i="29"/>
  <c r="I508" i="29"/>
  <c r="H508" i="29"/>
  <c r="I507" i="29"/>
  <c r="H507" i="29"/>
  <c r="I506" i="29"/>
  <c r="H506" i="29"/>
  <c r="I505" i="29"/>
  <c r="H505" i="29"/>
  <c r="I504" i="29"/>
  <c r="H504" i="29"/>
  <c r="I503" i="29"/>
  <c r="H503" i="29"/>
  <c r="I502" i="29"/>
  <c r="H502" i="29"/>
  <c r="I501" i="29"/>
  <c r="H501" i="29"/>
  <c r="I500" i="29"/>
  <c r="H500" i="29"/>
  <c r="I499" i="29"/>
  <c r="H499" i="29"/>
  <c r="I498" i="29"/>
  <c r="H498" i="29"/>
  <c r="I497" i="29"/>
  <c r="H497" i="29"/>
  <c r="I496" i="29"/>
  <c r="H496" i="29"/>
  <c r="I495" i="29"/>
  <c r="H495" i="29"/>
  <c r="I494" i="29"/>
  <c r="H494" i="29"/>
  <c r="I493" i="29"/>
  <c r="H493" i="29"/>
  <c r="I492" i="29"/>
  <c r="H492" i="29"/>
  <c r="I491" i="29"/>
  <c r="H491" i="29"/>
  <c r="I490" i="29"/>
  <c r="H490" i="29"/>
  <c r="I489" i="29"/>
  <c r="H489" i="29"/>
  <c r="I488" i="29"/>
  <c r="H488" i="29"/>
  <c r="I487" i="29"/>
  <c r="H487" i="29"/>
  <c r="I486" i="29"/>
  <c r="H486" i="29"/>
  <c r="I485" i="29"/>
  <c r="H485" i="29"/>
  <c r="I484" i="29"/>
  <c r="H484" i="29"/>
  <c r="I483" i="29"/>
  <c r="H483" i="29"/>
  <c r="I482" i="29"/>
  <c r="H482" i="29"/>
  <c r="I481" i="29"/>
  <c r="H481" i="29"/>
  <c r="I480" i="29"/>
  <c r="H480" i="29"/>
  <c r="I479" i="29"/>
  <c r="H479" i="29"/>
  <c r="I478" i="29"/>
  <c r="H478" i="29"/>
  <c r="I477" i="29"/>
  <c r="H477" i="29"/>
  <c r="I476" i="29"/>
  <c r="H476" i="29"/>
  <c r="I475" i="29"/>
  <c r="H475" i="29"/>
  <c r="I474" i="29"/>
  <c r="H474" i="29"/>
  <c r="I473" i="29"/>
  <c r="H473" i="29"/>
  <c r="I472" i="29"/>
  <c r="H472" i="29"/>
  <c r="I471" i="29"/>
  <c r="H471" i="29"/>
  <c r="I470" i="29"/>
  <c r="H470" i="29"/>
  <c r="I469" i="29"/>
  <c r="H469" i="29"/>
  <c r="I468" i="29"/>
  <c r="H468" i="29"/>
  <c r="I467" i="29"/>
  <c r="H467" i="29"/>
  <c r="I466" i="29"/>
  <c r="H466" i="29"/>
  <c r="I465" i="29"/>
  <c r="H465" i="29"/>
  <c r="I464" i="29"/>
  <c r="H464" i="29"/>
  <c r="I463" i="29"/>
  <c r="H463" i="29"/>
  <c r="I462" i="29"/>
  <c r="H462" i="29"/>
  <c r="I461" i="29"/>
  <c r="H461" i="29"/>
  <c r="I460" i="29"/>
  <c r="H460" i="29"/>
  <c r="I459" i="29"/>
  <c r="H459" i="29"/>
  <c r="I458" i="29"/>
  <c r="H458" i="29"/>
  <c r="I457" i="29"/>
  <c r="H457" i="29"/>
  <c r="I456" i="29"/>
  <c r="H456" i="29"/>
  <c r="I455" i="29"/>
  <c r="H455" i="29"/>
  <c r="I454" i="29"/>
  <c r="H454" i="29"/>
  <c r="I453" i="29"/>
  <c r="H453" i="29"/>
  <c r="I452" i="29"/>
  <c r="H452" i="29"/>
  <c r="I451" i="29"/>
  <c r="H451" i="29"/>
  <c r="I450" i="29"/>
  <c r="H450" i="29"/>
  <c r="I449" i="29"/>
  <c r="H449" i="29"/>
  <c r="I448" i="29"/>
  <c r="H448" i="29"/>
  <c r="I447" i="29"/>
  <c r="H447" i="29"/>
  <c r="I446" i="29"/>
  <c r="H446" i="29"/>
  <c r="I445" i="29"/>
  <c r="H445" i="29"/>
  <c r="I444" i="29"/>
  <c r="H444" i="29"/>
  <c r="I443" i="29"/>
  <c r="H443" i="29"/>
  <c r="I442" i="29"/>
  <c r="H442" i="29"/>
  <c r="I441" i="29"/>
  <c r="H441" i="29"/>
  <c r="I440" i="29"/>
  <c r="H440" i="29"/>
  <c r="I439" i="29"/>
  <c r="H439" i="29"/>
  <c r="I438" i="29"/>
  <c r="H438" i="29"/>
  <c r="I437" i="29"/>
  <c r="H437" i="29"/>
  <c r="I436" i="29"/>
  <c r="H436" i="29"/>
  <c r="I435" i="29"/>
  <c r="H435" i="29"/>
  <c r="I434" i="29"/>
  <c r="H434" i="29"/>
  <c r="I433" i="29"/>
  <c r="H433" i="29"/>
  <c r="I432" i="29"/>
  <c r="H432" i="29"/>
  <c r="I431" i="29"/>
  <c r="H431" i="29"/>
  <c r="I430" i="29"/>
  <c r="H430" i="29"/>
  <c r="I429" i="29"/>
  <c r="H429" i="29"/>
  <c r="I428" i="29"/>
  <c r="H428" i="29"/>
  <c r="I427" i="29"/>
  <c r="H427" i="29"/>
  <c r="I426" i="29"/>
  <c r="H426" i="29"/>
  <c r="I425" i="29"/>
  <c r="H425" i="29"/>
  <c r="I424" i="29"/>
  <c r="H424" i="29"/>
  <c r="I423" i="29"/>
  <c r="H423" i="29"/>
  <c r="I422" i="29"/>
  <c r="H422" i="29"/>
  <c r="I421" i="29"/>
  <c r="H421" i="29"/>
  <c r="I420" i="29"/>
  <c r="H420" i="29"/>
  <c r="I419" i="29"/>
  <c r="H419" i="29"/>
  <c r="I418" i="29"/>
  <c r="H418" i="29"/>
  <c r="I417" i="29"/>
  <c r="H417" i="29"/>
  <c r="I416" i="29"/>
  <c r="H416" i="29"/>
  <c r="I415" i="29"/>
  <c r="H415" i="29"/>
  <c r="I414" i="29"/>
  <c r="H414" i="29"/>
  <c r="I413" i="29"/>
  <c r="H413" i="29"/>
  <c r="I412" i="29"/>
  <c r="H412" i="29"/>
  <c r="I411" i="29"/>
  <c r="H411" i="29"/>
  <c r="I410" i="29"/>
  <c r="H410" i="29"/>
  <c r="I409" i="29"/>
  <c r="H409" i="29"/>
  <c r="I408" i="29"/>
  <c r="H408" i="29"/>
  <c r="I407" i="29"/>
  <c r="H407" i="29"/>
  <c r="I406" i="29"/>
  <c r="H406" i="29"/>
  <c r="I405" i="29"/>
  <c r="H405" i="29"/>
  <c r="I404" i="29"/>
  <c r="H404" i="29"/>
  <c r="I403" i="29"/>
  <c r="H403" i="29"/>
  <c r="I402" i="29"/>
  <c r="H402" i="29"/>
  <c r="I401" i="29"/>
  <c r="H401" i="29"/>
  <c r="I400" i="29"/>
  <c r="H400" i="29"/>
  <c r="I399" i="29"/>
  <c r="H399" i="29"/>
  <c r="I398" i="29"/>
  <c r="H398" i="29"/>
  <c r="I397" i="29"/>
  <c r="H397" i="29"/>
  <c r="I396" i="29"/>
  <c r="H396" i="29"/>
  <c r="I395" i="29"/>
  <c r="H395" i="29"/>
  <c r="I394" i="29"/>
  <c r="H394" i="29"/>
  <c r="I393" i="29"/>
  <c r="H393" i="29"/>
  <c r="I392" i="29"/>
  <c r="H392" i="29"/>
  <c r="I391" i="29"/>
  <c r="H391" i="29"/>
  <c r="I390" i="29"/>
  <c r="H390" i="29"/>
  <c r="I389" i="29"/>
  <c r="H389" i="29"/>
  <c r="I388" i="29"/>
  <c r="H388" i="29"/>
  <c r="I387" i="29"/>
  <c r="H387" i="29"/>
  <c r="I386" i="29"/>
  <c r="H386" i="29"/>
  <c r="I385" i="29"/>
  <c r="H385" i="29"/>
  <c r="I384" i="29"/>
  <c r="H384" i="29"/>
  <c r="I383" i="29"/>
  <c r="H383" i="29"/>
  <c r="I382" i="29"/>
  <c r="H382" i="29"/>
  <c r="I381" i="29"/>
  <c r="H381" i="29"/>
  <c r="I380" i="29"/>
  <c r="H380" i="29"/>
  <c r="I379" i="29"/>
  <c r="H379" i="29"/>
  <c r="I378" i="29"/>
  <c r="H378" i="29"/>
  <c r="I377" i="29"/>
  <c r="H377" i="29"/>
  <c r="I376" i="29"/>
  <c r="H376" i="29"/>
  <c r="I375" i="29"/>
  <c r="H375" i="29"/>
  <c r="I374" i="29"/>
  <c r="H374" i="29"/>
  <c r="I373" i="29"/>
  <c r="H373" i="29"/>
  <c r="I372" i="29"/>
  <c r="H372" i="29"/>
  <c r="I371" i="29"/>
  <c r="H371" i="29"/>
  <c r="I370" i="29"/>
  <c r="H370" i="29"/>
  <c r="I369" i="29"/>
  <c r="H369" i="29"/>
  <c r="I368" i="29"/>
  <c r="H368" i="29"/>
  <c r="I367" i="29"/>
  <c r="H367" i="29"/>
  <c r="I366" i="29"/>
  <c r="H366" i="29"/>
  <c r="I365" i="29"/>
  <c r="H365" i="29"/>
  <c r="I364" i="29"/>
  <c r="H364" i="29"/>
  <c r="I363" i="29"/>
  <c r="H363" i="29"/>
  <c r="I362" i="29"/>
  <c r="H362" i="29"/>
  <c r="I361" i="29"/>
  <c r="H361" i="29"/>
  <c r="I360" i="29"/>
  <c r="H360" i="29"/>
  <c r="I359" i="29"/>
  <c r="H359" i="29"/>
  <c r="I358" i="29"/>
  <c r="H358" i="29"/>
  <c r="I357" i="29"/>
  <c r="H357" i="29"/>
  <c r="I356" i="29"/>
  <c r="H356" i="29"/>
  <c r="I355" i="29"/>
  <c r="H355" i="29"/>
  <c r="I354" i="29"/>
  <c r="H354" i="29"/>
  <c r="I353" i="29"/>
  <c r="H353" i="29"/>
  <c r="I352" i="29"/>
  <c r="H352" i="29"/>
  <c r="I351" i="29"/>
  <c r="H351" i="29"/>
  <c r="I350" i="29"/>
  <c r="H350" i="29"/>
  <c r="I349" i="29"/>
  <c r="H349" i="29"/>
  <c r="I348" i="29"/>
  <c r="H348" i="29"/>
  <c r="I347" i="29"/>
  <c r="H347" i="29"/>
  <c r="I346" i="29"/>
  <c r="H346" i="29"/>
  <c r="I345" i="29"/>
  <c r="H345" i="29"/>
  <c r="I344" i="29"/>
  <c r="H344" i="29"/>
  <c r="I343" i="29"/>
  <c r="H343" i="29"/>
  <c r="I342" i="29"/>
  <c r="H342" i="29"/>
  <c r="I341" i="29"/>
  <c r="H341" i="29"/>
  <c r="I340" i="29"/>
  <c r="H340" i="29"/>
  <c r="I339" i="29"/>
  <c r="H339" i="29"/>
  <c r="I338" i="29"/>
  <c r="H338" i="29"/>
  <c r="I337" i="29"/>
  <c r="H337" i="29"/>
  <c r="I336" i="29"/>
  <c r="H336" i="29"/>
  <c r="I335" i="29"/>
  <c r="H335" i="29"/>
  <c r="I334" i="29"/>
  <c r="H334" i="29"/>
  <c r="I333" i="29"/>
  <c r="H333" i="29"/>
  <c r="I332" i="29"/>
  <c r="H332" i="29"/>
  <c r="I331" i="29"/>
  <c r="H331" i="29"/>
  <c r="I330" i="29"/>
  <c r="H330" i="29"/>
  <c r="I329" i="29"/>
  <c r="H329" i="29"/>
  <c r="I328" i="29"/>
  <c r="H328" i="29"/>
  <c r="I327" i="29"/>
  <c r="H327" i="29"/>
  <c r="I326" i="29"/>
  <c r="H326" i="29"/>
  <c r="I325" i="29"/>
  <c r="H325" i="29"/>
  <c r="I324" i="29"/>
  <c r="H324" i="29"/>
  <c r="I323" i="29"/>
  <c r="H323" i="29"/>
  <c r="I322" i="29"/>
  <c r="H322" i="29"/>
  <c r="I321" i="29"/>
  <c r="H321" i="29"/>
  <c r="I320" i="29"/>
  <c r="H320" i="29"/>
  <c r="I319" i="29"/>
  <c r="H319" i="29"/>
  <c r="I318" i="29"/>
  <c r="H318" i="29"/>
  <c r="I317" i="29"/>
  <c r="H317" i="29"/>
  <c r="I316" i="29"/>
  <c r="H316" i="29"/>
  <c r="I315" i="29"/>
  <c r="H315" i="29"/>
  <c r="I314" i="29"/>
  <c r="H314" i="29"/>
  <c r="I313" i="29"/>
  <c r="H313" i="29"/>
  <c r="I312" i="29"/>
  <c r="H312" i="29"/>
  <c r="I311" i="29"/>
  <c r="H311" i="29"/>
  <c r="I310" i="29"/>
  <c r="H310" i="29"/>
  <c r="I309" i="29"/>
  <c r="H309" i="29"/>
  <c r="I308" i="29"/>
  <c r="H308" i="29"/>
  <c r="I307" i="29"/>
  <c r="H307" i="29"/>
  <c r="I306" i="29"/>
  <c r="H306" i="29"/>
  <c r="I305" i="29"/>
  <c r="H305" i="29"/>
  <c r="I304" i="29"/>
  <c r="H304" i="29"/>
  <c r="I303" i="29"/>
  <c r="H303" i="29"/>
  <c r="I302" i="29"/>
  <c r="H302" i="29"/>
  <c r="I301" i="29"/>
  <c r="H301" i="29"/>
  <c r="I300" i="29"/>
  <c r="H300" i="29"/>
  <c r="I299" i="29"/>
  <c r="H299" i="29"/>
  <c r="I298" i="29"/>
  <c r="H298" i="29"/>
  <c r="I297" i="29"/>
  <c r="H297" i="29"/>
  <c r="I296" i="29"/>
  <c r="H296" i="29"/>
  <c r="I295" i="29"/>
  <c r="H295" i="29"/>
  <c r="I294" i="29"/>
  <c r="H294" i="29"/>
  <c r="I293" i="29"/>
  <c r="H293" i="29"/>
  <c r="I292" i="29"/>
  <c r="H292" i="29"/>
  <c r="I291" i="29"/>
  <c r="H291" i="29"/>
  <c r="I290" i="29"/>
  <c r="H290" i="29"/>
  <c r="I289" i="29"/>
  <c r="H289" i="29"/>
  <c r="I288" i="29"/>
  <c r="H288" i="29"/>
  <c r="I287" i="29"/>
  <c r="H287" i="29"/>
  <c r="I286" i="29"/>
  <c r="H286" i="29"/>
  <c r="I285" i="29"/>
  <c r="H285" i="29"/>
  <c r="I284" i="29"/>
  <c r="H284" i="29"/>
  <c r="I283" i="29"/>
  <c r="H283" i="29"/>
  <c r="I282" i="29"/>
  <c r="H282" i="29"/>
  <c r="I281" i="29"/>
  <c r="H281" i="29"/>
  <c r="I280" i="29"/>
  <c r="H280" i="29"/>
  <c r="I279" i="29"/>
  <c r="H279" i="29"/>
  <c r="I278" i="29"/>
  <c r="H278" i="29"/>
  <c r="I277" i="29"/>
  <c r="H277" i="29"/>
  <c r="I276" i="29"/>
  <c r="H276" i="29"/>
  <c r="I275" i="29"/>
  <c r="H275" i="29"/>
  <c r="I274" i="29"/>
  <c r="H274" i="29"/>
  <c r="I273" i="29"/>
  <c r="H273" i="29"/>
  <c r="I272" i="29"/>
  <c r="H272" i="29"/>
  <c r="I271" i="29"/>
  <c r="H271" i="29"/>
  <c r="I270" i="29"/>
  <c r="H270" i="29"/>
  <c r="I269" i="29"/>
  <c r="H269" i="29"/>
  <c r="I268" i="29"/>
  <c r="H268" i="29"/>
  <c r="I267" i="29"/>
  <c r="H267" i="29"/>
  <c r="I266" i="29"/>
  <c r="H266" i="29"/>
  <c r="I265" i="29"/>
  <c r="H265" i="29"/>
  <c r="I264" i="29"/>
  <c r="H264" i="29"/>
  <c r="I263" i="29"/>
  <c r="H263" i="29"/>
  <c r="I262" i="29"/>
  <c r="H262" i="29"/>
  <c r="I261" i="29"/>
  <c r="H261" i="29"/>
  <c r="I260" i="29"/>
  <c r="H260" i="29"/>
  <c r="I259" i="29"/>
  <c r="H259" i="29"/>
  <c r="I258" i="29"/>
  <c r="H258" i="29"/>
  <c r="I257" i="29"/>
  <c r="H257" i="29"/>
  <c r="I256" i="29"/>
  <c r="H256" i="29"/>
  <c r="I255" i="29"/>
  <c r="H255" i="29"/>
  <c r="I254" i="29"/>
  <c r="H254" i="29"/>
  <c r="I253" i="29"/>
  <c r="H253" i="29"/>
  <c r="I252" i="29"/>
  <c r="H252" i="29"/>
  <c r="I251" i="29"/>
  <c r="H251" i="29"/>
  <c r="I250" i="29"/>
  <c r="H250" i="29"/>
  <c r="I249" i="29"/>
  <c r="H249" i="29"/>
  <c r="I248" i="29"/>
  <c r="H248" i="29"/>
  <c r="I247" i="29"/>
  <c r="H247" i="29"/>
  <c r="I246" i="29"/>
  <c r="H246" i="29"/>
  <c r="I245" i="29"/>
  <c r="H245" i="29"/>
  <c r="I244" i="29"/>
  <c r="H244" i="29"/>
  <c r="I243" i="29"/>
  <c r="H243" i="29"/>
  <c r="I242" i="29"/>
  <c r="H242" i="29"/>
  <c r="I241" i="29"/>
  <c r="H241" i="29"/>
  <c r="I240" i="29"/>
  <c r="H240" i="29"/>
  <c r="I239" i="29"/>
  <c r="H239" i="29"/>
  <c r="I238" i="29"/>
  <c r="H238" i="29"/>
  <c r="I237" i="29"/>
  <c r="H237" i="29"/>
  <c r="I236" i="29"/>
  <c r="H236" i="29"/>
  <c r="I235" i="29"/>
  <c r="H235" i="29"/>
  <c r="I234" i="29"/>
  <c r="H234" i="29"/>
  <c r="I233" i="29"/>
  <c r="H233" i="29"/>
  <c r="I232" i="29"/>
  <c r="H232" i="29"/>
  <c r="I231" i="29"/>
  <c r="H231" i="29"/>
  <c r="I230" i="29"/>
  <c r="H230" i="29"/>
  <c r="I229" i="29"/>
  <c r="H229" i="29"/>
  <c r="I228" i="29"/>
  <c r="H228" i="29"/>
  <c r="I227" i="29"/>
  <c r="H227" i="29"/>
  <c r="I226" i="29"/>
  <c r="H226" i="29"/>
  <c r="I225" i="29"/>
  <c r="H225" i="29"/>
  <c r="I224" i="29"/>
  <c r="H224" i="29"/>
  <c r="I223" i="29"/>
  <c r="H223" i="29"/>
  <c r="I222" i="29"/>
  <c r="H222" i="29"/>
  <c r="I221" i="29"/>
  <c r="H221" i="29"/>
  <c r="I220" i="29"/>
  <c r="H220" i="29"/>
  <c r="I219" i="29"/>
  <c r="H219" i="29"/>
  <c r="I218" i="29"/>
  <c r="H218" i="29"/>
  <c r="I217" i="29"/>
  <c r="H217" i="29"/>
  <c r="I216" i="29"/>
  <c r="H216" i="29"/>
  <c r="I215" i="29"/>
  <c r="H215" i="29"/>
  <c r="I214" i="29"/>
  <c r="H214" i="29"/>
  <c r="I213" i="29"/>
  <c r="H213" i="29"/>
  <c r="I212" i="29"/>
  <c r="H212" i="29"/>
  <c r="I211" i="29"/>
  <c r="H211" i="29"/>
  <c r="I210" i="29"/>
  <c r="H210" i="29"/>
  <c r="I209" i="29"/>
  <c r="H209" i="29"/>
  <c r="I208" i="29"/>
  <c r="H208" i="29"/>
  <c r="I207" i="29"/>
  <c r="H207" i="29"/>
  <c r="I206" i="29"/>
  <c r="H206" i="29"/>
  <c r="I205" i="29"/>
  <c r="H205" i="29"/>
  <c r="I204" i="29"/>
  <c r="H204" i="29"/>
  <c r="I203" i="29"/>
  <c r="H203" i="29"/>
  <c r="I202" i="29"/>
  <c r="H202" i="29"/>
  <c r="I201" i="29"/>
  <c r="H201" i="29"/>
  <c r="I200" i="29"/>
  <c r="H200" i="29"/>
  <c r="I199" i="29"/>
  <c r="H199" i="29"/>
  <c r="I198" i="29"/>
  <c r="H198" i="29"/>
  <c r="I197" i="29"/>
  <c r="H197" i="29"/>
  <c r="I196" i="29"/>
  <c r="H196" i="29"/>
  <c r="I195" i="29"/>
  <c r="H195" i="29"/>
  <c r="I194" i="29"/>
  <c r="H194" i="29"/>
  <c r="I193" i="29"/>
  <c r="H193" i="29"/>
  <c r="I192" i="29"/>
  <c r="H192" i="29"/>
  <c r="I191" i="29"/>
  <c r="H191" i="29"/>
  <c r="I190" i="29"/>
  <c r="H190" i="29"/>
  <c r="I189" i="29"/>
  <c r="H189" i="29"/>
  <c r="I188" i="29"/>
  <c r="H188" i="29"/>
  <c r="I187" i="29"/>
  <c r="H187" i="29"/>
  <c r="I186" i="29"/>
  <c r="H186" i="29"/>
  <c r="I185" i="29"/>
  <c r="H185" i="29"/>
  <c r="I184" i="29"/>
  <c r="H184" i="29"/>
  <c r="I183" i="29"/>
  <c r="H183" i="29"/>
  <c r="I182" i="29"/>
  <c r="H182" i="29"/>
  <c r="I181" i="29"/>
  <c r="H181" i="29"/>
  <c r="I180" i="29"/>
  <c r="H180" i="29"/>
  <c r="I179" i="29"/>
  <c r="H179" i="29"/>
  <c r="I178" i="29"/>
  <c r="H178" i="29"/>
  <c r="I177" i="29"/>
  <c r="H177" i="29"/>
  <c r="I176" i="29"/>
  <c r="H176" i="29"/>
  <c r="I175" i="29"/>
  <c r="H175" i="29"/>
  <c r="I174" i="29"/>
  <c r="H174" i="29"/>
  <c r="I173" i="29"/>
  <c r="H173" i="29"/>
  <c r="I172" i="29"/>
  <c r="H172" i="29"/>
  <c r="I171" i="29"/>
  <c r="H171" i="29"/>
  <c r="I170" i="29"/>
  <c r="H170" i="29"/>
  <c r="I169" i="29"/>
  <c r="H169" i="29"/>
  <c r="I168" i="29"/>
  <c r="H168" i="29"/>
  <c r="I167" i="29"/>
  <c r="H167" i="29"/>
  <c r="I166" i="29"/>
  <c r="H166" i="29"/>
  <c r="I165" i="29"/>
  <c r="H165" i="29"/>
  <c r="I164" i="29"/>
  <c r="H164" i="29"/>
  <c r="I163" i="29"/>
  <c r="H163" i="29"/>
  <c r="I162" i="29"/>
  <c r="H162" i="29"/>
  <c r="I161" i="29"/>
  <c r="H161" i="29"/>
  <c r="I160" i="29"/>
  <c r="H160" i="29"/>
  <c r="I159" i="29"/>
  <c r="H159" i="29"/>
  <c r="I158" i="29"/>
  <c r="H158" i="29"/>
  <c r="I157" i="29"/>
  <c r="H157" i="29"/>
  <c r="I156" i="29"/>
  <c r="H156" i="29"/>
  <c r="I155" i="29"/>
  <c r="H155" i="29"/>
  <c r="I154" i="29"/>
  <c r="H154" i="29"/>
  <c r="I153" i="29"/>
  <c r="H153" i="29"/>
  <c r="I152" i="29"/>
  <c r="H152" i="29"/>
  <c r="I151" i="29"/>
  <c r="H151" i="29"/>
  <c r="I150" i="29"/>
  <c r="H150" i="29"/>
  <c r="I149" i="29"/>
  <c r="H149" i="29"/>
  <c r="I148" i="29"/>
  <c r="H148" i="29"/>
  <c r="I147" i="29"/>
  <c r="H147" i="29"/>
  <c r="I146" i="29"/>
  <c r="H146" i="29"/>
  <c r="I145" i="29"/>
  <c r="H145" i="29"/>
  <c r="I144" i="29"/>
  <c r="H144" i="29"/>
  <c r="I143" i="29"/>
  <c r="H143" i="29"/>
  <c r="I142" i="29"/>
  <c r="H142" i="29"/>
  <c r="I141" i="29"/>
  <c r="H141" i="29"/>
  <c r="I140" i="29"/>
  <c r="H140" i="29"/>
  <c r="I139" i="29"/>
  <c r="H139" i="29"/>
  <c r="I138" i="29"/>
  <c r="H138" i="29"/>
  <c r="I137" i="29"/>
  <c r="H137" i="29"/>
  <c r="I136" i="29"/>
  <c r="H136" i="29"/>
  <c r="I135" i="29"/>
  <c r="H135" i="29"/>
  <c r="I134" i="29"/>
  <c r="H134" i="29"/>
  <c r="I133" i="29"/>
  <c r="H133" i="29"/>
  <c r="I132" i="29"/>
  <c r="H132" i="29"/>
  <c r="I131" i="29"/>
  <c r="H131" i="29"/>
  <c r="I130" i="29"/>
  <c r="H130" i="29"/>
  <c r="I129" i="29"/>
  <c r="H129" i="29"/>
  <c r="I128" i="29"/>
  <c r="H128" i="29"/>
  <c r="I127" i="29"/>
  <c r="H127" i="29"/>
  <c r="I126" i="29"/>
  <c r="H126" i="29"/>
  <c r="I125" i="29"/>
  <c r="H125" i="29"/>
  <c r="I124" i="29"/>
  <c r="H124" i="29"/>
  <c r="I123" i="29"/>
  <c r="H123" i="29"/>
  <c r="I122" i="29"/>
  <c r="H122" i="29"/>
  <c r="I121" i="29"/>
  <c r="H121" i="29"/>
  <c r="I120" i="29"/>
  <c r="H120" i="29"/>
  <c r="I119" i="29"/>
  <c r="H119" i="29"/>
  <c r="I118" i="29"/>
  <c r="H118" i="29"/>
  <c r="I117" i="29"/>
  <c r="H117" i="29"/>
  <c r="I116" i="29"/>
  <c r="H116" i="29"/>
  <c r="I115" i="29"/>
  <c r="H115" i="29"/>
  <c r="I114" i="29"/>
  <c r="H114" i="29"/>
  <c r="I113" i="29"/>
  <c r="H113" i="29"/>
  <c r="I112" i="29"/>
  <c r="H112" i="29"/>
  <c r="I111" i="29"/>
  <c r="H111" i="29"/>
  <c r="I110" i="29"/>
  <c r="H110" i="29"/>
  <c r="I109" i="29"/>
  <c r="H109" i="29"/>
  <c r="I108" i="29"/>
  <c r="H108" i="29"/>
  <c r="I107" i="29"/>
  <c r="H107" i="29"/>
  <c r="I106" i="29"/>
  <c r="H106" i="29"/>
  <c r="I105" i="29"/>
  <c r="H105" i="29"/>
  <c r="I104" i="29"/>
  <c r="H104" i="29"/>
  <c r="I103" i="29"/>
  <c r="H103" i="29"/>
  <c r="I102" i="29"/>
  <c r="H102" i="29"/>
  <c r="I101" i="29"/>
  <c r="H101" i="29"/>
  <c r="I100" i="29"/>
  <c r="H100" i="29"/>
  <c r="I99" i="29"/>
  <c r="H99" i="29"/>
  <c r="I98" i="29"/>
  <c r="H98" i="29"/>
  <c r="I97" i="29"/>
  <c r="H97" i="29"/>
  <c r="I96" i="29"/>
  <c r="H96" i="29"/>
  <c r="I95" i="29"/>
  <c r="H95" i="29"/>
  <c r="I94" i="29"/>
  <c r="H94" i="29"/>
  <c r="I93" i="29"/>
  <c r="H93" i="29"/>
  <c r="I92" i="29"/>
  <c r="H92" i="29"/>
  <c r="I91" i="29"/>
  <c r="H91" i="29"/>
  <c r="I90" i="29"/>
  <c r="H90" i="29"/>
  <c r="I89" i="29"/>
  <c r="H89" i="29"/>
  <c r="I88" i="29"/>
  <c r="H88" i="29"/>
  <c r="I87" i="29"/>
  <c r="H87" i="29"/>
  <c r="I86" i="29"/>
  <c r="H86" i="29"/>
  <c r="I85" i="29"/>
  <c r="H85" i="29"/>
  <c r="I84" i="29"/>
  <c r="H84" i="29"/>
  <c r="I83" i="29"/>
  <c r="H83" i="29"/>
  <c r="I82" i="29"/>
  <c r="H82" i="29"/>
  <c r="I81" i="29"/>
  <c r="H81" i="29"/>
  <c r="I80" i="29"/>
  <c r="H80" i="29"/>
  <c r="I79" i="29"/>
  <c r="H79" i="29"/>
  <c r="I78" i="29"/>
  <c r="H78" i="29"/>
  <c r="I77" i="29"/>
  <c r="H77" i="29"/>
  <c r="I76" i="29"/>
  <c r="H76" i="29"/>
  <c r="I75" i="29"/>
  <c r="H75" i="29"/>
  <c r="I74" i="29"/>
  <c r="H74" i="29"/>
  <c r="I73" i="29"/>
  <c r="H73" i="29"/>
  <c r="I72" i="29"/>
  <c r="H72" i="29"/>
  <c r="I71" i="29"/>
  <c r="H71" i="29"/>
  <c r="I70" i="29"/>
  <c r="H70" i="29"/>
  <c r="I69" i="29"/>
  <c r="H69" i="29"/>
  <c r="I68" i="29"/>
  <c r="H68" i="29"/>
  <c r="I67" i="29"/>
  <c r="H67" i="29"/>
  <c r="I66" i="29"/>
  <c r="H66" i="29"/>
  <c r="I65" i="29"/>
  <c r="H65" i="29"/>
  <c r="I64" i="29"/>
  <c r="H64" i="29"/>
  <c r="I63" i="29"/>
  <c r="H63" i="29"/>
  <c r="I62" i="29"/>
  <c r="H62" i="29"/>
  <c r="I61" i="29"/>
  <c r="H61" i="29"/>
  <c r="I60" i="29"/>
  <c r="H60" i="29"/>
  <c r="I59" i="29"/>
  <c r="H59" i="29"/>
  <c r="I58" i="29"/>
  <c r="H58" i="29"/>
  <c r="I57" i="29"/>
  <c r="H57" i="29"/>
  <c r="I56" i="29"/>
  <c r="H56" i="29"/>
  <c r="I55" i="29"/>
  <c r="H55" i="29"/>
  <c r="I54" i="29"/>
  <c r="H54" i="29"/>
  <c r="I53" i="29"/>
  <c r="H53" i="29"/>
  <c r="I52" i="29"/>
  <c r="H52" i="29"/>
  <c r="I51" i="29"/>
  <c r="H51" i="29"/>
  <c r="I50" i="29"/>
  <c r="H50" i="29"/>
  <c r="I49" i="29"/>
  <c r="H49" i="29"/>
  <c r="I48" i="29"/>
  <c r="H48" i="29"/>
  <c r="I47" i="29"/>
  <c r="H47" i="29"/>
  <c r="I46" i="29"/>
  <c r="H46" i="29"/>
  <c r="I45" i="29"/>
  <c r="H45" i="29"/>
  <c r="I44" i="29"/>
  <c r="H44" i="29"/>
  <c r="I43" i="29"/>
  <c r="H43" i="29"/>
  <c r="I42" i="29"/>
  <c r="H42" i="29"/>
  <c r="I41" i="29"/>
  <c r="H41" i="29"/>
  <c r="I40" i="29"/>
  <c r="H40" i="29"/>
  <c r="I39" i="29"/>
  <c r="H39" i="29"/>
  <c r="I38" i="29"/>
  <c r="H38" i="29"/>
  <c r="I37" i="29"/>
  <c r="H37" i="29"/>
  <c r="I36" i="29"/>
  <c r="H36" i="29"/>
  <c r="I35" i="29"/>
  <c r="H35" i="29"/>
  <c r="I34" i="29"/>
  <c r="H34" i="29"/>
  <c r="I33" i="29"/>
  <c r="H33" i="29"/>
  <c r="I32" i="29"/>
  <c r="H32" i="29"/>
  <c r="I31" i="29"/>
  <c r="H31" i="29"/>
  <c r="I30" i="29"/>
  <c r="H30" i="29"/>
  <c r="I29" i="29"/>
  <c r="H29" i="29"/>
  <c r="I28" i="29"/>
  <c r="H28" i="29"/>
  <c r="I27" i="29"/>
  <c r="H27" i="29"/>
  <c r="I26" i="29"/>
  <c r="H26" i="29"/>
  <c r="I25" i="29"/>
  <c r="H25" i="29"/>
  <c r="I24" i="29"/>
  <c r="H24" i="29"/>
  <c r="I23" i="29"/>
  <c r="H23" i="29"/>
  <c r="I22" i="29"/>
  <c r="H22" i="29"/>
  <c r="I21" i="29"/>
  <c r="H21" i="29"/>
  <c r="I20" i="29"/>
  <c r="H20" i="29"/>
  <c r="I19" i="29"/>
  <c r="H19" i="29"/>
  <c r="I18" i="29"/>
  <c r="H18" i="29"/>
  <c r="I17" i="29"/>
  <c r="H17" i="29"/>
  <c r="I16" i="29"/>
  <c r="H16" i="29"/>
  <c r="I15" i="29"/>
  <c r="H15" i="29"/>
  <c r="I14" i="29"/>
  <c r="H14" i="29"/>
  <c r="I13" i="29"/>
  <c r="H13" i="29"/>
  <c r="I12" i="29"/>
  <c r="H12" i="29"/>
  <c r="I11" i="29"/>
  <c r="H11" i="29"/>
  <c r="I10" i="29"/>
  <c r="H10" i="29"/>
  <c r="I9" i="29"/>
  <c r="H9" i="29"/>
  <c r="I8" i="29"/>
  <c r="H8" i="29"/>
  <c r="I7" i="29"/>
  <c r="H7" i="29"/>
  <c r="I6" i="29"/>
  <c r="H6" i="29"/>
  <c r="I5" i="29"/>
  <c r="H5" i="29"/>
  <c r="I4" i="29"/>
  <c r="H4" i="29"/>
  <c r="I3" i="29"/>
  <c r="H3" i="29"/>
  <c r="I2" i="29"/>
  <c r="H2" i="29"/>
  <c r="E5" i="28" a="1"/>
  <c r="E5" i="28" s="1"/>
  <c r="A8" i="28" a="1"/>
  <c r="A8" i="28" s="1"/>
  <c r="B8" i="28" s="1"/>
  <c r="A16" i="28" a="1"/>
  <c r="A16" i="28" s="1"/>
  <c r="B16" i="28" s="1"/>
  <c r="A3" i="28" a="1"/>
  <c r="A3" i="28" s="1"/>
  <c r="B3" i="28" s="1"/>
  <c r="F5" i="28" s="1"/>
  <c r="D12" i="26"/>
  <c r="D13" i="26"/>
  <c r="D14" i="26"/>
  <c r="C12" i="26"/>
  <c r="C13" i="26"/>
  <c r="C14" i="26"/>
  <c r="C11" i="26"/>
  <c r="D11" i="26"/>
  <c r="A13" i="21"/>
  <c r="C13" i="21" s="1"/>
  <c r="A14" i="21"/>
  <c r="C14" i="21" s="1"/>
  <c r="A15" i="21"/>
  <c r="C15" i="21" s="1"/>
  <c r="A12" i="21"/>
  <c r="C12" i="21" s="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2" i="1"/>
  <c r="J31" i="2"/>
  <c r="J4" i="2"/>
  <c r="J5" i="2"/>
  <c r="J46" i="2"/>
  <c r="J27" i="2"/>
  <c r="J8" i="2"/>
  <c r="J9" i="2"/>
  <c r="J58" i="2"/>
  <c r="J179" i="2"/>
  <c r="J12" i="2"/>
  <c r="J13" i="2"/>
  <c r="J82" i="2"/>
  <c r="J127" i="2"/>
  <c r="J16" i="2"/>
  <c r="J17" i="2"/>
  <c r="J42" i="2"/>
  <c r="J159" i="2"/>
  <c r="J20" i="2"/>
  <c r="J21" i="2"/>
  <c r="J106" i="2"/>
  <c r="J143" i="2"/>
  <c r="J24" i="2"/>
  <c r="J25" i="2"/>
  <c r="J50" i="2"/>
  <c r="J167" i="2"/>
  <c r="J28" i="2"/>
  <c r="J29" i="2"/>
  <c r="J78" i="2"/>
  <c r="J99" i="2"/>
  <c r="J32" i="2"/>
  <c r="J33" i="2"/>
  <c r="J74" i="2"/>
  <c r="J11" i="2"/>
  <c r="J36" i="2"/>
  <c r="J37" i="2"/>
  <c r="J194" i="2"/>
  <c r="J107" i="2"/>
  <c r="J40" i="2"/>
  <c r="J41" i="2"/>
  <c r="J182" i="2"/>
  <c r="J135" i="2"/>
  <c r="J44" i="2"/>
  <c r="J45" i="2"/>
  <c r="J146" i="2"/>
  <c r="J39" i="2"/>
  <c r="J48" i="2"/>
  <c r="J49" i="2"/>
  <c r="J114" i="2"/>
  <c r="J111" i="2"/>
  <c r="J52" i="2"/>
  <c r="J53" i="2"/>
  <c r="J166" i="2"/>
  <c r="J87" i="2"/>
  <c r="J56" i="2"/>
  <c r="J57" i="2"/>
  <c r="J122" i="2"/>
  <c r="J155" i="2"/>
  <c r="J60" i="2"/>
  <c r="J61" i="2"/>
  <c r="J98" i="2"/>
  <c r="J183" i="2"/>
  <c r="J64" i="2"/>
  <c r="J65" i="2"/>
  <c r="J2" i="2"/>
  <c r="J35" i="2"/>
  <c r="J68" i="2"/>
  <c r="J69" i="2"/>
  <c r="J130" i="2"/>
  <c r="J3" i="2"/>
  <c r="J72" i="2"/>
  <c r="J73" i="2"/>
  <c r="J170" i="2"/>
  <c r="J171" i="2"/>
  <c r="J76" i="2"/>
  <c r="J77" i="2"/>
  <c r="J154" i="2"/>
  <c r="J19" i="2"/>
  <c r="J80" i="2"/>
  <c r="J81" i="2"/>
  <c r="J134" i="2"/>
  <c r="J163" i="2"/>
  <c r="J84" i="2"/>
  <c r="J85" i="2"/>
  <c r="J62" i="2"/>
  <c r="J123" i="2"/>
  <c r="J88" i="2"/>
  <c r="J89" i="2"/>
  <c r="J158" i="2"/>
  <c r="J15" i="2"/>
  <c r="J92" i="2"/>
  <c r="J93" i="2"/>
  <c r="J186" i="2"/>
  <c r="J139" i="2"/>
  <c r="J96" i="2"/>
  <c r="J97" i="2"/>
  <c r="J126" i="2"/>
  <c r="J147" i="2"/>
  <c r="J100" i="2"/>
  <c r="J101" i="2"/>
  <c r="J6" i="2"/>
  <c r="J115" i="2"/>
  <c r="J104" i="2"/>
  <c r="J105" i="2"/>
  <c r="J150" i="2"/>
  <c r="J103" i="2"/>
  <c r="J108" i="2"/>
  <c r="J109" i="2"/>
  <c r="J102" i="2"/>
  <c r="J47" i="2"/>
  <c r="J112" i="2"/>
  <c r="J113" i="2"/>
  <c r="J94" i="2"/>
  <c r="J51" i="2"/>
  <c r="J116" i="2"/>
  <c r="J117" i="2"/>
  <c r="J26" i="2"/>
  <c r="J187" i="2"/>
  <c r="J120" i="2"/>
  <c r="J121" i="2"/>
  <c r="J22" i="2"/>
  <c r="J91" i="2"/>
  <c r="J124" i="2"/>
  <c r="J125" i="2"/>
  <c r="J162" i="2"/>
  <c r="J43" i="2"/>
  <c r="J128" i="2"/>
  <c r="J129" i="2"/>
  <c r="J70" i="2"/>
  <c r="J175" i="2"/>
  <c r="J132" i="2"/>
  <c r="J133" i="2"/>
  <c r="J174" i="2"/>
  <c r="J83" i="2"/>
  <c r="J136" i="2"/>
  <c r="J137" i="2"/>
  <c r="J118" i="2"/>
  <c r="J59" i="2"/>
  <c r="J140" i="2"/>
  <c r="J141" i="2"/>
  <c r="J54" i="2"/>
  <c r="J151" i="2"/>
  <c r="J144" i="2"/>
  <c r="J145" i="2"/>
  <c r="J18" i="2"/>
  <c r="J79" i="2"/>
  <c r="J148" i="2"/>
  <c r="J149" i="2"/>
  <c r="J178" i="2"/>
  <c r="J131" i="2"/>
  <c r="J152" i="2"/>
  <c r="J153" i="2"/>
  <c r="J198" i="2"/>
  <c r="J71" i="2"/>
  <c r="J156" i="2"/>
  <c r="J157" i="2"/>
  <c r="J142" i="2"/>
  <c r="J55" i="2"/>
  <c r="J160" i="2"/>
  <c r="J161" i="2"/>
  <c r="J34" i="2"/>
  <c r="J67" i="2"/>
  <c r="J164" i="2"/>
  <c r="J165" i="2"/>
  <c r="J38" i="2"/>
  <c r="J119" i="2"/>
  <c r="J168" i="2"/>
  <c r="J169" i="2"/>
  <c r="J190" i="2"/>
  <c r="J63" i="2"/>
  <c r="J172" i="2"/>
  <c r="J173" i="2"/>
  <c r="J110" i="2"/>
  <c r="J75" i="2"/>
  <c r="J176" i="2"/>
  <c r="J177" i="2"/>
  <c r="J14" i="2"/>
  <c r="J191" i="2"/>
  <c r="J180" i="2"/>
  <c r="J181" i="2"/>
  <c r="J10" i="2"/>
  <c r="J95" i="2"/>
  <c r="J184" i="2"/>
  <c r="J185" i="2"/>
  <c r="J86" i="2"/>
  <c r="J23" i="2"/>
  <c r="J188" i="2"/>
  <c r="J189" i="2"/>
  <c r="J66" i="2"/>
  <c r="J7" i="2"/>
  <c r="J192" i="2"/>
  <c r="J193" i="2"/>
  <c r="J138" i="2"/>
  <c r="J195" i="2"/>
  <c r="J196" i="2"/>
  <c r="J197" i="2"/>
  <c r="J90" i="2"/>
  <c r="J199" i="2"/>
  <c r="J200" i="2"/>
  <c r="J201" i="2"/>
  <c r="J30" i="2"/>
  <c r="E14" i="26" l="1"/>
  <c r="B22" i="44"/>
  <c r="C18" i="44" s="1"/>
  <c r="D18" i="44" s="1"/>
  <c r="B18" i="28"/>
  <c r="B17" i="28"/>
  <c r="F8" i="28" s="1"/>
  <c r="B12" i="28"/>
  <c r="F10" i="28" s="1"/>
  <c r="B11" i="28"/>
  <c r="B10" i="28"/>
  <c r="B9" i="28"/>
  <c r="B19" i="28"/>
  <c r="B5" i="28"/>
  <c r="B4" i="28"/>
  <c r="F6" i="28" s="1"/>
  <c r="B13" i="28"/>
  <c r="E11" i="26"/>
  <c r="E13" i="26"/>
  <c r="E12" i="26"/>
  <c r="B15" i="21"/>
  <c r="B14" i="21"/>
  <c r="B13" i="21"/>
  <c r="B12" i="21"/>
  <c r="P44" i="12"/>
  <c r="P183" i="12"/>
  <c r="P8" i="12"/>
  <c r="P255" i="12"/>
  <c r="P55" i="12"/>
  <c r="P227" i="12"/>
  <c r="P158" i="12"/>
  <c r="P159" i="12"/>
  <c r="P247" i="12"/>
  <c r="P29" i="12"/>
  <c r="P130" i="12"/>
  <c r="P93" i="12"/>
  <c r="P10" i="12"/>
  <c r="P271" i="12"/>
  <c r="P205" i="12"/>
  <c r="P129" i="12"/>
  <c r="P258" i="12"/>
  <c r="P41" i="12"/>
  <c r="P213" i="12"/>
  <c r="P60" i="12"/>
  <c r="P42" i="12"/>
  <c r="P2" i="12"/>
  <c r="P81" i="12"/>
  <c r="P200" i="12"/>
  <c r="P262" i="12"/>
  <c r="P220" i="12"/>
  <c r="P68" i="12"/>
  <c r="P112" i="12"/>
  <c r="P113" i="12"/>
  <c r="P199" i="12"/>
  <c r="P52" i="12"/>
  <c r="P186" i="12"/>
  <c r="P53" i="12"/>
  <c r="P38" i="12"/>
  <c r="P79" i="12"/>
  <c r="P253" i="12"/>
  <c r="P297" i="12"/>
  <c r="P245" i="12"/>
  <c r="P259" i="12"/>
  <c r="P22" i="12"/>
  <c r="P48" i="12"/>
  <c r="P290" i="12"/>
  <c r="P191" i="12"/>
  <c r="P82" i="12"/>
  <c r="P107" i="12"/>
  <c r="P125" i="12"/>
  <c r="P195" i="12"/>
  <c r="P70" i="12"/>
  <c r="P223" i="12"/>
  <c r="P187" i="12"/>
  <c r="P32" i="12"/>
  <c r="P235" i="12"/>
  <c r="P283" i="12"/>
  <c r="P132" i="12"/>
  <c r="P275" i="12"/>
  <c r="P104" i="12"/>
  <c r="P182" i="12"/>
  <c r="P78" i="12"/>
  <c r="P160" i="12"/>
  <c r="P154" i="12"/>
  <c r="P224" i="12"/>
  <c r="P202" i="12"/>
  <c r="P20" i="12"/>
  <c r="P26" i="12"/>
  <c r="P248" i="12"/>
  <c r="P135" i="12"/>
  <c r="P177" i="12"/>
  <c r="P122" i="12"/>
  <c r="P294" i="12"/>
  <c r="P201" i="12"/>
  <c r="P75" i="12"/>
  <c r="P101" i="12"/>
  <c r="P23" i="12"/>
  <c r="P280" i="12"/>
  <c r="P266" i="12"/>
  <c r="P7" i="12"/>
  <c r="P287" i="12"/>
  <c r="P49" i="12"/>
  <c r="P166" i="12"/>
  <c r="P148" i="12"/>
  <c r="P300" i="12"/>
  <c r="P274" i="12"/>
  <c r="P233" i="12"/>
  <c r="P4" i="12"/>
  <c r="P152" i="12"/>
  <c r="P13" i="12"/>
  <c r="P286" i="12"/>
  <c r="P86" i="12"/>
  <c r="P118" i="12"/>
  <c r="P242" i="12"/>
  <c r="P291" i="12"/>
  <c r="P91" i="12"/>
  <c r="P90" i="12"/>
  <c r="P140" i="12"/>
  <c r="P237" i="12"/>
  <c r="P87" i="12"/>
  <c r="P254" i="12"/>
  <c r="P25" i="12"/>
  <c r="P153" i="12"/>
  <c r="P234" i="12"/>
  <c r="P28" i="12"/>
  <c r="P133" i="12"/>
  <c r="P261" i="12"/>
  <c r="P11" i="12"/>
  <c r="P208" i="12"/>
  <c r="P251" i="12"/>
  <c r="P47" i="12"/>
  <c r="P69" i="12"/>
  <c r="P239" i="12"/>
  <c r="P61" i="12"/>
  <c r="P115" i="12"/>
  <c r="P51" i="12"/>
  <c r="P105" i="12"/>
  <c r="P164" i="12"/>
  <c r="P64" i="12"/>
  <c r="P80" i="12"/>
  <c r="P147" i="12"/>
  <c r="P281" i="12"/>
  <c r="P74" i="12"/>
  <c r="P268" i="12"/>
  <c r="P83" i="12"/>
  <c r="P43" i="12"/>
  <c r="P296" i="12"/>
  <c r="P97" i="12"/>
  <c r="P17" i="12"/>
  <c r="P295" i="12"/>
  <c r="P150" i="12"/>
  <c r="P228" i="12"/>
  <c r="P73" i="12"/>
  <c r="P215" i="12"/>
  <c r="P33" i="12"/>
  <c r="P139" i="12"/>
  <c r="P99" i="12"/>
  <c r="P58" i="12"/>
  <c r="P249" i="12"/>
  <c r="P184" i="12"/>
  <c r="P114" i="12"/>
  <c r="P188" i="12"/>
  <c r="P85" i="12"/>
  <c r="P76" i="12"/>
  <c r="P210" i="12"/>
  <c r="P246" i="12"/>
  <c r="P185" i="12"/>
  <c r="P84" i="12"/>
  <c r="P94" i="12"/>
  <c r="P181" i="12"/>
  <c r="P270" i="12"/>
  <c r="P273" i="12"/>
  <c r="P157" i="12"/>
  <c r="P131" i="12"/>
  <c r="P9" i="12"/>
  <c r="P142" i="12"/>
  <c r="P173" i="12"/>
  <c r="P165" i="12"/>
  <c r="P217" i="12"/>
  <c r="P124" i="12"/>
  <c r="P3" i="12"/>
  <c r="P299" i="12"/>
  <c r="P116" i="12"/>
  <c r="P212" i="12"/>
  <c r="P216" i="12"/>
  <c r="P144" i="12"/>
  <c r="P284" i="12"/>
  <c r="P232" i="12"/>
  <c r="P192" i="12"/>
  <c r="P18" i="12"/>
  <c r="P62" i="12"/>
  <c r="P126" i="12"/>
  <c r="P197" i="12"/>
  <c r="P96" i="12"/>
  <c r="P121" i="12"/>
  <c r="P221" i="12"/>
  <c r="P163" i="12"/>
  <c r="P39" i="12"/>
  <c r="P88" i="12"/>
  <c r="P137" i="12"/>
  <c r="P279" i="12"/>
  <c r="P190" i="12"/>
  <c r="P66" i="12"/>
  <c r="P282" i="12"/>
  <c r="P267" i="12"/>
  <c r="P260" i="12"/>
  <c r="P34" i="12"/>
  <c r="P203" i="12"/>
  <c r="P167" i="12"/>
  <c r="P102" i="12"/>
  <c r="P109" i="12"/>
  <c r="P92" i="12"/>
  <c r="P219" i="12"/>
  <c r="P106" i="12"/>
  <c r="P117" i="12"/>
  <c r="P168" i="12"/>
  <c r="P72" i="12"/>
  <c r="P5" i="12"/>
  <c r="P30" i="12"/>
  <c r="P285" i="12"/>
  <c r="P145" i="12"/>
  <c r="P108" i="12"/>
  <c r="P277" i="12"/>
  <c r="P19" i="12"/>
  <c r="P176" i="12"/>
  <c r="P36" i="12"/>
  <c r="P171" i="12"/>
  <c r="P46" i="12"/>
  <c r="P206" i="12"/>
  <c r="P57" i="12"/>
  <c r="P218" i="12"/>
  <c r="P265" i="12"/>
  <c r="P120" i="12"/>
  <c r="P174" i="12"/>
  <c r="P31" i="12"/>
  <c r="P231" i="12"/>
  <c r="P278" i="12"/>
  <c r="P240" i="12"/>
  <c r="P56" i="12"/>
  <c r="P170" i="12"/>
  <c r="P136" i="12"/>
  <c r="P257" i="12"/>
  <c r="P238" i="12"/>
  <c r="P207" i="12"/>
  <c r="P110" i="12"/>
  <c r="P111" i="12"/>
  <c r="P209" i="12"/>
  <c r="P264" i="12"/>
  <c r="P230" i="12"/>
  <c r="P196" i="12"/>
  <c r="P222" i="12"/>
  <c r="P14" i="12"/>
  <c r="P276" i="12"/>
  <c r="P149" i="12"/>
  <c r="P289" i="12"/>
  <c r="P169" i="12"/>
  <c r="P229" i="12"/>
  <c r="P12" i="12"/>
  <c r="P293" i="12"/>
  <c r="P204" i="12"/>
  <c r="P100" i="12"/>
  <c r="P6" i="12"/>
  <c r="P301" i="12"/>
  <c r="P95" i="12"/>
  <c r="P250" i="12"/>
  <c r="P151" i="12"/>
  <c r="P298" i="12"/>
  <c r="P89" i="12"/>
  <c r="P156" i="12"/>
  <c r="P236" i="12"/>
  <c r="P214" i="12"/>
  <c r="P288" i="12"/>
  <c r="P256" i="12"/>
  <c r="P123" i="12"/>
  <c r="P193" i="12"/>
  <c r="P162" i="12"/>
  <c r="P127" i="12"/>
  <c r="P198" i="12"/>
  <c r="P263" i="12"/>
  <c r="P77" i="12"/>
  <c r="P134" i="12"/>
  <c r="P244" i="12"/>
  <c r="P252" i="12"/>
  <c r="P269" i="12"/>
  <c r="P119" i="12"/>
  <c r="P50" i="12"/>
  <c r="P161" i="12"/>
  <c r="P178" i="12"/>
  <c r="P35" i="12"/>
  <c r="P141" i="12"/>
  <c r="P155" i="12"/>
  <c r="P225" i="12"/>
  <c r="P241" i="12"/>
  <c r="P292" i="12"/>
  <c r="P65" i="12"/>
  <c r="P243" i="12"/>
  <c r="P272" i="12"/>
  <c r="P143" i="12"/>
  <c r="P103" i="12"/>
  <c r="P54" i="12"/>
  <c r="P37" i="12"/>
  <c r="P146" i="12"/>
  <c r="P175" i="12"/>
  <c r="P21" i="12"/>
  <c r="P16" i="12"/>
  <c r="P226" i="12"/>
  <c r="P128" i="12"/>
  <c r="P67" i="12"/>
  <c r="P63" i="12"/>
  <c r="P15" i="12"/>
  <c r="P138" i="12"/>
  <c r="P194" i="12"/>
  <c r="P180" i="12"/>
  <c r="P172" i="12"/>
  <c r="P24" i="12"/>
  <c r="P59" i="12"/>
  <c r="P98" i="12"/>
  <c r="P45" i="12"/>
  <c r="P179" i="12"/>
  <c r="P27" i="12"/>
  <c r="P211" i="12"/>
  <c r="P71" i="12"/>
  <c r="P40" i="12"/>
  <c r="P189" i="12"/>
  <c r="P37" i="6"/>
  <c r="P161" i="6"/>
  <c r="P53" i="6"/>
  <c r="P203" i="6"/>
  <c r="P157" i="6"/>
  <c r="P211" i="6"/>
  <c r="P44" i="6"/>
  <c r="P146" i="6"/>
  <c r="P266" i="6"/>
  <c r="P55" i="6"/>
  <c r="P175" i="6"/>
  <c r="P162" i="6"/>
  <c r="P12" i="6"/>
  <c r="P233" i="6"/>
  <c r="P127" i="6"/>
  <c r="P71" i="6"/>
  <c r="P285" i="6"/>
  <c r="P140" i="6"/>
  <c r="P235" i="6"/>
  <c r="P147" i="6"/>
  <c r="P31" i="6"/>
  <c r="P11" i="6"/>
  <c r="P24" i="6"/>
  <c r="P39" i="6"/>
  <c r="P244" i="6"/>
  <c r="P182" i="6"/>
  <c r="P115" i="6"/>
  <c r="P129" i="6"/>
  <c r="P19" i="6"/>
  <c r="P96" i="6"/>
  <c r="P119" i="6"/>
  <c r="P52" i="6"/>
  <c r="P60" i="6"/>
  <c r="P108" i="6"/>
  <c r="P50" i="6"/>
  <c r="P189" i="6"/>
  <c r="P301" i="6"/>
  <c r="P152" i="6"/>
  <c r="P272" i="6"/>
  <c r="P5" i="6"/>
  <c r="P32" i="6"/>
  <c r="P292" i="6"/>
  <c r="P102" i="6"/>
  <c r="P128" i="6"/>
  <c r="P222" i="6"/>
  <c r="P91" i="6"/>
  <c r="P186" i="6"/>
  <c r="P88" i="6"/>
  <c r="P205" i="6"/>
  <c r="P212" i="6"/>
  <c r="P59" i="6"/>
  <c r="P279" i="6"/>
  <c r="P284" i="6"/>
  <c r="P111" i="6"/>
  <c r="P268" i="6"/>
  <c r="P51" i="6"/>
  <c r="P6" i="6"/>
  <c r="P72" i="6"/>
  <c r="P35" i="6"/>
  <c r="P30" i="6"/>
  <c r="P273" i="6"/>
  <c r="P38" i="6"/>
  <c r="P25" i="6"/>
  <c r="P75" i="6"/>
  <c r="P258" i="6"/>
  <c r="P92" i="6"/>
  <c r="P248" i="6"/>
  <c r="P194" i="6"/>
  <c r="P287" i="6"/>
  <c r="P247" i="6"/>
  <c r="P125" i="6"/>
  <c r="P13" i="6"/>
  <c r="P10" i="6"/>
  <c r="P297" i="6"/>
  <c r="P227" i="6"/>
  <c r="P56" i="6"/>
  <c r="P276" i="6"/>
  <c r="P139" i="6"/>
  <c r="P192" i="6"/>
  <c r="P62" i="6"/>
  <c r="P288" i="6"/>
  <c r="P249" i="6"/>
  <c r="P193" i="6"/>
  <c r="P14" i="6"/>
  <c r="P253" i="6"/>
  <c r="P7" i="6"/>
  <c r="P264" i="6"/>
  <c r="P138" i="6"/>
  <c r="P79" i="6"/>
  <c r="P221" i="6"/>
  <c r="P260" i="6"/>
  <c r="P143" i="6"/>
  <c r="P132" i="6"/>
  <c r="P69" i="6"/>
  <c r="P267" i="6"/>
  <c r="P78" i="6"/>
  <c r="P159" i="6"/>
  <c r="P117" i="6"/>
  <c r="P217" i="6"/>
  <c r="P278" i="6"/>
  <c r="P98" i="6"/>
  <c r="P176" i="6"/>
  <c r="P245" i="6"/>
  <c r="P21" i="6"/>
  <c r="P213" i="6"/>
  <c r="P259" i="6"/>
  <c r="P49" i="6"/>
  <c r="P34" i="6"/>
  <c r="P237" i="6"/>
  <c r="P23" i="6"/>
  <c r="P229" i="6"/>
  <c r="P100" i="6"/>
  <c r="P156" i="6"/>
  <c r="P223" i="6"/>
  <c r="P84" i="6"/>
  <c r="P82" i="6"/>
  <c r="P101" i="6"/>
  <c r="P277" i="6"/>
  <c r="P40" i="6"/>
  <c r="P246" i="6"/>
  <c r="P104" i="6"/>
  <c r="P73" i="6"/>
  <c r="P289" i="6"/>
  <c r="P126" i="6"/>
  <c r="P118" i="6"/>
  <c r="P286" i="6"/>
  <c r="P113" i="6"/>
  <c r="P224" i="6"/>
  <c r="P136" i="6"/>
  <c r="P250" i="6"/>
  <c r="P86" i="6"/>
  <c r="P109" i="6"/>
  <c r="P160" i="6"/>
  <c r="P17" i="6"/>
  <c r="P255" i="6"/>
  <c r="P153" i="6"/>
  <c r="P4" i="6"/>
  <c r="P41" i="6"/>
  <c r="P116" i="6"/>
  <c r="P9" i="6"/>
  <c r="P252" i="6"/>
  <c r="P195" i="6"/>
  <c r="P210" i="6"/>
  <c r="P47" i="6"/>
  <c r="P80" i="6"/>
  <c r="P207" i="6"/>
  <c r="P228" i="6"/>
  <c r="P282" i="6"/>
  <c r="P18" i="6"/>
  <c r="P130" i="6"/>
  <c r="P26" i="6"/>
  <c r="P206" i="6"/>
  <c r="P65" i="6"/>
  <c r="P123" i="6"/>
  <c r="P124" i="6"/>
  <c r="P232" i="6"/>
  <c r="P3" i="6"/>
  <c r="P298" i="6"/>
  <c r="P196" i="6"/>
  <c r="P99" i="6"/>
  <c r="P187" i="6"/>
  <c r="P167" i="6"/>
  <c r="P295" i="6"/>
  <c r="P164" i="6"/>
  <c r="P95" i="6"/>
  <c r="P68" i="6"/>
  <c r="P122" i="6"/>
  <c r="P201" i="6"/>
  <c r="P185" i="6"/>
  <c r="P16" i="6"/>
  <c r="P158" i="6"/>
  <c r="P179" i="6"/>
  <c r="P154" i="6"/>
  <c r="P90" i="6"/>
  <c r="P89" i="6"/>
  <c r="P70" i="6"/>
  <c r="P254" i="6"/>
  <c r="P48" i="6"/>
  <c r="P97" i="6"/>
  <c r="P262" i="6"/>
  <c r="P240" i="6"/>
  <c r="P165" i="6"/>
  <c r="P27" i="6"/>
  <c r="P216" i="6"/>
  <c r="P105" i="6"/>
  <c r="P204" i="6"/>
  <c r="P45" i="6"/>
  <c r="P57" i="6"/>
  <c r="P169" i="6"/>
  <c r="P173" i="6"/>
  <c r="P81" i="6"/>
  <c r="P110" i="6"/>
  <c r="P36" i="6"/>
  <c r="P15" i="6"/>
  <c r="P8" i="6"/>
  <c r="P296" i="6"/>
  <c r="P93" i="6"/>
  <c r="P120" i="6"/>
  <c r="P231" i="6"/>
  <c r="P22" i="6"/>
  <c r="P225" i="6"/>
  <c r="P76" i="6"/>
  <c r="P190" i="6"/>
  <c r="P29" i="6"/>
  <c r="P236" i="6"/>
  <c r="P131" i="6"/>
  <c r="P166" i="6"/>
  <c r="P219" i="6"/>
  <c r="P46" i="6"/>
  <c r="P239" i="6"/>
  <c r="P66" i="6"/>
  <c r="P208" i="6"/>
  <c r="P294" i="6"/>
  <c r="P199" i="6"/>
  <c r="P133" i="6"/>
  <c r="P77" i="6"/>
  <c r="P171" i="6"/>
  <c r="P263" i="6"/>
  <c r="P281" i="6"/>
  <c r="P243" i="6"/>
  <c r="P168" i="6"/>
  <c r="P151" i="6"/>
  <c r="P265" i="6"/>
  <c r="P251" i="6"/>
  <c r="P280" i="6"/>
  <c r="P202" i="6"/>
  <c r="P226" i="6"/>
  <c r="P54" i="6"/>
  <c r="P300" i="6"/>
  <c r="P142" i="6"/>
  <c r="P274" i="6"/>
  <c r="P218" i="6"/>
  <c r="P172" i="6"/>
  <c r="P28" i="6"/>
  <c r="P291" i="6"/>
  <c r="P214" i="6"/>
  <c r="P149" i="6"/>
  <c r="P83" i="6"/>
  <c r="P299" i="6"/>
  <c r="P2" i="6"/>
  <c r="P242" i="6"/>
  <c r="P191" i="6"/>
  <c r="P290" i="6"/>
  <c r="P144" i="6"/>
  <c r="P134" i="6"/>
  <c r="P275" i="6"/>
  <c r="P170" i="6"/>
  <c r="P271" i="6"/>
  <c r="P257" i="6"/>
  <c r="P181" i="6"/>
  <c r="P178" i="6"/>
  <c r="P177" i="6"/>
  <c r="P197" i="6"/>
  <c r="P145" i="6"/>
  <c r="P270" i="6"/>
  <c r="P135" i="6"/>
  <c r="P155" i="6"/>
  <c r="P188" i="6"/>
  <c r="P200" i="6"/>
  <c r="P269" i="6"/>
  <c r="P33" i="6"/>
  <c r="P103" i="6"/>
  <c r="P148" i="6"/>
  <c r="P107" i="6"/>
  <c r="P43" i="6"/>
  <c r="P121" i="6"/>
  <c r="P234" i="6"/>
  <c r="P230" i="6"/>
  <c r="P209" i="6"/>
  <c r="P293" i="6"/>
  <c r="P163" i="6"/>
  <c r="P198" i="6"/>
  <c r="P283" i="6"/>
  <c r="P220" i="6"/>
  <c r="P137" i="6"/>
  <c r="P150" i="6"/>
  <c r="P74" i="6"/>
  <c r="P215" i="6"/>
  <c r="P238" i="6"/>
  <c r="P20" i="6"/>
  <c r="P67" i="6"/>
  <c r="P261" i="6"/>
  <c r="P141" i="6"/>
  <c r="P58" i="6"/>
  <c r="P114" i="6"/>
  <c r="P87" i="6"/>
  <c r="P64" i="6"/>
  <c r="P256" i="6"/>
  <c r="P174" i="6"/>
  <c r="P184" i="6"/>
  <c r="P42" i="6"/>
  <c r="P61" i="6"/>
  <c r="P94" i="6"/>
  <c r="P106" i="6"/>
  <c r="P112" i="6"/>
  <c r="P85" i="6"/>
  <c r="P183" i="6"/>
  <c r="P180" i="6"/>
  <c r="P63" i="6"/>
  <c r="P241" i="6"/>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2" i="1"/>
  <c r="C19" i="44" l="1"/>
  <c r="D19" i="44" s="1"/>
  <c r="C20" i="44"/>
  <c r="D20" i="44" s="1"/>
  <c r="C21" i="44"/>
  <c r="D21" i="44" s="1"/>
  <c r="F7" i="28"/>
  <c r="I7" i="28" s="1"/>
  <c r="H7" i="28" s="1"/>
  <c r="F9" i="28"/>
  <c r="C5" i="5"/>
  <c r="C4" i="5"/>
  <c r="C6" i="5"/>
  <c r="C7"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<sst xmlns="http://schemas.openxmlformats.org/spreadsheetml/2006/main" count="7708" uniqueCount="667">
  <si>
    <t>Post ID</t>
  </si>
  <si>
    <t>Platform</t>
  </si>
  <si>
    <t>Date</t>
  </si>
  <si>
    <t>Content Type</t>
  </si>
  <si>
    <t>Post Text</t>
  </si>
  <si>
    <t>Likes</t>
  </si>
  <si>
    <t>Shares</t>
  </si>
  <si>
    <t>Comments</t>
  </si>
  <si>
    <t>Impressions</t>
  </si>
  <si>
    <t>Reach</t>
  </si>
  <si>
    <t>Clicks</t>
  </si>
  <si>
    <t>Campaign_Name</t>
  </si>
  <si>
    <t>P001</t>
  </si>
  <si>
    <t>Twitter</t>
  </si>
  <si>
    <t>2024-12-23</t>
  </si>
  <si>
    <t>Reel</t>
  </si>
  <si>
    <t>Check out our latest reel on twitter!</t>
  </si>
  <si>
    <t>CybertruckLaunch</t>
  </si>
  <si>
    <t>P002</t>
  </si>
  <si>
    <t>2025-04-03</t>
  </si>
  <si>
    <t>Text</t>
  </si>
  <si>
    <t>Check out our latest text on twitter!</t>
  </si>
  <si>
    <t>ModelYCampaign</t>
  </si>
  <si>
    <t>P003</t>
  </si>
  <si>
    <t>YouTube</t>
  </si>
  <si>
    <t>2025-05-12</t>
  </si>
  <si>
    <t>Check out our latest reel on youtube!</t>
  </si>
  <si>
    <t>#TeslaCoInnovation</t>
  </si>
  <si>
    <t>FSDUpdate</t>
  </si>
  <si>
    <t>P004</t>
  </si>
  <si>
    <t>Instagram</t>
  </si>
  <si>
    <t>2024-08-12</t>
  </si>
  <si>
    <t>Story</t>
  </si>
  <si>
    <t>Check out our latest story on instagram!</t>
  </si>
  <si>
    <t>#EVRevolution</t>
  </si>
  <si>
    <t>SustainabilityDrive</t>
  </si>
  <si>
    <t>P005</t>
  </si>
  <si>
    <t>2024-06-26</t>
  </si>
  <si>
    <t>#EVRevolution,#TeslaCoInnovation</t>
  </si>
  <si>
    <t>P006</t>
  </si>
  <si>
    <t>Facebook</t>
  </si>
  <si>
    <t>2024-10-31</t>
  </si>
  <si>
    <t>Carousel</t>
  </si>
  <si>
    <t>Check out our latest carousel on facebook!</t>
  </si>
  <si>
    <t>P007</t>
  </si>
  <si>
    <t>2024-06-24</t>
  </si>
  <si>
    <t>Check out our latest carousel on twitter!</t>
  </si>
  <si>
    <t>P008</t>
  </si>
  <si>
    <t>2024-07-13</t>
  </si>
  <si>
    <t>Image</t>
  </si>
  <si>
    <t>Check out our latest image on youtube!</t>
  </si>
  <si>
    <t>P009</t>
  </si>
  <si>
    <t>2024-08-30</t>
  </si>
  <si>
    <t>Check out our latest text on facebook!</t>
  </si>
  <si>
    <t>P010</t>
  </si>
  <si>
    <t>2025-03-11</t>
  </si>
  <si>
    <t>Check out our latest image on facebook!</t>
  </si>
  <si>
    <t>P011</t>
  </si>
  <si>
    <t>2025-02-02</t>
  </si>
  <si>
    <t>#FutureOfDriving</t>
  </si>
  <si>
    <t>P012</t>
  </si>
  <si>
    <t>2024-07-21</t>
  </si>
  <si>
    <t>Check out our latest reel on facebook!</t>
  </si>
  <si>
    <t>P013</t>
  </si>
  <si>
    <t>2024-11-18</t>
  </si>
  <si>
    <t>Check out our latest carousel on youtube!</t>
  </si>
  <si>
    <t>P014</t>
  </si>
  <si>
    <t>2025-02-16</t>
  </si>
  <si>
    <t>Check out our latest story on facebook!</t>
  </si>
  <si>
    <t>P015</t>
  </si>
  <si>
    <t>2024-10-24</t>
  </si>
  <si>
    <t>Video</t>
  </si>
  <si>
    <t>Check out our latest video on facebook!</t>
  </si>
  <si>
    <t>P016</t>
  </si>
  <si>
    <t>2024-08-26</t>
  </si>
  <si>
    <t>P017</t>
  </si>
  <si>
    <t>2025-05-05</t>
  </si>
  <si>
    <t>P018</t>
  </si>
  <si>
    <t>2024-08-19</t>
  </si>
  <si>
    <t>Check out our latest reel on instagram!</t>
  </si>
  <si>
    <t>P019</t>
  </si>
  <si>
    <t>2024-06-23</t>
  </si>
  <si>
    <t>Check out our latest video on instagram!</t>
  </si>
  <si>
    <t>P020</t>
  </si>
  <si>
    <t>2024-09-09</t>
  </si>
  <si>
    <t>Check out our latest carousel on instagram!</t>
  </si>
  <si>
    <t>P021</t>
  </si>
  <si>
    <t>2025-01-04</t>
  </si>
  <si>
    <t>P022</t>
  </si>
  <si>
    <t>2025-02-27</t>
  </si>
  <si>
    <t>P023</t>
  </si>
  <si>
    <t>2024-11-06</t>
  </si>
  <si>
    <t>P024</t>
  </si>
  <si>
    <t>2025-01-23</t>
  </si>
  <si>
    <t>P025</t>
  </si>
  <si>
    <t>2025-04-10</t>
  </si>
  <si>
    <t>P026</t>
  </si>
  <si>
    <t>2025-04-05</t>
  </si>
  <si>
    <t>P027</t>
  </si>
  <si>
    <t>2024-09-17</t>
  </si>
  <si>
    <t>Check out our latest text on youtube!</t>
  </si>
  <si>
    <t>P028</t>
  </si>
  <si>
    <t>2025-03-04</t>
  </si>
  <si>
    <t>P029</t>
  </si>
  <si>
    <t>2025-01-31</t>
  </si>
  <si>
    <t>P030</t>
  </si>
  <si>
    <t>2025-02-25</t>
  </si>
  <si>
    <t>P031</t>
  </si>
  <si>
    <t>2024-12-16</t>
  </si>
  <si>
    <t>Check out our latest text on instagram!</t>
  </si>
  <si>
    <t>P032</t>
  </si>
  <si>
    <t>2024-07-31</t>
  </si>
  <si>
    <t>P033</t>
  </si>
  <si>
    <t>2024-08-21</t>
  </si>
  <si>
    <t>P034</t>
  </si>
  <si>
    <t>2025-03-26</t>
  </si>
  <si>
    <t>P035</t>
  </si>
  <si>
    <t>2024-11-30</t>
  </si>
  <si>
    <t>P036</t>
  </si>
  <si>
    <t>2025-04-19</t>
  </si>
  <si>
    <t>P037</t>
  </si>
  <si>
    <t>2025-01-06</t>
  </si>
  <si>
    <t>P038</t>
  </si>
  <si>
    <t>2025-02-17</t>
  </si>
  <si>
    <t>P039</t>
  </si>
  <si>
    <t>2024-11-25</t>
  </si>
  <si>
    <t>P040</t>
  </si>
  <si>
    <t>2025-03-07</t>
  </si>
  <si>
    <t>Check out our latest image on twitter!</t>
  </si>
  <si>
    <t>P041</t>
  </si>
  <si>
    <t>2025-03-08</t>
  </si>
  <si>
    <t>P042</t>
  </si>
  <si>
    <t>2025-03-05</t>
  </si>
  <si>
    <t>P043</t>
  </si>
  <si>
    <t>2024-12-14</t>
  </si>
  <si>
    <t>P044</t>
  </si>
  <si>
    <t>2025-03-02</t>
  </si>
  <si>
    <t>P045</t>
  </si>
  <si>
    <t>2024-11-01</t>
  </si>
  <si>
    <t>P046</t>
  </si>
  <si>
    <t>2025-05-02</t>
  </si>
  <si>
    <t>Check out our latest video on twitter!</t>
  </si>
  <si>
    <t>P047</t>
  </si>
  <si>
    <t>2025-02-24</t>
  </si>
  <si>
    <t>P048</t>
  </si>
  <si>
    <t>Check out our latest story on twitter!</t>
  </si>
  <si>
    <t>P049</t>
  </si>
  <si>
    <t>2024-06-10</t>
  </si>
  <si>
    <t>P050</t>
  </si>
  <si>
    <t>2024-07-03</t>
  </si>
  <si>
    <t>Check out our latest story on youtube!</t>
  </si>
  <si>
    <t>P051</t>
  </si>
  <si>
    <t>2024-06-13</t>
  </si>
  <si>
    <t>P052</t>
  </si>
  <si>
    <t>2025-01-03</t>
  </si>
  <si>
    <t>P053</t>
  </si>
  <si>
    <t>P054</t>
  </si>
  <si>
    <t>2025-03-13</t>
  </si>
  <si>
    <t>P055</t>
  </si>
  <si>
    <t>2024-06-17</t>
  </si>
  <si>
    <t>P056</t>
  </si>
  <si>
    <t>2024-12-18</t>
  </si>
  <si>
    <t>P057</t>
  </si>
  <si>
    <t>2024-10-21</t>
  </si>
  <si>
    <t>P058</t>
  </si>
  <si>
    <t>2025-04-15</t>
  </si>
  <si>
    <t>P059</t>
  </si>
  <si>
    <t>2024-06-22</t>
  </si>
  <si>
    <t>P060</t>
  </si>
  <si>
    <t>2025-01-28</t>
  </si>
  <si>
    <t>P061</t>
  </si>
  <si>
    <t>2024-09-05</t>
  </si>
  <si>
    <t>P062</t>
  </si>
  <si>
    <t>2024-11-22</t>
  </si>
  <si>
    <t>P063</t>
  </si>
  <si>
    <t>P064</t>
  </si>
  <si>
    <t>2024-08-17</t>
  </si>
  <si>
    <t>P065</t>
  </si>
  <si>
    <t>2025-03-28</t>
  </si>
  <si>
    <t>P066</t>
  </si>
  <si>
    <t>2024-07-26</t>
  </si>
  <si>
    <t>P067</t>
  </si>
  <si>
    <t>2025-03-29</t>
  </si>
  <si>
    <t>P068</t>
  </si>
  <si>
    <t>2024-12-08</t>
  </si>
  <si>
    <t>P069</t>
  </si>
  <si>
    <t>P070</t>
  </si>
  <si>
    <t>2025-04-02</t>
  </si>
  <si>
    <t>P071</t>
  </si>
  <si>
    <t>2024-09-02</t>
  </si>
  <si>
    <t>P072</t>
  </si>
  <si>
    <t>2025-03-03</t>
  </si>
  <si>
    <t>P073</t>
  </si>
  <si>
    <t>2024-10-18</t>
  </si>
  <si>
    <t>P074</t>
  </si>
  <si>
    <t>2024-10-28</t>
  </si>
  <si>
    <t>P075</t>
  </si>
  <si>
    <t>2024-08-01</t>
  </si>
  <si>
    <t>P076</t>
  </si>
  <si>
    <t>2024-11-07</t>
  </si>
  <si>
    <t>P077</t>
  </si>
  <si>
    <t>P078</t>
  </si>
  <si>
    <t>P079</t>
  </si>
  <si>
    <t>2024-10-09</t>
  </si>
  <si>
    <t>P080</t>
  </si>
  <si>
    <t>P081</t>
  </si>
  <si>
    <t>2024-10-19</t>
  </si>
  <si>
    <t>P082</t>
  </si>
  <si>
    <t>2024-07-24</t>
  </si>
  <si>
    <t>Check out our latest image on instagram!</t>
  </si>
  <si>
    <t>P083</t>
  </si>
  <si>
    <t>2024-10-15</t>
  </si>
  <si>
    <t>Check out our latest video on youtube!</t>
  </si>
  <si>
    <t>P084</t>
  </si>
  <si>
    <t>2024-12-09</t>
  </si>
  <si>
    <t>P085</t>
  </si>
  <si>
    <t>P086</t>
  </si>
  <si>
    <t>2025-01-27</t>
  </si>
  <si>
    <t>P087</t>
  </si>
  <si>
    <t>2024-06-06</t>
  </si>
  <si>
    <t>P088</t>
  </si>
  <si>
    <t>2024-07-07</t>
  </si>
  <si>
    <t>P089</t>
  </si>
  <si>
    <t>2025-01-10</t>
  </si>
  <si>
    <t>P090</t>
  </si>
  <si>
    <t>2024-06-03</t>
  </si>
  <si>
    <t>P091</t>
  </si>
  <si>
    <t>2025-03-24</t>
  </si>
  <si>
    <t>P092</t>
  </si>
  <si>
    <t>P093</t>
  </si>
  <si>
    <t>2024-12-11</t>
  </si>
  <si>
    <t>P094</t>
  </si>
  <si>
    <t>P095</t>
  </si>
  <si>
    <t>2024-11-08</t>
  </si>
  <si>
    <t>P096</t>
  </si>
  <si>
    <t>2024-09-10</t>
  </si>
  <si>
    <t>P097</t>
  </si>
  <si>
    <t>2024-08-13</t>
  </si>
  <si>
    <t>P098</t>
  </si>
  <si>
    <t>P099</t>
  </si>
  <si>
    <t>2024-07-02</t>
  </si>
  <si>
    <t>P100</t>
  </si>
  <si>
    <t>2025-02-10</t>
  </si>
  <si>
    <t>P101</t>
  </si>
  <si>
    <t>P102</t>
  </si>
  <si>
    <t>2024-09-18</t>
  </si>
  <si>
    <t>P103</t>
  </si>
  <si>
    <t>2024-06-11</t>
  </si>
  <si>
    <t>P104</t>
  </si>
  <si>
    <t>2025-03-23</t>
  </si>
  <si>
    <t>P105</t>
  </si>
  <si>
    <t>2024-06-14</t>
  </si>
  <si>
    <t>P106</t>
  </si>
  <si>
    <t>2025-02-04</t>
  </si>
  <si>
    <t>P107</t>
  </si>
  <si>
    <t>2024-06-21</t>
  </si>
  <si>
    <t>P108</t>
  </si>
  <si>
    <t>2025-03-25</t>
  </si>
  <si>
    <t>P109</t>
  </si>
  <si>
    <t>2024-08-08</t>
  </si>
  <si>
    <t>P110</t>
  </si>
  <si>
    <t>2024-07-29</t>
  </si>
  <si>
    <t>P111</t>
  </si>
  <si>
    <t>2024-11-23</t>
  </si>
  <si>
    <t>P112</t>
  </si>
  <si>
    <t>2024-10-05</t>
  </si>
  <si>
    <t>P113</t>
  </si>
  <si>
    <t>2024-10-02</t>
  </si>
  <si>
    <t>P114</t>
  </si>
  <si>
    <t>2024-11-14</t>
  </si>
  <si>
    <t>P115</t>
  </si>
  <si>
    <t>2025-05-11</t>
  </si>
  <si>
    <t>P116</t>
  </si>
  <si>
    <t>2025-03-18</t>
  </si>
  <si>
    <t>P117</t>
  </si>
  <si>
    <t>2024-11-04</t>
  </si>
  <si>
    <t>P118</t>
  </si>
  <si>
    <t>P119</t>
  </si>
  <si>
    <t>2025-02-07</t>
  </si>
  <si>
    <t>P120</t>
  </si>
  <si>
    <t>P121</t>
  </si>
  <si>
    <t>P122</t>
  </si>
  <si>
    <t>P123</t>
  </si>
  <si>
    <t>P124</t>
  </si>
  <si>
    <t>2025-04-06</t>
  </si>
  <si>
    <t>P125</t>
  </si>
  <si>
    <t>2024-09-08</t>
  </si>
  <si>
    <t>P126</t>
  </si>
  <si>
    <t>P127</t>
  </si>
  <si>
    <t>P128</t>
  </si>
  <si>
    <t>P129</t>
  </si>
  <si>
    <t>P130</t>
  </si>
  <si>
    <t>2024-09-29</t>
  </si>
  <si>
    <t>P131</t>
  </si>
  <si>
    <t>P132</t>
  </si>
  <si>
    <t>P133</t>
  </si>
  <si>
    <t>2025-02-06</t>
  </si>
  <si>
    <t>P134</t>
  </si>
  <si>
    <t>2025-04-24</t>
  </si>
  <si>
    <t>P135</t>
  </si>
  <si>
    <t>2024-11-28</t>
  </si>
  <si>
    <t>P136</t>
  </si>
  <si>
    <t>2024-07-11</t>
  </si>
  <si>
    <t>P137</t>
  </si>
  <si>
    <t>P138</t>
  </si>
  <si>
    <t>P139</t>
  </si>
  <si>
    <t>2024-10-29</t>
  </si>
  <si>
    <t>P140</t>
  </si>
  <si>
    <t>2024-07-15</t>
  </si>
  <si>
    <t>P141</t>
  </si>
  <si>
    <t>2024-08-31</t>
  </si>
  <si>
    <t>P142</t>
  </si>
  <si>
    <t>P143</t>
  </si>
  <si>
    <t>P144</t>
  </si>
  <si>
    <t>P145</t>
  </si>
  <si>
    <t>P146</t>
  </si>
  <si>
    <t>2024-06-05</t>
  </si>
  <si>
    <t>P147</t>
  </si>
  <si>
    <t>P148</t>
  </si>
  <si>
    <t>P149</t>
  </si>
  <si>
    <t>2024-06-16</t>
  </si>
  <si>
    <t>P150</t>
  </si>
  <si>
    <t>2024-08-22</t>
  </si>
  <si>
    <t>P151</t>
  </si>
  <si>
    <t>P152</t>
  </si>
  <si>
    <t>2025-04-22</t>
  </si>
  <si>
    <t>P153</t>
  </si>
  <si>
    <t>2025-01-01</t>
  </si>
  <si>
    <t>P154</t>
  </si>
  <si>
    <t>P155</t>
  </si>
  <si>
    <t>2024-12-21</t>
  </si>
  <si>
    <t>P156</t>
  </si>
  <si>
    <t>2024-10-22</t>
  </si>
  <si>
    <t>P157</t>
  </si>
  <si>
    <t>2024-07-23</t>
  </si>
  <si>
    <t>P158</t>
  </si>
  <si>
    <t>2024-08-11</t>
  </si>
  <si>
    <t>P159</t>
  </si>
  <si>
    <t>P160</t>
  </si>
  <si>
    <t>2024-08-24</t>
  </si>
  <si>
    <t>P161</t>
  </si>
  <si>
    <t>2025-02-19</t>
  </si>
  <si>
    <t>P162</t>
  </si>
  <si>
    <t>2025-04-01</t>
  </si>
  <si>
    <t>P163</t>
  </si>
  <si>
    <t>2025-04-08</t>
  </si>
  <si>
    <t>P164</t>
  </si>
  <si>
    <t>P165</t>
  </si>
  <si>
    <t>P166</t>
  </si>
  <si>
    <t>P167</t>
  </si>
  <si>
    <t>P168</t>
  </si>
  <si>
    <t>2024-11-12</t>
  </si>
  <si>
    <t>P169</t>
  </si>
  <si>
    <t>2024-12-03</t>
  </si>
  <si>
    <t>P170</t>
  </si>
  <si>
    <t>2025-04-28</t>
  </si>
  <si>
    <t>P171</t>
  </si>
  <si>
    <t>2024-12-31</t>
  </si>
  <si>
    <t>P172</t>
  </si>
  <si>
    <t>2024-08-14</t>
  </si>
  <si>
    <t>P173</t>
  </si>
  <si>
    <t>2024-12-05</t>
  </si>
  <si>
    <t>P174</t>
  </si>
  <si>
    <t>P175</t>
  </si>
  <si>
    <t>2025-01-17</t>
  </si>
  <si>
    <t>P176</t>
  </si>
  <si>
    <t>2024-06-20</t>
  </si>
  <si>
    <t>P177</t>
  </si>
  <si>
    <t>2024-07-10</t>
  </si>
  <si>
    <t>P178</t>
  </si>
  <si>
    <t>P179</t>
  </si>
  <si>
    <t>P180</t>
  </si>
  <si>
    <t>P181</t>
  </si>
  <si>
    <t>2025-03-21</t>
  </si>
  <si>
    <t>P182</t>
  </si>
  <si>
    <t>P183</t>
  </si>
  <si>
    <t>2024-12-17</t>
  </si>
  <si>
    <t>P184</t>
  </si>
  <si>
    <t>2024-07-28</t>
  </si>
  <si>
    <t>P185</t>
  </si>
  <si>
    <t>2025-01-11</t>
  </si>
  <si>
    <t>P186</t>
  </si>
  <si>
    <t>P187</t>
  </si>
  <si>
    <t>2024-12-22</t>
  </si>
  <si>
    <t>P188</t>
  </si>
  <si>
    <t>P189</t>
  </si>
  <si>
    <t>P190</t>
  </si>
  <si>
    <t>2024-10-04</t>
  </si>
  <si>
    <t>P191</t>
  </si>
  <si>
    <t>P192</t>
  </si>
  <si>
    <t>2024-11-29</t>
  </si>
  <si>
    <t>P193</t>
  </si>
  <si>
    <t>2024-09-11</t>
  </si>
  <si>
    <t>P194</t>
  </si>
  <si>
    <t>P195</t>
  </si>
  <si>
    <t>2024-08-15</t>
  </si>
  <si>
    <t>P196</t>
  </si>
  <si>
    <t>2024-12-19</t>
  </si>
  <si>
    <t>P197</t>
  </si>
  <si>
    <t>P198</t>
  </si>
  <si>
    <t>2024-09-14</t>
  </si>
  <si>
    <t>P199</t>
  </si>
  <si>
    <t>P200</t>
  </si>
  <si>
    <t>2025-04-07</t>
  </si>
  <si>
    <t>P201</t>
  </si>
  <si>
    <t>2025-01-15</t>
  </si>
  <si>
    <t>P202</t>
  </si>
  <si>
    <t>2024-06-02</t>
  </si>
  <si>
    <t>P203</t>
  </si>
  <si>
    <t>2024-11-21</t>
  </si>
  <si>
    <t>P204</t>
  </si>
  <si>
    <t>P205</t>
  </si>
  <si>
    <t>P206</t>
  </si>
  <si>
    <t>P207</t>
  </si>
  <si>
    <t>2024-12-29</t>
  </si>
  <si>
    <t>P208</t>
  </si>
  <si>
    <t>P209</t>
  </si>
  <si>
    <t>2025-03-19</t>
  </si>
  <si>
    <t>P210</t>
  </si>
  <si>
    <t>P211</t>
  </si>
  <si>
    <t>2024-07-18</t>
  </si>
  <si>
    <t>P212</t>
  </si>
  <si>
    <t>P213</t>
  </si>
  <si>
    <t>2025-05-01</t>
  </si>
  <si>
    <t>P214</t>
  </si>
  <si>
    <t>P215</t>
  </si>
  <si>
    <t>2025-05-06</t>
  </si>
  <si>
    <t>P216</t>
  </si>
  <si>
    <t>P217</t>
  </si>
  <si>
    <t>P218</t>
  </si>
  <si>
    <t>P219</t>
  </si>
  <si>
    <t>P220</t>
  </si>
  <si>
    <t>P221</t>
  </si>
  <si>
    <t>P222</t>
  </si>
  <si>
    <t>2024-10-08</t>
  </si>
  <si>
    <t>P223</t>
  </si>
  <si>
    <t>P224</t>
  </si>
  <si>
    <t>2025-05-13</t>
  </si>
  <si>
    <t>P225</t>
  </si>
  <si>
    <t>P226</t>
  </si>
  <si>
    <t>2024-08-07</t>
  </si>
  <si>
    <t>P227</t>
  </si>
  <si>
    <t>2024-06-12</t>
  </si>
  <si>
    <t>P228</t>
  </si>
  <si>
    <t>2024-07-01</t>
  </si>
  <si>
    <t>P229</t>
  </si>
  <si>
    <t>P230</t>
  </si>
  <si>
    <t>P231</t>
  </si>
  <si>
    <t>P232</t>
  </si>
  <si>
    <t>2025-04-29</t>
  </si>
  <si>
    <t>P233</t>
  </si>
  <si>
    <t>P234</t>
  </si>
  <si>
    <t>2024-06-01</t>
  </si>
  <si>
    <t>P235</t>
  </si>
  <si>
    <t>P236</t>
  </si>
  <si>
    <t>P237</t>
  </si>
  <si>
    <t>P238</t>
  </si>
  <si>
    <t>2024-07-16</t>
  </si>
  <si>
    <t>P239</t>
  </si>
  <si>
    <t>P240</t>
  </si>
  <si>
    <t>P241</t>
  </si>
  <si>
    <t>2025-01-18</t>
  </si>
  <si>
    <t>P242</t>
  </si>
  <si>
    <t>P243</t>
  </si>
  <si>
    <t>2025-03-06</t>
  </si>
  <si>
    <t>P244</t>
  </si>
  <si>
    <t>2024-10-25</t>
  </si>
  <si>
    <t>P245</t>
  </si>
  <si>
    <t>2025-01-12</t>
  </si>
  <si>
    <t>P246</t>
  </si>
  <si>
    <t>2024-10-11</t>
  </si>
  <si>
    <t>P247</t>
  </si>
  <si>
    <t>2024-08-27</t>
  </si>
  <si>
    <t>P248</t>
  </si>
  <si>
    <t>P249</t>
  </si>
  <si>
    <t>P250</t>
  </si>
  <si>
    <t>P251</t>
  </si>
  <si>
    <t>2025-03-27</t>
  </si>
  <si>
    <t>P252</t>
  </si>
  <si>
    <t>P253</t>
  </si>
  <si>
    <t>2024-08-03</t>
  </si>
  <si>
    <t>P254</t>
  </si>
  <si>
    <t>2025-01-14</t>
  </si>
  <si>
    <t>P255</t>
  </si>
  <si>
    <t>P256</t>
  </si>
  <si>
    <t>P257</t>
  </si>
  <si>
    <t>P258</t>
  </si>
  <si>
    <t>2024-08-05</t>
  </si>
  <si>
    <t>P259</t>
  </si>
  <si>
    <t>P260</t>
  </si>
  <si>
    <t>2025-02-12</t>
  </si>
  <si>
    <t>P261</t>
  </si>
  <si>
    <t>2024-10-27</t>
  </si>
  <si>
    <t>P262</t>
  </si>
  <si>
    <t>P263</t>
  </si>
  <si>
    <t>2024-08-20</t>
  </si>
  <si>
    <t>P264</t>
  </si>
  <si>
    <t>2025-01-30</t>
  </si>
  <si>
    <t>P265</t>
  </si>
  <si>
    <t>2025-02-20</t>
  </si>
  <si>
    <t>P266</t>
  </si>
  <si>
    <t>P267</t>
  </si>
  <si>
    <t>P268</t>
  </si>
  <si>
    <t>2025-04-13</t>
  </si>
  <si>
    <t>P269</t>
  </si>
  <si>
    <t>2024-11-05</t>
  </si>
  <si>
    <t>P270</t>
  </si>
  <si>
    <t>P271</t>
  </si>
  <si>
    <t>2024-10-17</t>
  </si>
  <si>
    <t>P272</t>
  </si>
  <si>
    <t>P273</t>
  </si>
  <si>
    <t>2024-10-12</t>
  </si>
  <si>
    <t>P274</t>
  </si>
  <si>
    <t>P275</t>
  </si>
  <si>
    <t>P276</t>
  </si>
  <si>
    <t>2024-06-07</t>
  </si>
  <si>
    <t>P277</t>
  </si>
  <si>
    <t>P278</t>
  </si>
  <si>
    <t>2024-11-26</t>
  </si>
  <si>
    <t>P279</t>
  </si>
  <si>
    <t>P280</t>
  </si>
  <si>
    <t>P281</t>
  </si>
  <si>
    <t>2025-03-22</t>
  </si>
  <si>
    <t>P282</t>
  </si>
  <si>
    <t>2024-10-03</t>
  </si>
  <si>
    <t>P283</t>
  </si>
  <si>
    <t>2025-05-09</t>
  </si>
  <si>
    <t>P284</t>
  </si>
  <si>
    <t>P285</t>
  </si>
  <si>
    <t>P286</t>
  </si>
  <si>
    <t>2024-09-25</t>
  </si>
  <si>
    <t>P287</t>
  </si>
  <si>
    <t>P288</t>
  </si>
  <si>
    <t>2025-04-17</t>
  </si>
  <si>
    <t>P289</t>
  </si>
  <si>
    <t>P290</t>
  </si>
  <si>
    <t>2024-12-20</t>
  </si>
  <si>
    <t>P291</t>
  </si>
  <si>
    <t>P292</t>
  </si>
  <si>
    <t>2024-11-17</t>
  </si>
  <si>
    <t>P293</t>
  </si>
  <si>
    <t>2025-05-14</t>
  </si>
  <si>
    <t>P294</t>
  </si>
  <si>
    <t>2024-06-19</t>
  </si>
  <si>
    <t>P295</t>
  </si>
  <si>
    <t>P296</t>
  </si>
  <si>
    <t>2025-02-11</t>
  </si>
  <si>
    <t>P297</t>
  </si>
  <si>
    <t>2024-12-24</t>
  </si>
  <si>
    <t>P298</t>
  </si>
  <si>
    <t>P299</t>
  </si>
  <si>
    <t>P300</t>
  </si>
  <si>
    <t>Week_Start_Date</t>
  </si>
  <si>
    <t>New_Followers</t>
  </si>
  <si>
    <t>Unfollows</t>
  </si>
  <si>
    <t>Total_Followers</t>
  </si>
  <si>
    <t>Engagement_Rate</t>
  </si>
  <si>
    <t>Ad_Spend</t>
  </si>
  <si>
    <t>2024-07-08</t>
  </si>
  <si>
    <t>2024-07-22</t>
  </si>
  <si>
    <t>2024-09-16</t>
  </si>
  <si>
    <t>2024-09-23</t>
  </si>
  <si>
    <t>2024-09-30</t>
  </si>
  <si>
    <t>2024-10-07</t>
  </si>
  <si>
    <t>2024-10-14</t>
  </si>
  <si>
    <t>2024-11-11</t>
  </si>
  <si>
    <t>2024-12-02</t>
  </si>
  <si>
    <t>2024-12-30</t>
  </si>
  <si>
    <t>2025-01-13</t>
  </si>
  <si>
    <t>2025-01-20</t>
  </si>
  <si>
    <t>2025-02-03</t>
  </si>
  <si>
    <t>2025-03-10</t>
  </si>
  <si>
    <t>2025-03-17</t>
  </si>
  <si>
    <t>2025-03-31</t>
  </si>
  <si>
    <t>2025-04-14</t>
  </si>
  <si>
    <t>2025-04-21</t>
  </si>
  <si>
    <t>Start_Date</t>
  </si>
  <si>
    <t>End_Date</t>
  </si>
  <si>
    <t>Objective</t>
  </si>
  <si>
    <t>Total_Budget</t>
  </si>
  <si>
    <t>Target_Platforms</t>
  </si>
  <si>
    <t>Primary_Hashtags</t>
  </si>
  <si>
    <t>2024-06-15</t>
  </si>
  <si>
    <t>Product Awareness</t>
  </si>
  <si>
    <t>Instagram,Facebook</t>
  </si>
  <si>
    <t>2024-10-01</t>
  </si>
  <si>
    <t>Customer Engagement</t>
  </si>
  <si>
    <t>Instagram,YouTube</t>
  </si>
  <si>
    <t>#AnytimeIsTeslaTime,</t>
  </si>
  <si>
    <t>2024-12-25</t>
  </si>
  <si>
    <t>Vehicle Launch</t>
  </si>
  <si>
    <t>Facebook,Twitter</t>
  </si>
  <si>
    <t>#SmoothLikeNitroTesla</t>
  </si>
  <si>
    <t>2025-03-01</t>
  </si>
  <si>
    <t>Community Growth</t>
  </si>
  <si>
    <t>Instagram,Twitter</t>
  </si>
  <si>
    <t>#BetterWithTesla,#FutureOfDriving</t>
  </si>
  <si>
    <t>Hashtag 1</t>
  </si>
  <si>
    <t>Hashtag 2</t>
  </si>
  <si>
    <t>Hashtag 3</t>
  </si>
  <si>
    <t>#AnytimeIsTeslaTime</t>
  </si>
  <si>
    <t>#BetterWithTesla</t>
  </si>
  <si>
    <t xml:space="preserve">Engagement rate </t>
  </si>
  <si>
    <t xml:space="preserve">Instagram </t>
  </si>
  <si>
    <t xml:space="preserve">YouTube </t>
  </si>
  <si>
    <t xml:space="preserve">Average Engagement rate per platform </t>
  </si>
  <si>
    <t>Sum of Likes</t>
  </si>
  <si>
    <t>Sum of Shares</t>
  </si>
  <si>
    <t>Sum of Comments</t>
  </si>
  <si>
    <t>Row Labels</t>
  </si>
  <si>
    <t>Grand Total</t>
  </si>
  <si>
    <t>Column Labels</t>
  </si>
  <si>
    <t xml:space="preserve">Total posts </t>
  </si>
  <si>
    <t xml:space="preserve">Total Clicks </t>
  </si>
  <si>
    <t>Average  Clicks</t>
  </si>
  <si>
    <t xml:space="preserve">Follower Growth Rate </t>
  </si>
  <si>
    <t xml:space="preserve">Average of Follower Growth Rate </t>
  </si>
  <si>
    <t xml:space="preserve">Engagement </t>
  </si>
  <si>
    <t>Average of Ad_Spend</t>
  </si>
  <si>
    <t xml:space="preserve">Average of Engagement </t>
  </si>
  <si>
    <t xml:space="preserve">Avg Engagement </t>
  </si>
  <si>
    <t xml:space="preserve">Avg Ad Spend </t>
  </si>
  <si>
    <t xml:space="preserve">Average of ad spend </t>
  </si>
  <si>
    <t xml:space="preserve">Average of Engagement rate </t>
  </si>
  <si>
    <t xml:space="preserve">Platform </t>
  </si>
  <si>
    <t>Avg Ad Spend</t>
  </si>
  <si>
    <t>Unique Hashtag 1</t>
  </si>
  <si>
    <t>Unique Hashtag 2</t>
  </si>
  <si>
    <t>Unique Hashtag 3</t>
  </si>
  <si>
    <t>Count</t>
  </si>
  <si>
    <t xml:space="preserve">Counts </t>
  </si>
  <si>
    <t>Counts</t>
  </si>
  <si>
    <t xml:space="preserve">Hashtags </t>
  </si>
  <si>
    <t xml:space="preserve">Most Frequent hashtag </t>
  </si>
  <si>
    <t>Average of Likes</t>
  </si>
  <si>
    <t>Average of Shares</t>
  </si>
  <si>
    <t>Average of Reach</t>
  </si>
  <si>
    <t>Average of Comments</t>
  </si>
  <si>
    <t>Average of Impressions</t>
  </si>
  <si>
    <t>Hashtags</t>
  </si>
  <si>
    <t>(blank)</t>
  </si>
  <si>
    <t xml:space="preserve">Total Impressions </t>
  </si>
  <si>
    <t>Total Likes</t>
  </si>
  <si>
    <t>Total Clicks</t>
  </si>
  <si>
    <t>Average of Clicks</t>
  </si>
  <si>
    <t>Total Impressions, Likes and Clicks per campaign</t>
  </si>
  <si>
    <t>Average Impressions, Likes and Clicks per campaign</t>
  </si>
  <si>
    <t xml:space="preserve">Engagement Uplift During Campaign vs Before </t>
  </si>
  <si>
    <t xml:space="preserve">Sum of Engagement </t>
  </si>
  <si>
    <t>Sum of Ad_Spend</t>
  </si>
  <si>
    <t xml:space="preserve">Campaign </t>
  </si>
  <si>
    <t xml:space="preserve">Total Engagement </t>
  </si>
  <si>
    <t>Total Engagement</t>
  </si>
  <si>
    <t>% of Total engagement</t>
  </si>
  <si>
    <t>Estimated Spend</t>
  </si>
  <si>
    <t>Count of Platform</t>
  </si>
  <si>
    <t>Count of Campaign_Name</t>
  </si>
  <si>
    <t xml:space="preserve">Sum of Follower Growth Rate </t>
  </si>
  <si>
    <t>Cybertruck Launch</t>
  </si>
  <si>
    <t>Fsd Update</t>
  </si>
  <si>
    <t>ModelYcampaign</t>
  </si>
  <si>
    <t xml:space="preserve">Sustainability drive </t>
  </si>
  <si>
    <t>Follower Growth Rate</t>
  </si>
  <si>
    <t>Weighted Growth Score</t>
  </si>
  <si>
    <t>Sum of New_Followers</t>
  </si>
  <si>
    <t xml:space="preserve">Avg Engagement per 1 dollar </t>
  </si>
  <si>
    <t>Engagement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</si>
</sst>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 &quot;₹&quot;\ * #,##0.00_ ;_ &quot;₹&quot;\ * \-#,##0.00_ ;_ &quot;₹&quot;\ * &quot;-&quot;??_ ;_ @_ "/>
    <numFmt numFmtId="164" formatCode="[$$-409]#,##0.00"/>
    <numFmt numFmtId="165" formatCode="0.0%"/>
    <numFmt numFmtId="166" formatCode="[$$-409]#,##0"/>
    <numFmt numFmtId="167" formatCode="0.0000"/>
    <numFmt numFmtId="168" formatCode="0.000"/>
  </numFmts>
  <fonts count="7" x14ac:knownFonts="1">
    <font>
      <sz val="11"/>
      <color theme="1"/>
      <name val="Calibri"/>
      <family val="2"/>
      <scheme val="minor"/>
    </font>
    <font>
      <sz val="11"/>
      <color theme="1"/>
      <name val="Calibri"/>
      <family val="2"/>
      <scheme val="minor"/>
    </font>
    <font>
      <b/>
      <sz val="11"/>
      <color theme="1"/>
      <name val="Calibri"/>
      <family val="2"/>
      <scheme val="minor"/>
    </font>
    <font>
      <b/>
      <sz val="11"/>
      <color theme="1"/>
      <name val="Calibri"/>
      <family val="2"/>
      <scheme val="minor"/>
    </font>
    <font>
      <sz val="11"/>
      <color theme="1"/>
      <name val="Calibri"/>
      <family val="2"/>
      <scheme val="minor"/>
    </font>
    <font>
      <sz val="14"/>
      <color theme="1"/>
      <name val="Calibri"/>
      <family val="2"/>
      <scheme val="minor"/>
    </font>
    <font>
      <sz val="8"/>
      <name val="Calibri"/>
      <family val="2"/>
      <scheme val="minor"/>
    </font>
  </fonts>
  <fills count="13">
    <fill>
      <patternFill patternType="none"/>
    </fill>
    <fill>
      <patternFill patternType="gray125"/>
    </fill>
    <fill>
      <patternFill patternType="solid">
        <fgColor theme="3" tint="0.39997558519241921"/>
        <bgColor indexed="64"/>
      </patternFill>
    </fill>
    <fill>
      <patternFill patternType="solid">
        <fgColor rgb="FF00B0F0"/>
        <bgColor indexed="64"/>
      </patternFill>
    </fill>
    <fill>
      <patternFill patternType="solid">
        <fgColor theme="8" tint="0.79998168889431442"/>
        <bgColor indexed="64"/>
      </patternFill>
    </fill>
    <fill>
      <patternFill patternType="solid">
        <fgColor theme="6" tint="0.39997558519241921"/>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rgb="FF92D050"/>
        <bgColor indexed="64"/>
      </patternFill>
    </fill>
    <fill>
      <patternFill patternType="solid">
        <fgColor rgb="FFFFFF00"/>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84">
    <xf numFmtId="0" fontId="0" fillId="0" borderId="0" xfId="0"/>
    <xf numFmtId="0" fontId="2" fillId="0" borderId="1" xfId="0" applyFont="1" applyBorder="1" applyAlignment="1">
      <alignment horizontal="center" vertical="top"/>
    </xf>
    <xf numFmtId="0" fontId="1" fillId="0" borderId="0" xfId="0" applyFont="1"/>
    <xf numFmtId="49" fontId="1" fillId="0" borderId="0" xfId="0" applyNumberFormat="1" applyFont="1"/>
    <xf numFmtId="14" fontId="1" fillId="0" borderId="0" xfId="0" applyNumberFormat="1" applyFont="1"/>
    <xf numFmtId="1" fontId="1" fillId="0" borderId="0" xfId="0" applyNumberFormat="1" applyFont="1"/>
    <xf numFmtId="49" fontId="0" fillId="0" borderId="0" xfId="0" applyNumberFormat="1"/>
    <xf numFmtId="0" fontId="3" fillId="0" borderId="1" xfId="0" applyFont="1" applyBorder="1" applyAlignment="1">
      <alignment horizontal="center" vertical="top"/>
    </xf>
    <xf numFmtId="0" fontId="4" fillId="0" borderId="0" xfId="0" applyFont="1"/>
    <xf numFmtId="0" fontId="2" fillId="0" borderId="2" xfId="0" applyFont="1" applyBorder="1" applyAlignment="1">
      <alignment horizontal="center" vertical="top"/>
    </xf>
    <xf numFmtId="10" fontId="0" fillId="0" borderId="0" xfId="0" applyNumberFormat="1"/>
    <xf numFmtId="49" fontId="1" fillId="0" borderId="0" xfId="1" applyNumberFormat="1" applyFont="1"/>
    <xf numFmtId="0" fontId="5" fillId="4" borderId="3" xfId="0" applyFont="1" applyFill="1" applyBorder="1" applyAlignment="1">
      <alignment horizontal="center"/>
    </xf>
    <xf numFmtId="0" fontId="5" fillId="3" borderId="3" xfId="0" applyFont="1" applyFill="1" applyBorder="1" applyAlignment="1">
      <alignment horizontal="center"/>
    </xf>
    <xf numFmtId="165" fontId="5" fillId="2" borderId="3" xfId="0" applyNumberFormat="1" applyFont="1" applyFill="1" applyBorder="1" applyAlignment="1">
      <alignment horizontal="center"/>
    </xf>
    <xf numFmtId="1" fontId="0" fillId="0" borderId="0" xfId="0" applyNumberFormat="1"/>
    <xf numFmtId="0" fontId="0" fillId="0" borderId="0" xfId="0" pivotButton="1"/>
    <xf numFmtId="0" fontId="0" fillId="0" borderId="0" xfId="0" applyAlignment="1">
      <alignment horizontal="left"/>
    </xf>
    <xf numFmtId="49" fontId="1" fillId="5" borderId="0" xfId="0" applyNumberFormat="1" applyFont="1" applyFill="1"/>
    <xf numFmtId="14" fontId="1" fillId="5" borderId="0" xfId="0" applyNumberFormat="1" applyFont="1" applyFill="1"/>
    <xf numFmtId="49" fontId="1" fillId="5" borderId="0" xfId="1" applyNumberFormat="1" applyFont="1" applyFill="1"/>
    <xf numFmtId="1" fontId="1" fillId="5" borderId="0" xfId="0" applyNumberFormat="1" applyFont="1" applyFill="1"/>
    <xf numFmtId="0" fontId="0" fillId="5" borderId="0" xfId="0" applyFill="1"/>
    <xf numFmtId="10" fontId="0" fillId="5" borderId="0" xfId="0" applyNumberFormat="1" applyFill="1"/>
    <xf numFmtId="49" fontId="0" fillId="5" borderId="0" xfId="0" applyNumberFormat="1" applyFill="1"/>
    <xf numFmtId="166" fontId="0" fillId="0" borderId="0" xfId="0" applyNumberFormat="1"/>
    <xf numFmtId="0" fontId="5" fillId="6" borderId="0" xfId="0" applyFont="1" applyFill="1" applyAlignment="1">
      <alignment horizontal="center"/>
    </xf>
    <xf numFmtId="1" fontId="5" fillId="0" borderId="0" xfId="0" applyNumberFormat="1" applyFont="1" applyAlignment="1">
      <alignment horizontal="center"/>
    </xf>
    <xf numFmtId="0" fontId="0" fillId="0" borderId="3" xfId="0" pivotButton="1" applyBorder="1"/>
    <xf numFmtId="0" fontId="0" fillId="0" borderId="3" xfId="0" applyBorder="1"/>
    <xf numFmtId="0" fontId="0" fillId="0" borderId="3" xfId="0" applyBorder="1" applyAlignment="1">
      <alignment horizontal="left"/>
    </xf>
    <xf numFmtId="1" fontId="0" fillId="0" borderId="3" xfId="0" applyNumberFormat="1" applyBorder="1"/>
    <xf numFmtId="10" fontId="0" fillId="0" borderId="3" xfId="0" applyNumberFormat="1" applyBorder="1"/>
    <xf numFmtId="0" fontId="0" fillId="6" borderId="3" xfId="0" applyFill="1" applyBorder="1" applyAlignment="1">
      <alignment horizontal="center"/>
    </xf>
    <xf numFmtId="1" fontId="0" fillId="0" borderId="3" xfId="0" applyNumberFormat="1" applyBorder="1" applyAlignment="1">
      <alignment horizontal="center"/>
    </xf>
    <xf numFmtId="2" fontId="0" fillId="0" borderId="3" xfId="0" applyNumberFormat="1" applyBorder="1" applyAlignment="1">
      <alignment horizontal="center"/>
    </xf>
    <xf numFmtId="166" fontId="0" fillId="0" borderId="3" xfId="0" applyNumberFormat="1" applyBorder="1"/>
    <xf numFmtId="0" fontId="0" fillId="7" borderId="0" xfId="0" applyFill="1" applyAlignment="1">
      <alignment horizontal="left"/>
    </xf>
    <xf numFmtId="0" fontId="0" fillId="8" borderId="0" xfId="0" applyFill="1" applyAlignment="1">
      <alignment horizontal="right"/>
    </xf>
    <xf numFmtId="0" fontId="0" fillId="0" borderId="0" xfId="0" applyAlignment="1">
      <alignment horizontal="right"/>
    </xf>
    <xf numFmtId="0" fontId="5" fillId="0" borderId="3" xfId="0" applyFont="1" applyBorder="1" applyAlignment="1">
      <alignment horizontal="left"/>
    </xf>
    <xf numFmtId="0" fontId="5" fillId="9" borderId="3" xfId="0" applyFont="1" applyFill="1" applyBorder="1" applyAlignment="1">
      <alignment horizontal="right"/>
    </xf>
    <xf numFmtId="0" fontId="5" fillId="0" borderId="3" xfId="0" applyFont="1" applyBorder="1" applyAlignment="1">
      <alignment horizontal="right"/>
    </xf>
    <xf numFmtId="0" fontId="5" fillId="9" borderId="3" xfId="0" applyFont="1" applyFill="1" applyBorder="1" applyAlignment="1">
      <alignment horizontal="left"/>
    </xf>
    <xf numFmtId="0" fontId="0" fillId="10" borderId="0" xfId="0" applyFill="1"/>
    <xf numFmtId="0" fontId="0" fillId="10" borderId="0" xfId="0" applyFill="1" applyAlignment="1">
      <alignment horizontal="right"/>
    </xf>
    <xf numFmtId="0" fontId="0" fillId="9" borderId="3" xfId="0" applyFill="1" applyBorder="1" applyAlignment="1">
      <alignment horizontal="left"/>
    </xf>
    <xf numFmtId="0" fontId="0" fillId="0" borderId="3" xfId="0" pivotButton="1" applyBorder="1" applyAlignment="1">
      <alignment horizontal="left"/>
    </xf>
    <xf numFmtId="0" fontId="0" fillId="0" borderId="3" xfId="0" applyBorder="1" applyAlignment="1">
      <alignment horizontal="right"/>
    </xf>
    <xf numFmtId="1" fontId="0" fillId="0" borderId="3" xfId="0" applyNumberFormat="1" applyBorder="1" applyAlignment="1">
      <alignment horizontal="right"/>
    </xf>
    <xf numFmtId="0" fontId="2" fillId="0" borderId="3" xfId="0" applyFont="1" applyBorder="1" applyAlignment="1">
      <alignment horizontal="center" vertical="top"/>
    </xf>
    <xf numFmtId="49" fontId="1" fillId="0" borderId="3" xfId="0" applyNumberFormat="1" applyFont="1" applyBorder="1"/>
    <xf numFmtId="1" fontId="1" fillId="0" borderId="3" xfId="0" applyNumberFormat="1" applyFont="1" applyBorder="1"/>
    <xf numFmtId="0" fontId="0" fillId="11" borderId="0" xfId="0" applyFill="1"/>
    <xf numFmtId="1" fontId="0" fillId="11" borderId="0" xfId="0" applyNumberFormat="1" applyFill="1"/>
    <xf numFmtId="167" fontId="0" fillId="0" borderId="0" xfId="0" applyNumberFormat="1"/>
    <xf numFmtId="168" fontId="0" fillId="0" borderId="0" xfId="0" applyNumberFormat="1"/>
    <xf numFmtId="2" fontId="0" fillId="0" borderId="0" xfId="0" applyNumberFormat="1"/>
    <xf numFmtId="164" fontId="0" fillId="0" borderId="0" xfId="0" applyNumberFormat="1"/>
    <xf numFmtId="0" fontId="0" fillId="11" borderId="0" xfId="0" applyFill="1" applyAlignment="1">
      <alignment horizontal="left"/>
    </xf>
    <xf numFmtId="0" fontId="0" fillId="2" borderId="0" xfId="0" applyFill="1"/>
    <xf numFmtId="9" fontId="0" fillId="0" borderId="0" xfId="2" applyFont="1"/>
    <xf numFmtId="165" fontId="0" fillId="0" borderId="0" xfId="2" applyNumberFormat="1" applyFont="1"/>
    <xf numFmtId="0" fontId="0" fillId="11" borderId="3" xfId="0" applyFill="1" applyBorder="1" applyAlignment="1">
      <alignment horizontal="center"/>
    </xf>
    <xf numFmtId="0" fontId="0" fillId="0" borderId="3" xfId="0" applyBorder="1" applyAlignment="1">
      <alignment horizontal="center" vertical="center" wrapText="1"/>
    </xf>
    <xf numFmtId="0" fontId="0" fillId="11" borderId="3" xfId="0" applyFill="1" applyBorder="1" applyAlignment="1">
      <alignment vertical="center" wrapText="1"/>
    </xf>
    <xf numFmtId="167" fontId="0" fillId="0" borderId="3" xfId="0" applyNumberFormat="1" applyBorder="1" applyAlignment="1">
      <alignment vertical="center" wrapText="1"/>
    </xf>
    <xf numFmtId="0" fontId="0" fillId="0" borderId="3" xfId="0" applyBorder="1" applyAlignment="1">
      <alignment horizontal="center"/>
    </xf>
    <xf numFmtId="0" fontId="2" fillId="11" borderId="3" xfId="0" applyFont="1" applyFill="1" applyBorder="1" applyAlignment="1">
      <alignment vertical="center" wrapText="1"/>
    </xf>
    <xf numFmtId="0" fontId="0" fillId="0" borderId="3" xfId="0" pivotButton="1" applyBorder="1" applyAlignment="1">
      <alignment horizontal="center"/>
    </xf>
    <xf numFmtId="10" fontId="0" fillId="0" borderId="3" xfId="0" applyNumberFormat="1" applyBorder="1" applyAlignment="1">
      <alignment horizontal="center"/>
    </xf>
    <xf numFmtId="168" fontId="2" fillId="0" borderId="1" xfId="0" applyNumberFormat="1" applyFont="1" applyBorder="1" applyAlignment="1">
      <alignment horizontal="center" vertical="top"/>
    </xf>
    <xf numFmtId="0" fontId="0" fillId="11" borderId="3" xfId="0" applyFill="1" applyBorder="1" applyAlignment="1">
      <alignment horizontal="left"/>
    </xf>
    <xf numFmtId="0" fontId="0" fillId="11" borderId="3" xfId="0" applyFill="1" applyBorder="1" applyAlignment="1">
      <alignment horizontal="left" vertical="center" wrapText="1"/>
    </xf>
    <xf numFmtId="14" fontId="1" fillId="0" borderId="3" xfId="0" applyNumberFormat="1" applyFont="1" applyBorder="1"/>
    <xf numFmtId="49" fontId="1" fillId="0" borderId="3" xfId="1" applyNumberFormat="1" applyFont="1" applyBorder="1"/>
    <xf numFmtId="49" fontId="0" fillId="0" borderId="3" xfId="0" applyNumberFormat="1" applyBorder="1"/>
    <xf numFmtId="49" fontId="1" fillId="12" borderId="3" xfId="0" applyNumberFormat="1" applyFont="1" applyFill="1" applyBorder="1"/>
    <xf numFmtId="14" fontId="1" fillId="12" borderId="3" xfId="0" applyNumberFormat="1" applyFont="1" applyFill="1" applyBorder="1"/>
    <xf numFmtId="49" fontId="1" fillId="12" borderId="3" xfId="1" applyNumberFormat="1" applyFont="1" applyFill="1" applyBorder="1"/>
    <xf numFmtId="1" fontId="1" fillId="12" borderId="3" xfId="0" applyNumberFormat="1" applyFont="1" applyFill="1" applyBorder="1"/>
    <xf numFmtId="0" fontId="0" fillId="12" borderId="3" xfId="0" applyFill="1" applyBorder="1"/>
    <xf numFmtId="10" fontId="0" fillId="12" borderId="3" xfId="0" applyNumberFormat="1" applyFill="1" applyBorder="1"/>
    <xf numFmtId="1" fontId="0" fillId="12" borderId="3" xfId="0" applyNumberFormat="1" applyFill="1" applyBorder="1"/>
  </cellXfs>
  <cellStyles count="3">
    <cellStyle name="Currency" xfId="1" builtinId="4"/>
    <cellStyle name="Normal" xfId="0" builtinId="0"/>
    <cellStyle name="Percent" xfId="2" builtinId="5"/>
  </cellStyles>
  <dxfs count="56">
    <dxf>
      <fill>
        <patternFill>
          <bgColor theme="7" tint="0.59996337778862885"/>
        </patternFill>
      </fill>
    </dxf>
    <dxf>
      <fill>
        <patternFill>
          <bgColor theme="7" tint="0.59996337778862885"/>
        </patternFill>
      </fill>
    </dxf>
    <dxf>
      <fill>
        <patternFill>
          <bgColor theme="7" tint="0.59996337778862885"/>
        </patternFill>
      </fill>
    </dxf>
    <dxf>
      <fill>
        <patternFill>
          <bgColor rgb="FFFF0000"/>
        </patternFill>
      </fill>
    </dxf>
    <dxf>
      <fill>
        <patternFill>
          <bgColor rgb="FFFF00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dxf>
    <dxf>
      <alignment horizontal="right"/>
    </dxf>
    <dxf>
      <alignment horizontal="left"/>
    </dxf>
    <dxf>
      <alignment horizontal="lef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409]#,##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409]#,##0"/>
    </dxf>
    <dxf>
      <fill>
        <patternFill>
          <bgColor theme="7" tint="0.39994506668294322"/>
        </patternFill>
      </fill>
    </dxf>
  </dxfs>
  <tableStyles count="1" defaultTableStyle="TableStyleMedium2" defaultPivotStyle="PivotStyleLight16">
    <tableStyle name="Slicer Style 1" pivot="0" table="0" count="1" xr9:uid="{6FFC9116-D0E6-4432-99B4-D9009A3A1158}">
      <tableStyleElement type="wholeTable" dxfId="55"/>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2.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pivotCacheDefinition" Target="pivotCache/pivotCacheDefinition10.xml"/><Relationship Id="rId42" Type="http://schemas.openxmlformats.org/officeDocument/2006/relationships/sheetMetadata" Target="metadata.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pivotCacheDefinition" Target="pivotCache/pivotCacheDefinition5.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pivotCacheDefinition" Target="pivotCache/pivotCacheDefinition8.xml"/><Relationship Id="rId37" Type="http://schemas.microsoft.com/office/2007/relationships/slicerCache" Target="slicerCaches/slicerCache3.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pivotCacheDefinition" Target="pivotCache/pivotCacheDefinition4.xml"/><Relationship Id="rId36"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pivotCacheDefinition" Target="pivotCache/pivotCacheDefinition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pivotCacheDefinition" Target="pivotCache/pivotCacheDefinition3.xml"/><Relationship Id="rId30" Type="http://schemas.openxmlformats.org/officeDocument/2006/relationships/pivotCacheDefinition" Target="pivotCache/pivotCacheDefinition6.xml"/><Relationship Id="rId35" Type="http://schemas.microsoft.com/office/2007/relationships/slicerCache" Target="slicerCaches/slicerCache1.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1.xml"/><Relationship Id="rId33" Type="http://schemas.openxmlformats.org/officeDocument/2006/relationships/pivotCacheDefinition" Target="pivotCache/pivotCacheDefinition9.xml"/><Relationship Id="rId38"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'Task 3.3'!$B$11</c:f>
              <c:strCache>
                <c:ptCount val="1"/>
                <c:pt idx="0">
                  <c:v>Avg Engagement </c:v>
                </c:pt>
              </c:strCache>
            </c:strRef>
          </c:tx>
          <c:spPr>
            <a:solidFill>
              <a:schemeClr val="accent1"/>
            </a:solidFill>
            <a:ln>
              <a:noFill/>
            </a:ln>
            <a:effectLst/>
          </c:spPr>
          <c:invertIfNegative val="0"/>
          <c:cat>
            <c:strRef>
              <c:f>'Task 3.3'!$A$12:$A$15</c:f>
              <c:strCache>
                <c:ptCount val="4"/>
                <c:pt idx="0">
                  <c:v>Facebook</c:v>
                </c:pt>
                <c:pt idx="1">
                  <c:v>Instagram</c:v>
                </c:pt>
                <c:pt idx="2">
                  <c:v>Twitter</c:v>
                </c:pt>
                <c:pt idx="3">
                  <c:v>YouTube</c:v>
                </c:pt>
              </c:strCache>
            </c:strRef>
          </c:cat>
          <c:val>
            <c:numRef>
              <c:f>'Task 3.3'!$B$12:$B$15</c:f>
              <c:numCache>
                <c:formatCode>0</c:formatCode>
                <c:ptCount val="4"/>
                <c:pt idx="0">
                  <c:v>3677.6144578313251</c:v>
                </c:pt>
                <c:pt idx="1">
                  <c:v>3336.4430379746836</c:v>
                </c:pt>
                <c:pt idx="2">
                  <c:v>3240.5696202531644</c:v>
                </c:pt>
                <c:pt idx="3">
                  <c:v>3609.1694915254238</c:v>
                </c:pt>
              </c:numCache>
            </c:numRef>
          </c:val>
          <c:extLst>
            <c:ext xmlns:c16="http://schemas.microsoft.com/office/drawing/2014/chart" uri="{C3380CC4-5D6E-409C-BE32-E72D297353CC}">
              <c16:uniqueId val="{00000000-1A83-45E7-B697-15BE26CED36D}"/>
            </c:ext>
          </c:extLst>
        </c:ser>
        <c:ser>
          <c:idx val="1"/>
          <c:order val="1"/>
          <c:tx>
            <c:strRef>
              <c:f>'Task 3.3'!$C$11</c:f>
              <c:strCache>
                <c:ptCount val="1"/>
                <c:pt idx="0">
                  <c:v>Avg Ad Spend </c:v>
                </c:pt>
              </c:strCache>
            </c:strRef>
          </c:tx>
          <c:spPr>
            <a:solidFill>
              <a:schemeClr val="accent2"/>
            </a:solidFill>
            <a:ln>
              <a:noFill/>
            </a:ln>
            <a:effectLst/>
          </c:spPr>
          <c:invertIfNegative val="0"/>
          <c:cat>
            <c:strRef>
              <c:f>'Task 3.3'!$A$12:$A$15</c:f>
              <c:strCache>
                <c:ptCount val="4"/>
                <c:pt idx="0">
                  <c:v>Facebook</c:v>
                </c:pt>
                <c:pt idx="1">
                  <c:v>Instagram</c:v>
                </c:pt>
                <c:pt idx="2">
                  <c:v>Twitter</c:v>
                </c:pt>
                <c:pt idx="3">
                  <c:v>YouTube</c:v>
                </c:pt>
              </c:strCache>
            </c:strRef>
          </c:cat>
          <c:val>
            <c:numRef>
              <c:f>'Task 3.3'!$C$12:$C$15</c:f>
              <c:numCache>
                <c:formatCode>0</c:formatCode>
                <c:ptCount val="4"/>
                <c:pt idx="0">
                  <c:v>27590.78</c:v>
                </c:pt>
                <c:pt idx="1">
                  <c:v>23642.224489795917</c:v>
                </c:pt>
                <c:pt idx="2">
                  <c:v>21207.14</c:v>
                </c:pt>
                <c:pt idx="3">
                  <c:v>24572.94</c:v>
                </c:pt>
              </c:numCache>
            </c:numRef>
          </c:val>
          <c:extLst>
            <c:ext xmlns:c16="http://schemas.microsoft.com/office/drawing/2014/chart" uri="{C3380CC4-5D6E-409C-BE32-E72D297353CC}">
              <c16:uniqueId val="{00000001-1A83-45E7-B697-15BE26CED36D}"/>
            </c:ext>
          </c:extLst>
        </c:ser>
        <c:dLbls>
          <c:showLegendKey val="0"/>
          <c:showVal val="0"/>
          <c:showCatName val="0"/>
          <c:showSerName val="0"/>
          <c:showPercent val="0"/>
          <c:showBubbleSize val="0"/>
        </c:dLbls>
        <c:gapWidth val="219"/>
        <c:overlap val="-27"/>
        <c:axId val="250777679"/>
        <c:axId val="318402447"/>
      </c:barChart>
      <c:catAx>
        <c:axId val="250777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402447"/>
        <c:crosses val="autoZero"/>
        <c:auto val="1"/>
        <c:lblAlgn val="ctr"/>
        <c:lblOffset val="100"/>
        <c:noMultiLvlLbl val="0"/>
      </c:catAx>
      <c:valAx>
        <c:axId val="3184024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07776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Total Spend</c:v>
          </c:tx>
          <c:spPr>
            <a:solidFill>
              <a:schemeClr val="accent1"/>
            </a:solidFill>
            <a:ln>
              <a:noFill/>
            </a:ln>
            <a:effectLst/>
          </c:spPr>
          <c:invertIfNegative val="0"/>
          <c:val>
            <c:numRef>
              <c:f>'Task 5.2 I'!$D$18:$D$21</c:f>
              <c:numCache>
                <c:formatCode>0.00</c:formatCode>
                <c:ptCount val="4"/>
                <c:pt idx="0">
                  <c:v>989993.36271414836</c:v>
                </c:pt>
                <c:pt idx="1">
                  <c:v>1148471.0898763642</c:v>
                </c:pt>
                <c:pt idx="2">
                  <c:v>1325416.4421163234</c:v>
                </c:pt>
                <c:pt idx="3">
                  <c:v>1369035.1052931643</c:v>
                </c:pt>
              </c:numCache>
            </c:numRef>
          </c:val>
          <c:extLst>
            <c:ext xmlns:c16="http://schemas.microsoft.com/office/drawing/2014/chart" uri="{C3380CC4-5D6E-409C-BE32-E72D297353CC}">
              <c16:uniqueId val="{00000000-0563-4467-8939-C15EF8936EED}"/>
            </c:ext>
          </c:extLst>
        </c:ser>
        <c:ser>
          <c:idx val="1"/>
          <c:order val="1"/>
          <c:tx>
            <c:v>Total Engagement</c:v>
          </c:tx>
          <c:spPr>
            <a:solidFill>
              <a:schemeClr val="accent2"/>
            </a:solidFill>
            <a:ln>
              <a:noFill/>
            </a:ln>
            <a:effectLst/>
          </c:spPr>
          <c:invertIfNegative val="0"/>
          <c:val>
            <c:numRef>
              <c:f>'Task 5.2 I'!$B$18:$B$21</c:f>
              <c:numCache>
                <c:formatCode>General</c:formatCode>
                <c:ptCount val="4"/>
                <c:pt idx="0">
                  <c:v>173901</c:v>
                </c:pt>
                <c:pt idx="1">
                  <c:v>201739</c:v>
                </c:pt>
                <c:pt idx="2">
                  <c:v>232821</c:v>
                </c:pt>
                <c:pt idx="3">
                  <c:v>240483</c:v>
                </c:pt>
              </c:numCache>
            </c:numRef>
          </c:val>
          <c:extLst>
            <c:ext xmlns:c16="http://schemas.microsoft.com/office/drawing/2014/chart" uri="{C3380CC4-5D6E-409C-BE32-E72D297353CC}">
              <c16:uniqueId val="{00000001-0563-4467-8939-C15EF8936EED}"/>
            </c:ext>
          </c:extLst>
        </c:ser>
        <c:dLbls>
          <c:showLegendKey val="0"/>
          <c:showVal val="0"/>
          <c:showCatName val="0"/>
          <c:showSerName val="0"/>
          <c:showPercent val="0"/>
          <c:showBubbleSize val="0"/>
        </c:dLbls>
        <c:gapWidth val="219"/>
        <c:overlap val="-27"/>
        <c:axId val="1134886991"/>
        <c:axId val="1134907151"/>
      </c:barChart>
      <c:catAx>
        <c:axId val="11348869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Campaign</a:t>
                </a:r>
              </a:p>
              <a:p>
                <a:pPr>
                  <a:defRPr/>
                </a:pP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4907151"/>
        <c:crosses val="autoZero"/>
        <c:auto val="1"/>
        <c:lblAlgn val="ctr"/>
        <c:lblOffset val="100"/>
        <c:noMultiLvlLbl val="0"/>
      </c:catAx>
      <c:valAx>
        <c:axId val="113490715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Values</a:t>
                </a:r>
                <a:r>
                  <a:rPr lang="en-IN" baseline="0"/>
                  <a:t> (Spend &amp; Engagement)</a:t>
                </a:r>
              </a:p>
              <a:p>
                <a:pPr>
                  <a:defRPr/>
                </a:pP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4886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[Tesla Social media Analytics final.xlsx]Task 6.1!PivotTable26</c:name>
    <c:fmtId val="4"/>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'Task 6.1'!$B$1:$B$2</c:f>
              <c:strCache>
                <c:ptCount val="1"/>
                <c:pt idx="0">
                  <c:v>Facebook</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'Task 6.1'!$A$3:$A$52</c:f>
              <c:strCache>
                <c:ptCount val="50"/>
                <c:pt idx="0">
                  <c:v>2024-06-03</c:v>
                </c:pt>
                <c:pt idx="1">
                  <c:v>2024-06-10</c:v>
                </c:pt>
                <c:pt idx="2">
                  <c:v>2024-06-17</c:v>
                </c:pt>
                <c:pt idx="3">
                  <c:v>2024-06-24</c:v>
                </c:pt>
                <c:pt idx="4">
                  <c:v>2024-07-01</c:v>
                </c:pt>
                <c:pt idx="5">
                  <c:v>2024-07-08</c:v>
                </c:pt>
                <c:pt idx="6">
                  <c:v>2024-07-15</c:v>
                </c:pt>
                <c:pt idx="7">
                  <c:v>2024-07-22</c:v>
                </c:pt>
                <c:pt idx="8">
                  <c:v>2024-07-29</c:v>
                </c:pt>
                <c:pt idx="9">
                  <c:v>2024-08-05</c:v>
                </c:pt>
                <c:pt idx="10">
                  <c:v>2024-08-12</c:v>
                </c:pt>
                <c:pt idx="11">
                  <c:v>2024-08-19</c:v>
                </c:pt>
                <c:pt idx="12">
                  <c:v>2024-08-26</c:v>
                </c:pt>
                <c:pt idx="13">
                  <c:v>2024-09-02</c:v>
                </c:pt>
                <c:pt idx="14">
                  <c:v>2024-09-09</c:v>
                </c:pt>
                <c:pt idx="15">
                  <c:v>2024-09-16</c:v>
                </c:pt>
                <c:pt idx="16">
                  <c:v>2024-09-23</c:v>
                </c:pt>
                <c:pt idx="17">
                  <c:v>2024-09-30</c:v>
                </c:pt>
                <c:pt idx="18">
                  <c:v>2024-10-07</c:v>
                </c:pt>
                <c:pt idx="19">
                  <c:v>2024-10-14</c:v>
                </c:pt>
                <c:pt idx="20">
                  <c:v>2024-10-21</c:v>
                </c:pt>
                <c:pt idx="21">
                  <c:v>2024-10-28</c:v>
                </c:pt>
                <c:pt idx="22">
                  <c:v>2024-11-04</c:v>
                </c:pt>
                <c:pt idx="23">
                  <c:v>2024-11-11</c:v>
                </c:pt>
                <c:pt idx="24">
                  <c:v>2024-11-18</c:v>
                </c:pt>
                <c:pt idx="25">
                  <c:v>2024-11-25</c:v>
                </c:pt>
                <c:pt idx="26">
                  <c:v>2024-12-02</c:v>
                </c:pt>
                <c:pt idx="27">
                  <c:v>2024-12-09</c:v>
                </c:pt>
                <c:pt idx="28">
                  <c:v>2024-12-16</c:v>
                </c:pt>
                <c:pt idx="29">
                  <c:v>2024-12-23</c:v>
                </c:pt>
                <c:pt idx="30">
                  <c:v>2024-12-30</c:v>
                </c:pt>
                <c:pt idx="31">
                  <c:v>2025-01-06</c:v>
                </c:pt>
                <c:pt idx="32">
                  <c:v>2025-01-13</c:v>
                </c:pt>
                <c:pt idx="33">
                  <c:v>2025-01-20</c:v>
                </c:pt>
                <c:pt idx="34">
                  <c:v>2025-01-27</c:v>
                </c:pt>
                <c:pt idx="35">
                  <c:v>2025-02-03</c:v>
                </c:pt>
                <c:pt idx="36">
                  <c:v>2025-02-10</c:v>
                </c:pt>
                <c:pt idx="37">
                  <c:v>2025-02-17</c:v>
                </c:pt>
                <c:pt idx="38">
                  <c:v>2025-02-24</c:v>
                </c:pt>
                <c:pt idx="39">
                  <c:v>2025-03-03</c:v>
                </c:pt>
                <c:pt idx="40">
                  <c:v>2025-03-10</c:v>
                </c:pt>
                <c:pt idx="41">
                  <c:v>2025-03-17</c:v>
                </c:pt>
                <c:pt idx="42">
                  <c:v>2025-03-24</c:v>
                </c:pt>
                <c:pt idx="43">
                  <c:v>2025-03-31</c:v>
                </c:pt>
                <c:pt idx="44">
                  <c:v>2025-04-07</c:v>
                </c:pt>
                <c:pt idx="45">
                  <c:v>2025-04-14</c:v>
                </c:pt>
                <c:pt idx="46">
                  <c:v>2025-04-21</c:v>
                </c:pt>
                <c:pt idx="47">
                  <c:v>2025-04-28</c:v>
                </c:pt>
                <c:pt idx="48">
                  <c:v>2025-05-05</c:v>
                </c:pt>
                <c:pt idx="49">
                  <c:v>2025-05-12</c:v>
                </c:pt>
              </c:strCache>
            </c:strRef>
          </c:cat>
          <c:val>
            <c:numRef>
              <c:f>'Task 6.1'!$B$3:$B$52</c:f>
              <c:numCache>
                <c:formatCode>0.00%</c:formatCode>
                <c:ptCount val="50"/>
                <c:pt idx="0">
                  <c:v>2.3491348994232664E-2</c:v>
                </c:pt>
                <c:pt idx="1">
                  <c:v>4.0530081660374974E-3</c:v>
                </c:pt>
                <c:pt idx="2">
                  <c:v>8.1535847453627231E-3</c:v>
                </c:pt>
                <c:pt idx="3">
                  <c:v>6.3510173036698994E-2</c:v>
                </c:pt>
                <c:pt idx="4">
                  <c:v>2.9088264703208797E-4</c:v>
                </c:pt>
                <c:pt idx="5">
                  <c:v>1.2276812319721568E-3</c:v>
                </c:pt>
                <c:pt idx="6">
                  <c:v>-4.9009939454794306E-4</c:v>
                </c:pt>
                <c:pt idx="7">
                  <c:v>3.2572737872501967E-3</c:v>
                </c:pt>
                <c:pt idx="8">
                  <c:v>-7.3097734889686784E-4</c:v>
                </c:pt>
                <c:pt idx="9">
                  <c:v>-1.5755714445670778E-3</c:v>
                </c:pt>
                <c:pt idx="10">
                  <c:v>4.3366318609156986E-3</c:v>
                </c:pt>
                <c:pt idx="11">
                  <c:v>5.7523759813836147E-3</c:v>
                </c:pt>
                <c:pt idx="12">
                  <c:v>9.7527544941747058E-5</c:v>
                </c:pt>
                <c:pt idx="13">
                  <c:v>2.1026918479944948E-3</c:v>
                </c:pt>
                <c:pt idx="14">
                  <c:v>4.6435400163889647E-3</c:v>
                </c:pt>
                <c:pt idx="15">
                  <c:v>2.0668041724136477E-4</c:v>
                </c:pt>
                <c:pt idx="16">
                  <c:v>-7.9248226299566635E-5</c:v>
                </c:pt>
                <c:pt idx="17">
                  <c:v>-3.9477485703195471E-4</c:v>
                </c:pt>
                <c:pt idx="18">
                  <c:v>4.3810281972675247E-3</c:v>
                </c:pt>
                <c:pt idx="19">
                  <c:v>1.8083871090552605E-3</c:v>
                </c:pt>
                <c:pt idx="20">
                  <c:v>1.8687212668142345E-2</c:v>
                </c:pt>
                <c:pt idx="21">
                  <c:v>1.8382090319876945E-3</c:v>
                </c:pt>
                <c:pt idx="22">
                  <c:v>1.6918035252172713E-3</c:v>
                </c:pt>
                <c:pt idx="23">
                  <c:v>-3.4250669665215861E-4</c:v>
                </c:pt>
                <c:pt idx="24">
                  <c:v>2.1248528096751631E-4</c:v>
                </c:pt>
                <c:pt idx="25">
                  <c:v>3.9565022381564839E-3</c:v>
                </c:pt>
                <c:pt idx="26">
                  <c:v>3.6277109484146308E-3</c:v>
                </c:pt>
                <c:pt idx="27">
                  <c:v>3.8307014117515761E-2</c:v>
                </c:pt>
                <c:pt idx="28">
                  <c:v>3.311568846722701E-3</c:v>
                </c:pt>
                <c:pt idx="29">
                  <c:v>7.8202834584935772E-3</c:v>
                </c:pt>
                <c:pt idx="30">
                  <c:v>4.6806929323118035E-3</c:v>
                </c:pt>
                <c:pt idx="31">
                  <c:v>6.4766839378238338E-3</c:v>
                </c:pt>
                <c:pt idx="32">
                  <c:v>1.3262186302564765E-3</c:v>
                </c:pt>
                <c:pt idx="33">
                  <c:v>8.9052952094934197E-4</c:v>
                </c:pt>
                <c:pt idx="34">
                  <c:v>2.7948348464241365E-3</c:v>
                </c:pt>
                <c:pt idx="35">
                  <c:v>5.5005257855530306E-3</c:v>
                </c:pt>
                <c:pt idx="36">
                  <c:v>2.9427518601934728E-3</c:v>
                </c:pt>
                <c:pt idx="37">
                  <c:v>1.5147617822744291E-2</c:v>
                </c:pt>
                <c:pt idx="38">
                  <c:v>7.4073109768798169E-3</c:v>
                </c:pt>
                <c:pt idx="39">
                  <c:v>-3.2435585380545735E-4</c:v>
                </c:pt>
                <c:pt idx="40">
                  <c:v>2.6639909400836752E-3</c:v>
                </c:pt>
                <c:pt idx="41">
                  <c:v>3.2619275185675578E-3</c:v>
                </c:pt>
                <c:pt idx="42">
                  <c:v>1.268716241173857E-3</c:v>
                </c:pt>
                <c:pt idx="43">
                  <c:v>1.3889264193260734E-3</c:v>
                </c:pt>
                <c:pt idx="44">
                  <c:v>1.0436528865268368E-2</c:v>
                </c:pt>
                <c:pt idx="45">
                  <c:v>-2.4750024750024749E-3</c:v>
                </c:pt>
                <c:pt idx="46">
                  <c:v>2.7690774864725927E-3</c:v>
                </c:pt>
                <c:pt idx="47">
                  <c:v>2.014855668727483E-3</c:v>
                </c:pt>
                <c:pt idx="48">
                  <c:v>8.0965664826031301E-4</c:v>
                </c:pt>
                <c:pt idx="49">
                  <c:v>1.1156186612576065E-3</c:v>
                </c:pt>
              </c:numCache>
            </c:numRef>
          </c:val>
          <c:smooth val="0"/>
          <c:extLst>
            <c:ext xmlns:c16="http://schemas.microsoft.com/office/drawing/2014/chart" uri="{C3380CC4-5D6E-409C-BE32-E72D297353CC}">
              <c16:uniqueId val="{00000000-B090-41B6-8213-83FD21C0B348}"/>
            </c:ext>
          </c:extLst>
        </c:ser>
        <c:ser>
          <c:idx val="1"/>
          <c:order val="1"/>
          <c:tx>
            <c:strRef>
              <c:f>'Task 6.1'!$C$1:$C$2</c:f>
              <c:strCache>
                <c:ptCount val="1"/>
                <c:pt idx="0">
                  <c:v>Instagram</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'Task 6.1'!$A$3:$A$52</c:f>
              <c:strCache>
                <c:ptCount val="50"/>
                <c:pt idx="0">
                  <c:v>2024-06-03</c:v>
                </c:pt>
                <c:pt idx="1">
                  <c:v>2024-06-10</c:v>
                </c:pt>
                <c:pt idx="2">
                  <c:v>2024-06-17</c:v>
                </c:pt>
                <c:pt idx="3">
                  <c:v>2024-06-24</c:v>
                </c:pt>
                <c:pt idx="4">
                  <c:v>2024-07-01</c:v>
                </c:pt>
                <c:pt idx="5">
                  <c:v>2024-07-08</c:v>
                </c:pt>
                <c:pt idx="6">
                  <c:v>2024-07-15</c:v>
                </c:pt>
                <c:pt idx="7">
                  <c:v>2024-07-22</c:v>
                </c:pt>
                <c:pt idx="8">
                  <c:v>2024-07-29</c:v>
                </c:pt>
                <c:pt idx="9">
                  <c:v>2024-08-05</c:v>
                </c:pt>
                <c:pt idx="10">
                  <c:v>2024-08-12</c:v>
                </c:pt>
                <c:pt idx="11">
                  <c:v>2024-08-19</c:v>
                </c:pt>
                <c:pt idx="12">
                  <c:v>2024-08-26</c:v>
                </c:pt>
                <c:pt idx="13">
                  <c:v>2024-09-02</c:v>
                </c:pt>
                <c:pt idx="14">
                  <c:v>2024-09-09</c:v>
                </c:pt>
                <c:pt idx="15">
                  <c:v>2024-09-16</c:v>
                </c:pt>
                <c:pt idx="16">
                  <c:v>2024-09-23</c:v>
                </c:pt>
                <c:pt idx="17">
                  <c:v>2024-09-30</c:v>
                </c:pt>
                <c:pt idx="18">
                  <c:v>2024-10-07</c:v>
                </c:pt>
                <c:pt idx="19">
                  <c:v>2024-10-14</c:v>
                </c:pt>
                <c:pt idx="20">
                  <c:v>2024-10-21</c:v>
                </c:pt>
                <c:pt idx="21">
                  <c:v>2024-10-28</c:v>
                </c:pt>
                <c:pt idx="22">
                  <c:v>2024-11-04</c:v>
                </c:pt>
                <c:pt idx="23">
                  <c:v>2024-11-11</c:v>
                </c:pt>
                <c:pt idx="24">
                  <c:v>2024-11-18</c:v>
                </c:pt>
                <c:pt idx="25">
                  <c:v>2024-11-25</c:v>
                </c:pt>
                <c:pt idx="26">
                  <c:v>2024-12-02</c:v>
                </c:pt>
                <c:pt idx="27">
                  <c:v>2024-12-09</c:v>
                </c:pt>
                <c:pt idx="28">
                  <c:v>2024-12-16</c:v>
                </c:pt>
                <c:pt idx="29">
                  <c:v>2024-12-23</c:v>
                </c:pt>
                <c:pt idx="30">
                  <c:v>2024-12-30</c:v>
                </c:pt>
                <c:pt idx="31">
                  <c:v>2025-01-06</c:v>
                </c:pt>
                <c:pt idx="32">
                  <c:v>2025-01-13</c:v>
                </c:pt>
                <c:pt idx="33">
                  <c:v>2025-01-20</c:v>
                </c:pt>
                <c:pt idx="34">
                  <c:v>2025-01-27</c:v>
                </c:pt>
                <c:pt idx="35">
                  <c:v>2025-02-03</c:v>
                </c:pt>
                <c:pt idx="36">
                  <c:v>2025-02-10</c:v>
                </c:pt>
                <c:pt idx="37">
                  <c:v>2025-02-17</c:v>
                </c:pt>
                <c:pt idx="38">
                  <c:v>2025-02-24</c:v>
                </c:pt>
                <c:pt idx="39">
                  <c:v>2025-03-03</c:v>
                </c:pt>
                <c:pt idx="40">
                  <c:v>2025-03-10</c:v>
                </c:pt>
                <c:pt idx="41">
                  <c:v>2025-03-17</c:v>
                </c:pt>
                <c:pt idx="42">
                  <c:v>2025-03-24</c:v>
                </c:pt>
                <c:pt idx="43">
                  <c:v>2025-03-31</c:v>
                </c:pt>
                <c:pt idx="44">
                  <c:v>2025-04-07</c:v>
                </c:pt>
                <c:pt idx="45">
                  <c:v>2025-04-14</c:v>
                </c:pt>
                <c:pt idx="46">
                  <c:v>2025-04-21</c:v>
                </c:pt>
                <c:pt idx="47">
                  <c:v>2025-04-28</c:v>
                </c:pt>
                <c:pt idx="48">
                  <c:v>2025-05-05</c:v>
                </c:pt>
                <c:pt idx="49">
                  <c:v>2025-05-12</c:v>
                </c:pt>
              </c:strCache>
            </c:strRef>
          </c:cat>
          <c:val>
            <c:numRef>
              <c:f>'Task 6.1'!$C$3:$C$52</c:f>
              <c:numCache>
                <c:formatCode>0.00%</c:formatCode>
                <c:ptCount val="50"/>
                <c:pt idx="0">
                  <c:v>3.0428616268120576E-3</c:v>
                </c:pt>
                <c:pt idx="1">
                  <c:v>1.0517322049758936E-2</c:v>
                </c:pt>
                <c:pt idx="2">
                  <c:v>1.9542790614208243E-3</c:v>
                </c:pt>
                <c:pt idx="3">
                  <c:v>1.7636832660385824E-2</c:v>
                </c:pt>
                <c:pt idx="4">
                  <c:v>-5.2211602419375983E-4</c:v>
                </c:pt>
                <c:pt idx="5">
                  <c:v>2.8717173625543171E-2</c:v>
                </c:pt>
                <c:pt idx="6">
                  <c:v>1.1967386439556591E-2</c:v>
                </c:pt>
                <c:pt idx="7">
                  <c:v>3.3557613568250698E-4</c:v>
                </c:pt>
                <c:pt idx="8">
                  <c:v>2.2861730899256253E-2</c:v>
                </c:pt>
                <c:pt idx="9">
                  <c:v>8.0371168669857163E-4</c:v>
                </c:pt>
                <c:pt idx="10">
                  <c:v>2.7085701202809553E-3</c:v>
                </c:pt>
                <c:pt idx="11">
                  <c:v>2.335271198731579E-4</c:v>
                </c:pt>
                <c:pt idx="12">
                  <c:v>3.5456226214689766E-3</c:v>
                </c:pt>
                <c:pt idx="13">
                  <c:v>1.2306082974775983E-2</c:v>
                </c:pt>
                <c:pt idx="14">
                  <c:v>4.1581361392816901E-3</c:v>
                </c:pt>
                <c:pt idx="15">
                  <c:v>7.4222825979957871E-3</c:v>
                </c:pt>
                <c:pt idx="16">
                  <c:v>1.5758651286601596E-3</c:v>
                </c:pt>
                <c:pt idx="17">
                  <c:v>2.7682576721248606E-3</c:v>
                </c:pt>
                <c:pt idx="18">
                  <c:v>1.0000908202133741E-2</c:v>
                </c:pt>
                <c:pt idx="19">
                  <c:v>3.1501331857780751E-3</c:v>
                </c:pt>
                <c:pt idx="20">
                  <c:v>7.3371064356504961E-4</c:v>
                </c:pt>
                <c:pt idx="21">
                  <c:v>1.6622321237901201E-3</c:v>
                </c:pt>
                <c:pt idx="22">
                  <c:v>2.5430053699827069E-2</c:v>
                </c:pt>
                <c:pt idx="23">
                  <c:v>1.7550345364335054E-2</c:v>
                </c:pt>
                <c:pt idx="24">
                  <c:v>-9.5914811987394058E-4</c:v>
                </c:pt>
                <c:pt idx="25">
                  <c:v>5.9936417126309005E-3</c:v>
                </c:pt>
                <c:pt idx="26">
                  <c:v>3.8511033114748661E-3</c:v>
                </c:pt>
                <c:pt idx="27">
                  <c:v>5.0721615839286359E-3</c:v>
                </c:pt>
                <c:pt idx="28">
                  <c:v>3.0759118725472716E-3</c:v>
                </c:pt>
                <c:pt idx="29">
                  <c:v>2.4359408109118751E-3</c:v>
                </c:pt>
                <c:pt idx="30">
                  <c:v>1.253515525127127E-2</c:v>
                </c:pt>
                <c:pt idx="31">
                  <c:v>1.9361810704529763E-3</c:v>
                </c:pt>
                <c:pt idx="32">
                  <c:v>4.9282654051223049E-3</c:v>
                </c:pt>
                <c:pt idx="33">
                  <c:v>4.0971536250166149E-3</c:v>
                </c:pt>
                <c:pt idx="34">
                  <c:v>-4.6464109274628077E-4</c:v>
                </c:pt>
                <c:pt idx="35">
                  <c:v>3.0720567989168156E-3</c:v>
                </c:pt>
                <c:pt idx="36">
                  <c:v>7.7568587198256845E-3</c:v>
                </c:pt>
                <c:pt idx="37">
                  <c:v>2.1291007252180398E-3</c:v>
                </c:pt>
                <c:pt idx="38">
                  <c:v>1.0867503398564699E-2</c:v>
                </c:pt>
                <c:pt idx="39">
                  <c:v>5.1052298518124532E-3</c:v>
                </c:pt>
                <c:pt idx="40">
                  <c:v>4.5873346287504706E-4</c:v>
                </c:pt>
                <c:pt idx="41">
                  <c:v>1.6572027392586454E-3</c:v>
                </c:pt>
                <c:pt idx="42">
                  <c:v>1.2636715002329981E-3</c:v>
                </c:pt>
                <c:pt idx="43">
                  <c:v>2.2667798288422093E-3</c:v>
                </c:pt>
                <c:pt idx="44">
                  <c:v>2.1195852212872357E-3</c:v>
                </c:pt>
                <c:pt idx="45">
                  <c:v>-2.3994481269308059E-3</c:v>
                </c:pt>
                <c:pt idx="46">
                  <c:v>9.5802484827301332E-3</c:v>
                </c:pt>
                <c:pt idx="47">
                  <c:v>3.4511059684624078E-3</c:v>
                </c:pt>
                <c:pt idx="48">
                  <c:v>4.1995793722733989E-3</c:v>
                </c:pt>
                <c:pt idx="49">
                  <c:v>3.5361871958419907E-3</c:v>
                </c:pt>
              </c:numCache>
            </c:numRef>
          </c:val>
          <c:smooth val="0"/>
          <c:extLst>
            <c:ext xmlns:c16="http://schemas.microsoft.com/office/drawing/2014/chart" uri="{C3380CC4-5D6E-409C-BE32-E72D297353CC}">
              <c16:uniqueId val="{00000001-B090-41B6-8213-83FD21C0B348}"/>
            </c:ext>
          </c:extLst>
        </c:ser>
        <c:ser>
          <c:idx val="2"/>
          <c:order val="2"/>
          <c:tx>
            <c:strRef>
              <c:f>'Task 6.1'!$D$1:$D$2</c:f>
              <c:strCache>
                <c:ptCount val="1"/>
                <c:pt idx="0">
                  <c:v>Twitter</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'Task 6.1'!$A$3:$A$52</c:f>
              <c:strCache>
                <c:ptCount val="50"/>
                <c:pt idx="0">
                  <c:v>2024-06-03</c:v>
                </c:pt>
                <c:pt idx="1">
                  <c:v>2024-06-10</c:v>
                </c:pt>
                <c:pt idx="2">
                  <c:v>2024-06-17</c:v>
                </c:pt>
                <c:pt idx="3">
                  <c:v>2024-06-24</c:v>
                </c:pt>
                <c:pt idx="4">
                  <c:v>2024-07-01</c:v>
                </c:pt>
                <c:pt idx="5">
                  <c:v>2024-07-08</c:v>
                </c:pt>
                <c:pt idx="6">
                  <c:v>2024-07-15</c:v>
                </c:pt>
                <c:pt idx="7">
                  <c:v>2024-07-22</c:v>
                </c:pt>
                <c:pt idx="8">
                  <c:v>2024-07-29</c:v>
                </c:pt>
                <c:pt idx="9">
                  <c:v>2024-08-05</c:v>
                </c:pt>
                <c:pt idx="10">
                  <c:v>2024-08-12</c:v>
                </c:pt>
                <c:pt idx="11">
                  <c:v>2024-08-19</c:v>
                </c:pt>
                <c:pt idx="12">
                  <c:v>2024-08-26</c:v>
                </c:pt>
                <c:pt idx="13">
                  <c:v>2024-09-02</c:v>
                </c:pt>
                <c:pt idx="14">
                  <c:v>2024-09-09</c:v>
                </c:pt>
                <c:pt idx="15">
                  <c:v>2024-09-16</c:v>
                </c:pt>
                <c:pt idx="16">
                  <c:v>2024-09-23</c:v>
                </c:pt>
                <c:pt idx="17">
                  <c:v>2024-09-30</c:v>
                </c:pt>
                <c:pt idx="18">
                  <c:v>2024-10-07</c:v>
                </c:pt>
                <c:pt idx="19">
                  <c:v>2024-10-14</c:v>
                </c:pt>
                <c:pt idx="20">
                  <c:v>2024-10-21</c:v>
                </c:pt>
                <c:pt idx="21">
                  <c:v>2024-10-28</c:v>
                </c:pt>
                <c:pt idx="22">
                  <c:v>2024-11-04</c:v>
                </c:pt>
                <c:pt idx="23">
                  <c:v>2024-11-11</c:v>
                </c:pt>
                <c:pt idx="24">
                  <c:v>2024-11-18</c:v>
                </c:pt>
                <c:pt idx="25">
                  <c:v>2024-11-25</c:v>
                </c:pt>
                <c:pt idx="26">
                  <c:v>2024-12-02</c:v>
                </c:pt>
                <c:pt idx="27">
                  <c:v>2024-12-09</c:v>
                </c:pt>
                <c:pt idx="28">
                  <c:v>2024-12-16</c:v>
                </c:pt>
                <c:pt idx="29">
                  <c:v>2024-12-23</c:v>
                </c:pt>
                <c:pt idx="30">
                  <c:v>2024-12-30</c:v>
                </c:pt>
                <c:pt idx="31">
                  <c:v>2025-01-06</c:v>
                </c:pt>
                <c:pt idx="32">
                  <c:v>2025-01-13</c:v>
                </c:pt>
                <c:pt idx="33">
                  <c:v>2025-01-20</c:v>
                </c:pt>
                <c:pt idx="34">
                  <c:v>2025-01-27</c:v>
                </c:pt>
                <c:pt idx="35">
                  <c:v>2025-02-03</c:v>
                </c:pt>
                <c:pt idx="36">
                  <c:v>2025-02-10</c:v>
                </c:pt>
                <c:pt idx="37">
                  <c:v>2025-02-17</c:v>
                </c:pt>
                <c:pt idx="38">
                  <c:v>2025-02-24</c:v>
                </c:pt>
                <c:pt idx="39">
                  <c:v>2025-03-03</c:v>
                </c:pt>
                <c:pt idx="40">
                  <c:v>2025-03-10</c:v>
                </c:pt>
                <c:pt idx="41">
                  <c:v>2025-03-17</c:v>
                </c:pt>
                <c:pt idx="42">
                  <c:v>2025-03-24</c:v>
                </c:pt>
                <c:pt idx="43">
                  <c:v>2025-03-31</c:v>
                </c:pt>
                <c:pt idx="44">
                  <c:v>2025-04-07</c:v>
                </c:pt>
                <c:pt idx="45">
                  <c:v>2025-04-14</c:v>
                </c:pt>
                <c:pt idx="46">
                  <c:v>2025-04-21</c:v>
                </c:pt>
                <c:pt idx="47">
                  <c:v>2025-04-28</c:v>
                </c:pt>
                <c:pt idx="48">
                  <c:v>2025-05-05</c:v>
                </c:pt>
                <c:pt idx="49">
                  <c:v>2025-05-12</c:v>
                </c:pt>
              </c:strCache>
            </c:strRef>
          </c:cat>
          <c:val>
            <c:numRef>
              <c:f>'Task 6.1'!$D$3:$D$52</c:f>
              <c:numCache>
                <c:formatCode>0.00%</c:formatCode>
                <c:ptCount val="50"/>
                <c:pt idx="0">
                  <c:v>2.826320879360366E-3</c:v>
                </c:pt>
                <c:pt idx="1">
                  <c:v>7.3128442639386348E-4</c:v>
                </c:pt>
                <c:pt idx="2">
                  <c:v>1.0551445425805821E-2</c:v>
                </c:pt>
                <c:pt idx="3">
                  <c:v>2.798060458211721E-3</c:v>
                </c:pt>
                <c:pt idx="4">
                  <c:v>4.3037693661692649E-3</c:v>
                </c:pt>
                <c:pt idx="5">
                  <c:v>1.40324773607655E-3</c:v>
                </c:pt>
                <c:pt idx="6">
                  <c:v>1.8982132901478749E-3</c:v>
                </c:pt>
                <c:pt idx="7">
                  <c:v>6.6371458255580548E-3</c:v>
                </c:pt>
                <c:pt idx="8">
                  <c:v>5.1986619096302169E-3</c:v>
                </c:pt>
                <c:pt idx="9">
                  <c:v>7.2889860753698943E-4</c:v>
                </c:pt>
                <c:pt idx="10">
                  <c:v>8.5080354946042954E-5</c:v>
                </c:pt>
                <c:pt idx="11">
                  <c:v>8.825634093981077E-3</c:v>
                </c:pt>
                <c:pt idx="12">
                  <c:v>6.5914381026955706E-3</c:v>
                </c:pt>
                <c:pt idx="13">
                  <c:v>6.1798299135137512E-4</c:v>
                </c:pt>
                <c:pt idx="14">
                  <c:v>5.990134708914012E-4</c:v>
                </c:pt>
                <c:pt idx="15">
                  <c:v>2.8673012960201858E-3</c:v>
                </c:pt>
                <c:pt idx="16">
                  <c:v>6.2566104068286429E-3</c:v>
                </c:pt>
                <c:pt idx="17">
                  <c:v>9.2287307798970819E-3</c:v>
                </c:pt>
                <c:pt idx="18">
                  <c:v>2.2456063766826309E-4</c:v>
                </c:pt>
                <c:pt idx="19">
                  <c:v>-6.456361452939582E-5</c:v>
                </c:pt>
                <c:pt idx="20">
                  <c:v>2.4623771231227277E-3</c:v>
                </c:pt>
                <c:pt idx="21">
                  <c:v>1.5381417584701726E-4</c:v>
                </c:pt>
                <c:pt idx="22">
                  <c:v>3.6508153411678964E-3</c:v>
                </c:pt>
                <c:pt idx="23">
                  <c:v>1.3172212358971423E-2</c:v>
                </c:pt>
                <c:pt idx="24">
                  <c:v>9.1277744844858602E-4</c:v>
                </c:pt>
                <c:pt idx="25">
                  <c:v>1.1079079758069075E-3</c:v>
                </c:pt>
                <c:pt idx="26">
                  <c:v>3.7850431101244257E-3</c:v>
                </c:pt>
                <c:pt idx="27">
                  <c:v>8.3806473528412681E-2</c:v>
                </c:pt>
                <c:pt idx="28">
                  <c:v>4.1536387893013997E-3</c:v>
                </c:pt>
                <c:pt idx="29">
                  <c:v>1.1230414576116569E-2</c:v>
                </c:pt>
                <c:pt idx="30">
                  <c:v>5.5634189738421064E-3</c:v>
                </c:pt>
                <c:pt idx="31">
                  <c:v>3.2008104408927781E-3</c:v>
                </c:pt>
                <c:pt idx="32">
                  <c:v>-2.9514486693885583E-4</c:v>
                </c:pt>
                <c:pt idx="33">
                  <c:v>7.1621491270377159E-3</c:v>
                </c:pt>
                <c:pt idx="34">
                  <c:v>5.4309533874905263E-3</c:v>
                </c:pt>
                <c:pt idx="35">
                  <c:v>3.2046588643454949E-3</c:v>
                </c:pt>
                <c:pt idx="36">
                  <c:v>9.4958208908059605E-3</c:v>
                </c:pt>
                <c:pt idx="37">
                  <c:v>-2.5410691720235154E-4</c:v>
                </c:pt>
                <c:pt idx="38">
                  <c:v>2.2333891680625349E-3</c:v>
                </c:pt>
                <c:pt idx="39">
                  <c:v>1.9268070513850934E-3</c:v>
                </c:pt>
                <c:pt idx="40">
                  <c:v>0.10825114265095021</c:v>
                </c:pt>
                <c:pt idx="41">
                  <c:v>6.9173294769824048E-2</c:v>
                </c:pt>
                <c:pt idx="42">
                  <c:v>1.3832962243592781E-3</c:v>
                </c:pt>
                <c:pt idx="43">
                  <c:v>8.4497101083942528E-3</c:v>
                </c:pt>
                <c:pt idx="44">
                  <c:v>3.4032917638311531E-2</c:v>
                </c:pt>
                <c:pt idx="45">
                  <c:v>3.7191155522184875E-4</c:v>
                </c:pt>
                <c:pt idx="46">
                  <c:v>2.2734693021737242E-3</c:v>
                </c:pt>
                <c:pt idx="47">
                  <c:v>1.9454574184929272E-3</c:v>
                </c:pt>
                <c:pt idx="48">
                  <c:v>3.1174901520344203E-3</c:v>
                </c:pt>
                <c:pt idx="49">
                  <c:v>5.8952701962314107E-4</c:v>
                </c:pt>
              </c:numCache>
            </c:numRef>
          </c:val>
          <c:smooth val="0"/>
          <c:extLst>
            <c:ext xmlns:c16="http://schemas.microsoft.com/office/drawing/2014/chart" uri="{C3380CC4-5D6E-409C-BE32-E72D297353CC}">
              <c16:uniqueId val="{00000002-B090-41B6-8213-83FD21C0B348}"/>
            </c:ext>
          </c:extLst>
        </c:ser>
        <c:ser>
          <c:idx val="3"/>
          <c:order val="3"/>
          <c:tx>
            <c:strRef>
              <c:f>'Task 6.1'!$E$1:$E$2</c:f>
              <c:strCache>
                <c:ptCount val="1"/>
                <c:pt idx="0">
                  <c:v>YouTube</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'Task 6.1'!$A$3:$A$52</c:f>
              <c:strCache>
                <c:ptCount val="50"/>
                <c:pt idx="0">
                  <c:v>2024-06-03</c:v>
                </c:pt>
                <c:pt idx="1">
                  <c:v>2024-06-10</c:v>
                </c:pt>
                <c:pt idx="2">
                  <c:v>2024-06-17</c:v>
                </c:pt>
                <c:pt idx="3">
                  <c:v>2024-06-24</c:v>
                </c:pt>
                <c:pt idx="4">
                  <c:v>2024-07-01</c:v>
                </c:pt>
                <c:pt idx="5">
                  <c:v>2024-07-08</c:v>
                </c:pt>
                <c:pt idx="6">
                  <c:v>2024-07-15</c:v>
                </c:pt>
                <c:pt idx="7">
                  <c:v>2024-07-22</c:v>
                </c:pt>
                <c:pt idx="8">
                  <c:v>2024-07-29</c:v>
                </c:pt>
                <c:pt idx="9">
                  <c:v>2024-08-05</c:v>
                </c:pt>
                <c:pt idx="10">
                  <c:v>2024-08-12</c:v>
                </c:pt>
                <c:pt idx="11">
                  <c:v>2024-08-19</c:v>
                </c:pt>
                <c:pt idx="12">
                  <c:v>2024-08-26</c:v>
                </c:pt>
                <c:pt idx="13">
                  <c:v>2024-09-02</c:v>
                </c:pt>
                <c:pt idx="14">
                  <c:v>2024-09-09</c:v>
                </c:pt>
                <c:pt idx="15">
                  <c:v>2024-09-16</c:v>
                </c:pt>
                <c:pt idx="16">
                  <c:v>2024-09-23</c:v>
                </c:pt>
                <c:pt idx="17">
                  <c:v>2024-09-30</c:v>
                </c:pt>
                <c:pt idx="18">
                  <c:v>2024-10-07</c:v>
                </c:pt>
                <c:pt idx="19">
                  <c:v>2024-10-14</c:v>
                </c:pt>
                <c:pt idx="20">
                  <c:v>2024-10-21</c:v>
                </c:pt>
                <c:pt idx="21">
                  <c:v>2024-10-28</c:v>
                </c:pt>
                <c:pt idx="22">
                  <c:v>2024-11-04</c:v>
                </c:pt>
                <c:pt idx="23">
                  <c:v>2024-11-11</c:v>
                </c:pt>
                <c:pt idx="24">
                  <c:v>2024-11-18</c:v>
                </c:pt>
                <c:pt idx="25">
                  <c:v>2024-11-25</c:v>
                </c:pt>
                <c:pt idx="26">
                  <c:v>2024-12-02</c:v>
                </c:pt>
                <c:pt idx="27">
                  <c:v>2024-12-09</c:v>
                </c:pt>
                <c:pt idx="28">
                  <c:v>2024-12-16</c:v>
                </c:pt>
                <c:pt idx="29">
                  <c:v>2024-12-23</c:v>
                </c:pt>
                <c:pt idx="30">
                  <c:v>2024-12-30</c:v>
                </c:pt>
                <c:pt idx="31">
                  <c:v>2025-01-06</c:v>
                </c:pt>
                <c:pt idx="32">
                  <c:v>2025-01-13</c:v>
                </c:pt>
                <c:pt idx="33">
                  <c:v>2025-01-20</c:v>
                </c:pt>
                <c:pt idx="34">
                  <c:v>2025-01-27</c:v>
                </c:pt>
                <c:pt idx="35">
                  <c:v>2025-02-03</c:v>
                </c:pt>
                <c:pt idx="36">
                  <c:v>2025-02-10</c:v>
                </c:pt>
                <c:pt idx="37">
                  <c:v>2025-02-17</c:v>
                </c:pt>
                <c:pt idx="38">
                  <c:v>2025-02-24</c:v>
                </c:pt>
                <c:pt idx="39">
                  <c:v>2025-03-03</c:v>
                </c:pt>
                <c:pt idx="40">
                  <c:v>2025-03-10</c:v>
                </c:pt>
                <c:pt idx="41">
                  <c:v>2025-03-17</c:v>
                </c:pt>
                <c:pt idx="42">
                  <c:v>2025-03-24</c:v>
                </c:pt>
                <c:pt idx="43">
                  <c:v>2025-03-31</c:v>
                </c:pt>
                <c:pt idx="44">
                  <c:v>2025-04-07</c:v>
                </c:pt>
                <c:pt idx="45">
                  <c:v>2025-04-14</c:v>
                </c:pt>
                <c:pt idx="46">
                  <c:v>2025-04-21</c:v>
                </c:pt>
                <c:pt idx="47">
                  <c:v>2025-04-28</c:v>
                </c:pt>
                <c:pt idx="48">
                  <c:v>2025-05-05</c:v>
                </c:pt>
                <c:pt idx="49">
                  <c:v>2025-05-12</c:v>
                </c:pt>
              </c:strCache>
            </c:strRef>
          </c:cat>
          <c:val>
            <c:numRef>
              <c:f>'Task 6.1'!$E$3:$E$52</c:f>
              <c:numCache>
                <c:formatCode>0.00%</c:formatCode>
                <c:ptCount val="50"/>
                <c:pt idx="0">
                  <c:v>2.7557542170624167E-3</c:v>
                </c:pt>
                <c:pt idx="1">
                  <c:v>2.4016739232334168E-3</c:v>
                </c:pt>
                <c:pt idx="2">
                  <c:v>8.80238003818718E-4</c:v>
                </c:pt>
                <c:pt idx="3">
                  <c:v>-2.8860773750305035E-4</c:v>
                </c:pt>
                <c:pt idx="4">
                  <c:v>8.0050669434719116E-4</c:v>
                </c:pt>
                <c:pt idx="5">
                  <c:v>2.1994574101175039E-3</c:v>
                </c:pt>
                <c:pt idx="6">
                  <c:v>1.0211701333265254E-3</c:v>
                </c:pt>
                <c:pt idx="7">
                  <c:v>1.0340418313957282E-3</c:v>
                </c:pt>
                <c:pt idx="8">
                  <c:v>7.600121601945631E-3</c:v>
                </c:pt>
                <c:pt idx="9">
                  <c:v>9.9485420240137223E-4</c:v>
                </c:pt>
                <c:pt idx="10">
                  <c:v>1.011348268360087E-2</c:v>
                </c:pt>
                <c:pt idx="11">
                  <c:v>2.1728440241071327E-3</c:v>
                </c:pt>
                <c:pt idx="12">
                  <c:v>1.1713324743561855E-4</c:v>
                </c:pt>
                <c:pt idx="13">
                  <c:v>8.9764429025449434E-4</c:v>
                </c:pt>
                <c:pt idx="14">
                  <c:v>1.7032345973398571E-2</c:v>
                </c:pt>
                <c:pt idx="15">
                  <c:v>-2.6681341404439108E-4</c:v>
                </c:pt>
                <c:pt idx="16">
                  <c:v>1.592351646960128E-2</c:v>
                </c:pt>
                <c:pt idx="17">
                  <c:v>1.8079694785926241E-2</c:v>
                </c:pt>
                <c:pt idx="18">
                  <c:v>1.0019784829366461E-3</c:v>
                </c:pt>
                <c:pt idx="19">
                  <c:v>1.8425729749269497E-3</c:v>
                </c:pt>
                <c:pt idx="20">
                  <c:v>5.7763419096181542E-3</c:v>
                </c:pt>
                <c:pt idx="21">
                  <c:v>5.4180958515762179E-3</c:v>
                </c:pt>
                <c:pt idx="22">
                  <c:v>4.0317597627286209E-3</c:v>
                </c:pt>
                <c:pt idx="23">
                  <c:v>2.8821299683708945E-3</c:v>
                </c:pt>
                <c:pt idx="24">
                  <c:v>1.9887634863023914E-4</c:v>
                </c:pt>
                <c:pt idx="25">
                  <c:v>1.4152074838090669E-2</c:v>
                </c:pt>
                <c:pt idx="26">
                  <c:v>1.3151115811166245E-3</c:v>
                </c:pt>
                <c:pt idx="27">
                  <c:v>1.2679964770499277E-3</c:v>
                </c:pt>
                <c:pt idx="28">
                  <c:v>1.7917737946946315E-3</c:v>
                </c:pt>
                <c:pt idx="29">
                  <c:v>6.3113158835445049E-2</c:v>
                </c:pt>
                <c:pt idx="30">
                  <c:v>1.0669005078738719E-2</c:v>
                </c:pt>
                <c:pt idx="31">
                  <c:v>8.8669950738916262E-3</c:v>
                </c:pt>
                <c:pt idx="32">
                  <c:v>6.2409087760615087E-2</c:v>
                </c:pt>
                <c:pt idx="33">
                  <c:v>2.1486931256659019E-3</c:v>
                </c:pt>
                <c:pt idx="34">
                  <c:v>2.6534161921203288E-3</c:v>
                </c:pt>
                <c:pt idx="35">
                  <c:v>-7.4972485467156139E-4</c:v>
                </c:pt>
                <c:pt idx="36">
                  <c:v>2.9756017144741179E-3</c:v>
                </c:pt>
                <c:pt idx="37">
                  <c:v>1.1086997546706926E-2</c:v>
                </c:pt>
                <c:pt idx="38">
                  <c:v>2.1885278918832756E-3</c:v>
                </c:pt>
                <c:pt idx="39">
                  <c:v>1.4029055733207443E-3</c:v>
                </c:pt>
                <c:pt idx="40">
                  <c:v>1.2622336046830695E-2</c:v>
                </c:pt>
                <c:pt idx="41">
                  <c:v>7.9689298043728429E-2</c:v>
                </c:pt>
                <c:pt idx="42">
                  <c:v>8.8022790888170322E-4</c:v>
                </c:pt>
                <c:pt idx="43">
                  <c:v>3.3667947287974553E-3</c:v>
                </c:pt>
                <c:pt idx="44">
                  <c:v>7.1981098934404211E-4</c:v>
                </c:pt>
                <c:pt idx="45">
                  <c:v>3.9239564305527366E-4</c:v>
                </c:pt>
                <c:pt idx="46">
                  <c:v>6.0267642955734836E-3</c:v>
                </c:pt>
                <c:pt idx="47">
                  <c:v>5.5706165282028861E-2</c:v>
                </c:pt>
                <c:pt idx="48">
                  <c:v>5.8190830903102836E-3</c:v>
                </c:pt>
                <c:pt idx="49">
                  <c:v>-4.0819787301048958E-3</c:v>
                </c:pt>
              </c:numCache>
            </c:numRef>
          </c:val>
          <c:smooth val="0"/>
          <c:extLst>
            <c:ext xmlns:c16="http://schemas.microsoft.com/office/drawing/2014/chart" uri="{C3380CC4-5D6E-409C-BE32-E72D297353CC}">
              <c16:uniqueId val="{00000003-B090-41B6-8213-83FD21C0B348}"/>
            </c:ext>
          </c:extLst>
        </c:ser>
        <c:dLbls>
          <c:showLegendKey val="0"/>
          <c:showVal val="0"/>
          <c:showCatName val="0"/>
          <c:showSerName val="0"/>
          <c:showPercent val="0"/>
          <c:showBubbleSize val="0"/>
        </c:dLbls>
        <c:marker val="1"/>
        <c:smooth val="0"/>
        <c:axId val="1171805711"/>
        <c:axId val="1171791311"/>
      </c:lineChart>
      <c:catAx>
        <c:axId val="1171805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1791311"/>
        <c:crosses val="autoZero"/>
        <c:auto val="1"/>
        <c:lblAlgn val="ctr"/>
        <c:lblOffset val="100"/>
        <c:noMultiLvlLbl val="0"/>
      </c:catAx>
      <c:valAx>
        <c:axId val="117179131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1805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[Tesla Social media Analytics final.xlsx]task 6.3!PivotTable30</c:name>
    <c:fmtId val="2"/>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'task 6.3'!$B$1:$B$2</c:f>
              <c:strCache>
                <c:ptCount val="1"/>
                <c:pt idx="0">
                  <c:v>Facebook</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movingAvg"/>
            <c:period val="4"/>
            <c:dispRSqr val="0"/>
            <c:dispEq val="0"/>
          </c:trendline>
          <c:cat>
            <c:strRef>
              <c:f>'task 6.3'!$A$3:$A$52</c:f>
              <c:strCache>
                <c:ptCount val="50"/>
                <c:pt idx="0">
                  <c:v>2024-06-03</c:v>
                </c:pt>
                <c:pt idx="1">
                  <c:v>2024-06-10</c:v>
                </c:pt>
                <c:pt idx="2">
                  <c:v>2024-06-17</c:v>
                </c:pt>
                <c:pt idx="3">
                  <c:v>2024-06-24</c:v>
                </c:pt>
                <c:pt idx="4">
                  <c:v>2024-07-01</c:v>
                </c:pt>
                <c:pt idx="5">
                  <c:v>2024-07-08</c:v>
                </c:pt>
                <c:pt idx="6">
                  <c:v>2024-07-15</c:v>
                </c:pt>
                <c:pt idx="7">
                  <c:v>2024-07-22</c:v>
                </c:pt>
                <c:pt idx="8">
                  <c:v>2024-07-29</c:v>
                </c:pt>
                <c:pt idx="9">
                  <c:v>2024-08-05</c:v>
                </c:pt>
                <c:pt idx="10">
                  <c:v>2024-08-12</c:v>
                </c:pt>
                <c:pt idx="11">
                  <c:v>2024-08-19</c:v>
                </c:pt>
                <c:pt idx="12">
                  <c:v>2024-08-26</c:v>
                </c:pt>
                <c:pt idx="13">
                  <c:v>2024-09-02</c:v>
                </c:pt>
                <c:pt idx="14">
                  <c:v>2024-09-09</c:v>
                </c:pt>
                <c:pt idx="15">
                  <c:v>2024-09-16</c:v>
                </c:pt>
                <c:pt idx="16">
                  <c:v>2024-09-23</c:v>
                </c:pt>
                <c:pt idx="17">
                  <c:v>2024-09-30</c:v>
                </c:pt>
                <c:pt idx="18">
                  <c:v>2024-10-07</c:v>
                </c:pt>
                <c:pt idx="19">
                  <c:v>2024-10-14</c:v>
                </c:pt>
                <c:pt idx="20">
                  <c:v>2024-10-21</c:v>
                </c:pt>
                <c:pt idx="21">
                  <c:v>2024-10-28</c:v>
                </c:pt>
                <c:pt idx="22">
                  <c:v>2024-11-04</c:v>
                </c:pt>
                <c:pt idx="23">
                  <c:v>2024-11-11</c:v>
                </c:pt>
                <c:pt idx="24">
                  <c:v>2024-11-18</c:v>
                </c:pt>
                <c:pt idx="25">
                  <c:v>2024-11-25</c:v>
                </c:pt>
                <c:pt idx="26">
                  <c:v>2024-12-02</c:v>
                </c:pt>
                <c:pt idx="27">
                  <c:v>2024-12-09</c:v>
                </c:pt>
                <c:pt idx="28">
                  <c:v>2024-12-16</c:v>
                </c:pt>
                <c:pt idx="29">
                  <c:v>2024-12-23</c:v>
                </c:pt>
                <c:pt idx="30">
                  <c:v>2024-12-30</c:v>
                </c:pt>
                <c:pt idx="31">
                  <c:v>2025-01-06</c:v>
                </c:pt>
                <c:pt idx="32">
                  <c:v>2025-01-13</c:v>
                </c:pt>
                <c:pt idx="33">
                  <c:v>2025-01-20</c:v>
                </c:pt>
                <c:pt idx="34">
                  <c:v>2025-01-27</c:v>
                </c:pt>
                <c:pt idx="35">
                  <c:v>2025-02-03</c:v>
                </c:pt>
                <c:pt idx="36">
                  <c:v>2025-02-10</c:v>
                </c:pt>
                <c:pt idx="37">
                  <c:v>2025-02-17</c:v>
                </c:pt>
                <c:pt idx="38">
                  <c:v>2025-02-24</c:v>
                </c:pt>
                <c:pt idx="39">
                  <c:v>2025-03-03</c:v>
                </c:pt>
                <c:pt idx="40">
                  <c:v>2025-03-10</c:v>
                </c:pt>
                <c:pt idx="41">
                  <c:v>2025-03-17</c:v>
                </c:pt>
                <c:pt idx="42">
                  <c:v>2025-03-24</c:v>
                </c:pt>
                <c:pt idx="43">
                  <c:v>2025-03-31</c:v>
                </c:pt>
                <c:pt idx="44">
                  <c:v>2025-04-07</c:v>
                </c:pt>
                <c:pt idx="45">
                  <c:v>2025-04-14</c:v>
                </c:pt>
                <c:pt idx="46">
                  <c:v>2025-04-21</c:v>
                </c:pt>
                <c:pt idx="47">
                  <c:v>2025-04-28</c:v>
                </c:pt>
                <c:pt idx="48">
                  <c:v>2025-05-05</c:v>
                </c:pt>
                <c:pt idx="49">
                  <c:v>2025-05-12</c:v>
                </c:pt>
              </c:strCache>
            </c:strRef>
          </c:cat>
          <c:val>
            <c:numRef>
              <c:f>'task 6.3'!$B$3:$B$52</c:f>
              <c:numCache>
                <c:formatCode>0.00%</c:formatCode>
                <c:ptCount val="50"/>
                <c:pt idx="0">
                  <c:v>2.3491348994232664E-2</c:v>
                </c:pt>
                <c:pt idx="1">
                  <c:v>4.0530081660374974E-3</c:v>
                </c:pt>
                <c:pt idx="2">
                  <c:v>8.1535847453627231E-3</c:v>
                </c:pt>
                <c:pt idx="3">
                  <c:v>6.3510173036698994E-2</c:v>
                </c:pt>
                <c:pt idx="4">
                  <c:v>2.9088264703208797E-4</c:v>
                </c:pt>
                <c:pt idx="5">
                  <c:v>1.2276812319721568E-3</c:v>
                </c:pt>
                <c:pt idx="6">
                  <c:v>-4.9009939454794306E-4</c:v>
                </c:pt>
                <c:pt idx="7">
                  <c:v>3.2572737872501967E-3</c:v>
                </c:pt>
                <c:pt idx="8">
                  <c:v>-7.3097734889686784E-4</c:v>
                </c:pt>
                <c:pt idx="9">
                  <c:v>-1.5755714445670778E-3</c:v>
                </c:pt>
                <c:pt idx="10">
                  <c:v>4.3366318609156986E-3</c:v>
                </c:pt>
                <c:pt idx="11">
                  <c:v>5.7523759813836147E-3</c:v>
                </c:pt>
                <c:pt idx="12">
                  <c:v>9.7527544941747058E-5</c:v>
                </c:pt>
                <c:pt idx="13">
                  <c:v>2.1026918479944948E-3</c:v>
                </c:pt>
                <c:pt idx="14">
                  <c:v>4.6435400163889647E-3</c:v>
                </c:pt>
                <c:pt idx="15">
                  <c:v>2.0668041724136477E-4</c:v>
                </c:pt>
                <c:pt idx="16">
                  <c:v>-7.9248226299566635E-5</c:v>
                </c:pt>
                <c:pt idx="17">
                  <c:v>-3.9477485703195471E-4</c:v>
                </c:pt>
                <c:pt idx="18">
                  <c:v>4.3810281972675247E-3</c:v>
                </c:pt>
                <c:pt idx="19">
                  <c:v>1.8083871090552605E-3</c:v>
                </c:pt>
                <c:pt idx="20">
                  <c:v>1.8687212668142345E-2</c:v>
                </c:pt>
                <c:pt idx="21">
                  <c:v>1.8382090319876945E-3</c:v>
                </c:pt>
                <c:pt idx="22">
                  <c:v>1.6918035252172713E-3</c:v>
                </c:pt>
                <c:pt idx="23">
                  <c:v>-3.4250669665215861E-4</c:v>
                </c:pt>
                <c:pt idx="24">
                  <c:v>2.1248528096751631E-4</c:v>
                </c:pt>
                <c:pt idx="25">
                  <c:v>3.9565022381564839E-3</c:v>
                </c:pt>
                <c:pt idx="26">
                  <c:v>3.6277109484146308E-3</c:v>
                </c:pt>
                <c:pt idx="27">
                  <c:v>3.8307014117515761E-2</c:v>
                </c:pt>
                <c:pt idx="28">
                  <c:v>3.311568846722701E-3</c:v>
                </c:pt>
                <c:pt idx="29">
                  <c:v>7.8202834584935772E-3</c:v>
                </c:pt>
                <c:pt idx="30">
                  <c:v>4.6806929323118035E-3</c:v>
                </c:pt>
                <c:pt idx="31">
                  <c:v>6.4766839378238338E-3</c:v>
                </c:pt>
                <c:pt idx="32">
                  <c:v>1.3262186302564765E-3</c:v>
                </c:pt>
                <c:pt idx="33">
                  <c:v>8.9052952094934197E-4</c:v>
                </c:pt>
                <c:pt idx="34">
                  <c:v>2.7948348464241365E-3</c:v>
                </c:pt>
                <c:pt idx="35">
                  <c:v>5.5005257855530306E-3</c:v>
                </c:pt>
                <c:pt idx="36">
                  <c:v>2.9427518601934728E-3</c:v>
                </c:pt>
                <c:pt idx="37">
                  <c:v>1.5147617822744291E-2</c:v>
                </c:pt>
                <c:pt idx="38">
                  <c:v>7.4073109768798169E-3</c:v>
                </c:pt>
                <c:pt idx="39">
                  <c:v>-3.2435585380545735E-4</c:v>
                </c:pt>
                <c:pt idx="40">
                  <c:v>2.6639909400836752E-3</c:v>
                </c:pt>
                <c:pt idx="41">
                  <c:v>3.2619275185675578E-3</c:v>
                </c:pt>
                <c:pt idx="42">
                  <c:v>1.268716241173857E-3</c:v>
                </c:pt>
                <c:pt idx="43">
                  <c:v>1.3889264193260734E-3</c:v>
                </c:pt>
                <c:pt idx="44">
                  <c:v>1.0436528865268368E-2</c:v>
                </c:pt>
                <c:pt idx="45">
                  <c:v>-2.4750024750024749E-3</c:v>
                </c:pt>
                <c:pt idx="46">
                  <c:v>2.7690774864725927E-3</c:v>
                </c:pt>
                <c:pt idx="47">
                  <c:v>2.014855668727483E-3</c:v>
                </c:pt>
                <c:pt idx="48">
                  <c:v>8.0965664826031301E-4</c:v>
                </c:pt>
                <c:pt idx="49">
                  <c:v>1.1156186612576065E-3</c:v>
                </c:pt>
              </c:numCache>
            </c:numRef>
          </c:val>
          <c:smooth val="0"/>
          <c:extLst>
            <c:ext xmlns:c16="http://schemas.microsoft.com/office/drawing/2014/chart" uri="{C3380CC4-5D6E-409C-BE32-E72D297353CC}">
              <c16:uniqueId val="{00000000-1B0E-40C9-B7FD-AEF833F74DAC}"/>
            </c:ext>
          </c:extLst>
        </c:ser>
        <c:ser>
          <c:idx val="1"/>
          <c:order val="1"/>
          <c:tx>
            <c:strRef>
              <c:f>'task 6.3'!$C$1:$C$2</c:f>
              <c:strCache>
                <c:ptCount val="1"/>
                <c:pt idx="0">
                  <c:v>Instagram</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movingAvg"/>
            <c:period val="4"/>
            <c:dispRSqr val="0"/>
            <c:dispEq val="0"/>
          </c:trendline>
          <c:cat>
            <c:strRef>
              <c:f>'task 6.3'!$A$3:$A$52</c:f>
              <c:strCache>
                <c:ptCount val="50"/>
                <c:pt idx="0">
                  <c:v>2024-06-03</c:v>
                </c:pt>
                <c:pt idx="1">
                  <c:v>2024-06-10</c:v>
                </c:pt>
                <c:pt idx="2">
                  <c:v>2024-06-17</c:v>
                </c:pt>
                <c:pt idx="3">
                  <c:v>2024-06-24</c:v>
                </c:pt>
                <c:pt idx="4">
                  <c:v>2024-07-01</c:v>
                </c:pt>
                <c:pt idx="5">
                  <c:v>2024-07-08</c:v>
                </c:pt>
                <c:pt idx="6">
                  <c:v>2024-07-15</c:v>
                </c:pt>
                <c:pt idx="7">
                  <c:v>2024-07-22</c:v>
                </c:pt>
                <c:pt idx="8">
                  <c:v>2024-07-29</c:v>
                </c:pt>
                <c:pt idx="9">
                  <c:v>2024-08-05</c:v>
                </c:pt>
                <c:pt idx="10">
                  <c:v>2024-08-12</c:v>
                </c:pt>
                <c:pt idx="11">
                  <c:v>2024-08-19</c:v>
                </c:pt>
                <c:pt idx="12">
                  <c:v>2024-08-26</c:v>
                </c:pt>
                <c:pt idx="13">
                  <c:v>2024-09-02</c:v>
                </c:pt>
                <c:pt idx="14">
                  <c:v>2024-09-09</c:v>
                </c:pt>
                <c:pt idx="15">
                  <c:v>2024-09-16</c:v>
                </c:pt>
                <c:pt idx="16">
                  <c:v>2024-09-23</c:v>
                </c:pt>
                <c:pt idx="17">
                  <c:v>2024-09-30</c:v>
                </c:pt>
                <c:pt idx="18">
                  <c:v>2024-10-07</c:v>
                </c:pt>
                <c:pt idx="19">
                  <c:v>2024-10-14</c:v>
                </c:pt>
                <c:pt idx="20">
                  <c:v>2024-10-21</c:v>
                </c:pt>
                <c:pt idx="21">
                  <c:v>2024-10-28</c:v>
                </c:pt>
                <c:pt idx="22">
                  <c:v>2024-11-04</c:v>
                </c:pt>
                <c:pt idx="23">
                  <c:v>2024-11-11</c:v>
                </c:pt>
                <c:pt idx="24">
                  <c:v>2024-11-18</c:v>
                </c:pt>
                <c:pt idx="25">
                  <c:v>2024-11-25</c:v>
                </c:pt>
                <c:pt idx="26">
                  <c:v>2024-12-02</c:v>
                </c:pt>
                <c:pt idx="27">
                  <c:v>2024-12-09</c:v>
                </c:pt>
                <c:pt idx="28">
                  <c:v>2024-12-16</c:v>
                </c:pt>
                <c:pt idx="29">
                  <c:v>2024-12-23</c:v>
                </c:pt>
                <c:pt idx="30">
                  <c:v>2024-12-30</c:v>
                </c:pt>
                <c:pt idx="31">
                  <c:v>2025-01-06</c:v>
                </c:pt>
                <c:pt idx="32">
                  <c:v>2025-01-13</c:v>
                </c:pt>
                <c:pt idx="33">
                  <c:v>2025-01-20</c:v>
                </c:pt>
                <c:pt idx="34">
                  <c:v>2025-01-27</c:v>
                </c:pt>
                <c:pt idx="35">
                  <c:v>2025-02-03</c:v>
                </c:pt>
                <c:pt idx="36">
                  <c:v>2025-02-10</c:v>
                </c:pt>
                <c:pt idx="37">
                  <c:v>2025-02-17</c:v>
                </c:pt>
                <c:pt idx="38">
                  <c:v>2025-02-24</c:v>
                </c:pt>
                <c:pt idx="39">
                  <c:v>2025-03-03</c:v>
                </c:pt>
                <c:pt idx="40">
                  <c:v>2025-03-10</c:v>
                </c:pt>
                <c:pt idx="41">
                  <c:v>2025-03-17</c:v>
                </c:pt>
                <c:pt idx="42">
                  <c:v>2025-03-24</c:v>
                </c:pt>
                <c:pt idx="43">
                  <c:v>2025-03-31</c:v>
                </c:pt>
                <c:pt idx="44">
                  <c:v>2025-04-07</c:v>
                </c:pt>
                <c:pt idx="45">
                  <c:v>2025-04-14</c:v>
                </c:pt>
                <c:pt idx="46">
                  <c:v>2025-04-21</c:v>
                </c:pt>
                <c:pt idx="47">
                  <c:v>2025-04-28</c:v>
                </c:pt>
                <c:pt idx="48">
                  <c:v>2025-05-05</c:v>
                </c:pt>
                <c:pt idx="49">
                  <c:v>2025-05-12</c:v>
                </c:pt>
              </c:strCache>
            </c:strRef>
          </c:cat>
          <c:val>
            <c:numRef>
              <c:f>'task 6.3'!$C$3:$C$52</c:f>
              <c:numCache>
                <c:formatCode>0.00%</c:formatCode>
                <c:ptCount val="50"/>
                <c:pt idx="0">
                  <c:v>3.0428616268120576E-3</c:v>
                </c:pt>
                <c:pt idx="1">
                  <c:v>1.0517322049758936E-2</c:v>
                </c:pt>
                <c:pt idx="2">
                  <c:v>1.9542790614208243E-3</c:v>
                </c:pt>
                <c:pt idx="3">
                  <c:v>1.7636832660385824E-2</c:v>
                </c:pt>
                <c:pt idx="4">
                  <c:v>-5.2211602419375983E-4</c:v>
                </c:pt>
                <c:pt idx="5">
                  <c:v>2.8717173625543171E-2</c:v>
                </c:pt>
                <c:pt idx="6">
                  <c:v>1.1967386439556591E-2</c:v>
                </c:pt>
                <c:pt idx="7">
                  <c:v>3.3557613568250698E-4</c:v>
                </c:pt>
                <c:pt idx="8">
                  <c:v>2.2861730899256253E-2</c:v>
                </c:pt>
                <c:pt idx="9">
                  <c:v>8.0371168669857163E-4</c:v>
                </c:pt>
                <c:pt idx="10">
                  <c:v>2.7085701202809553E-3</c:v>
                </c:pt>
                <c:pt idx="11">
                  <c:v>2.335271198731579E-4</c:v>
                </c:pt>
                <c:pt idx="12">
                  <c:v>3.5456226214689766E-3</c:v>
                </c:pt>
                <c:pt idx="13">
                  <c:v>1.2306082974775983E-2</c:v>
                </c:pt>
                <c:pt idx="14">
                  <c:v>4.1581361392816901E-3</c:v>
                </c:pt>
                <c:pt idx="15">
                  <c:v>7.4222825979957871E-3</c:v>
                </c:pt>
                <c:pt idx="16">
                  <c:v>1.5758651286601596E-3</c:v>
                </c:pt>
                <c:pt idx="17">
                  <c:v>2.7682576721248606E-3</c:v>
                </c:pt>
                <c:pt idx="18">
                  <c:v>1.0000908202133741E-2</c:v>
                </c:pt>
                <c:pt idx="19">
                  <c:v>3.1501331857780751E-3</c:v>
                </c:pt>
                <c:pt idx="20">
                  <c:v>7.3371064356504961E-4</c:v>
                </c:pt>
                <c:pt idx="21">
                  <c:v>1.6622321237901201E-3</c:v>
                </c:pt>
                <c:pt idx="22">
                  <c:v>2.5430053699827069E-2</c:v>
                </c:pt>
                <c:pt idx="23">
                  <c:v>1.7550345364335054E-2</c:v>
                </c:pt>
                <c:pt idx="24">
                  <c:v>-9.5914811987394058E-4</c:v>
                </c:pt>
                <c:pt idx="25">
                  <c:v>5.9936417126309005E-3</c:v>
                </c:pt>
                <c:pt idx="26">
                  <c:v>3.8511033114748661E-3</c:v>
                </c:pt>
                <c:pt idx="27">
                  <c:v>5.0721615839286359E-3</c:v>
                </c:pt>
                <c:pt idx="28">
                  <c:v>3.0759118725472716E-3</c:v>
                </c:pt>
                <c:pt idx="29">
                  <c:v>2.4359408109118751E-3</c:v>
                </c:pt>
                <c:pt idx="30">
                  <c:v>1.253515525127127E-2</c:v>
                </c:pt>
                <c:pt idx="31">
                  <c:v>1.9361810704529763E-3</c:v>
                </c:pt>
                <c:pt idx="32">
                  <c:v>4.9282654051223049E-3</c:v>
                </c:pt>
                <c:pt idx="33">
                  <c:v>4.0971536250166149E-3</c:v>
                </c:pt>
                <c:pt idx="34">
                  <c:v>-4.6464109274628077E-4</c:v>
                </c:pt>
                <c:pt idx="35">
                  <c:v>3.0720567989168156E-3</c:v>
                </c:pt>
                <c:pt idx="36">
                  <c:v>7.7568587198256845E-3</c:v>
                </c:pt>
                <c:pt idx="37">
                  <c:v>2.1291007252180398E-3</c:v>
                </c:pt>
                <c:pt idx="38">
                  <c:v>1.0867503398564699E-2</c:v>
                </c:pt>
                <c:pt idx="39">
                  <c:v>5.1052298518124532E-3</c:v>
                </c:pt>
                <c:pt idx="40">
                  <c:v>4.5873346287504706E-4</c:v>
                </c:pt>
                <c:pt idx="41">
                  <c:v>1.6572027392586454E-3</c:v>
                </c:pt>
                <c:pt idx="42">
                  <c:v>1.2636715002329981E-3</c:v>
                </c:pt>
                <c:pt idx="43">
                  <c:v>2.2667798288422093E-3</c:v>
                </c:pt>
                <c:pt idx="44">
                  <c:v>2.1195852212872357E-3</c:v>
                </c:pt>
                <c:pt idx="45">
                  <c:v>-2.3994481269308059E-3</c:v>
                </c:pt>
                <c:pt idx="46">
                  <c:v>9.5802484827301332E-3</c:v>
                </c:pt>
                <c:pt idx="47">
                  <c:v>3.4511059684624078E-3</c:v>
                </c:pt>
                <c:pt idx="48">
                  <c:v>4.1995793722733989E-3</c:v>
                </c:pt>
                <c:pt idx="49">
                  <c:v>3.5361871958419907E-3</c:v>
                </c:pt>
              </c:numCache>
            </c:numRef>
          </c:val>
          <c:smooth val="0"/>
          <c:extLst>
            <c:ext xmlns:c16="http://schemas.microsoft.com/office/drawing/2014/chart" uri="{C3380CC4-5D6E-409C-BE32-E72D297353CC}">
              <c16:uniqueId val="{00000001-1B0E-40C9-B7FD-AEF833F74DAC}"/>
            </c:ext>
          </c:extLst>
        </c:ser>
        <c:ser>
          <c:idx val="2"/>
          <c:order val="2"/>
          <c:tx>
            <c:strRef>
              <c:f>'task 6.3'!$D$1:$D$2</c:f>
              <c:strCache>
                <c:ptCount val="1"/>
                <c:pt idx="0">
                  <c:v>Twitter</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trendline>
            <c:spPr>
              <a:ln w="19050" cap="rnd">
                <a:solidFill>
                  <a:schemeClr val="accent3"/>
                </a:solidFill>
                <a:prstDash val="sysDot"/>
              </a:ln>
              <a:effectLst/>
            </c:spPr>
            <c:trendlineType val="movingAvg"/>
            <c:period val="4"/>
            <c:dispRSqr val="0"/>
            <c:dispEq val="0"/>
          </c:trendline>
          <c:cat>
            <c:strRef>
              <c:f>'task 6.3'!$A$3:$A$52</c:f>
              <c:strCache>
                <c:ptCount val="50"/>
                <c:pt idx="0">
                  <c:v>2024-06-03</c:v>
                </c:pt>
                <c:pt idx="1">
                  <c:v>2024-06-10</c:v>
                </c:pt>
                <c:pt idx="2">
                  <c:v>2024-06-17</c:v>
                </c:pt>
                <c:pt idx="3">
                  <c:v>2024-06-24</c:v>
                </c:pt>
                <c:pt idx="4">
                  <c:v>2024-07-01</c:v>
                </c:pt>
                <c:pt idx="5">
                  <c:v>2024-07-08</c:v>
                </c:pt>
                <c:pt idx="6">
                  <c:v>2024-07-15</c:v>
                </c:pt>
                <c:pt idx="7">
                  <c:v>2024-07-22</c:v>
                </c:pt>
                <c:pt idx="8">
                  <c:v>2024-07-29</c:v>
                </c:pt>
                <c:pt idx="9">
                  <c:v>2024-08-05</c:v>
                </c:pt>
                <c:pt idx="10">
                  <c:v>2024-08-12</c:v>
                </c:pt>
                <c:pt idx="11">
                  <c:v>2024-08-19</c:v>
                </c:pt>
                <c:pt idx="12">
                  <c:v>2024-08-26</c:v>
                </c:pt>
                <c:pt idx="13">
                  <c:v>2024-09-02</c:v>
                </c:pt>
                <c:pt idx="14">
                  <c:v>2024-09-09</c:v>
                </c:pt>
                <c:pt idx="15">
                  <c:v>2024-09-16</c:v>
                </c:pt>
                <c:pt idx="16">
                  <c:v>2024-09-23</c:v>
                </c:pt>
                <c:pt idx="17">
                  <c:v>2024-09-30</c:v>
                </c:pt>
                <c:pt idx="18">
                  <c:v>2024-10-07</c:v>
                </c:pt>
                <c:pt idx="19">
                  <c:v>2024-10-14</c:v>
                </c:pt>
                <c:pt idx="20">
                  <c:v>2024-10-21</c:v>
                </c:pt>
                <c:pt idx="21">
                  <c:v>2024-10-28</c:v>
                </c:pt>
                <c:pt idx="22">
                  <c:v>2024-11-04</c:v>
                </c:pt>
                <c:pt idx="23">
                  <c:v>2024-11-11</c:v>
                </c:pt>
                <c:pt idx="24">
                  <c:v>2024-11-18</c:v>
                </c:pt>
                <c:pt idx="25">
                  <c:v>2024-11-25</c:v>
                </c:pt>
                <c:pt idx="26">
                  <c:v>2024-12-02</c:v>
                </c:pt>
                <c:pt idx="27">
                  <c:v>2024-12-09</c:v>
                </c:pt>
                <c:pt idx="28">
                  <c:v>2024-12-16</c:v>
                </c:pt>
                <c:pt idx="29">
                  <c:v>2024-12-23</c:v>
                </c:pt>
                <c:pt idx="30">
                  <c:v>2024-12-30</c:v>
                </c:pt>
                <c:pt idx="31">
                  <c:v>2025-01-06</c:v>
                </c:pt>
                <c:pt idx="32">
                  <c:v>2025-01-13</c:v>
                </c:pt>
                <c:pt idx="33">
                  <c:v>2025-01-20</c:v>
                </c:pt>
                <c:pt idx="34">
                  <c:v>2025-01-27</c:v>
                </c:pt>
                <c:pt idx="35">
                  <c:v>2025-02-03</c:v>
                </c:pt>
                <c:pt idx="36">
                  <c:v>2025-02-10</c:v>
                </c:pt>
                <c:pt idx="37">
                  <c:v>2025-02-17</c:v>
                </c:pt>
                <c:pt idx="38">
                  <c:v>2025-02-24</c:v>
                </c:pt>
                <c:pt idx="39">
                  <c:v>2025-03-03</c:v>
                </c:pt>
                <c:pt idx="40">
                  <c:v>2025-03-10</c:v>
                </c:pt>
                <c:pt idx="41">
                  <c:v>2025-03-17</c:v>
                </c:pt>
                <c:pt idx="42">
                  <c:v>2025-03-24</c:v>
                </c:pt>
                <c:pt idx="43">
                  <c:v>2025-03-31</c:v>
                </c:pt>
                <c:pt idx="44">
                  <c:v>2025-04-07</c:v>
                </c:pt>
                <c:pt idx="45">
                  <c:v>2025-04-14</c:v>
                </c:pt>
                <c:pt idx="46">
                  <c:v>2025-04-21</c:v>
                </c:pt>
                <c:pt idx="47">
                  <c:v>2025-04-28</c:v>
                </c:pt>
                <c:pt idx="48">
                  <c:v>2025-05-05</c:v>
                </c:pt>
                <c:pt idx="49">
                  <c:v>2025-05-12</c:v>
                </c:pt>
              </c:strCache>
            </c:strRef>
          </c:cat>
          <c:val>
            <c:numRef>
              <c:f>'task 6.3'!$D$3:$D$52</c:f>
              <c:numCache>
                <c:formatCode>0.00%</c:formatCode>
                <c:ptCount val="50"/>
                <c:pt idx="0">
                  <c:v>2.826320879360366E-3</c:v>
                </c:pt>
                <c:pt idx="1">
                  <c:v>7.3128442639386348E-4</c:v>
                </c:pt>
                <c:pt idx="2">
                  <c:v>1.0551445425805821E-2</c:v>
                </c:pt>
                <c:pt idx="3">
                  <c:v>2.798060458211721E-3</c:v>
                </c:pt>
                <c:pt idx="4">
                  <c:v>4.3037693661692649E-3</c:v>
                </c:pt>
                <c:pt idx="5">
                  <c:v>1.40324773607655E-3</c:v>
                </c:pt>
                <c:pt idx="6">
                  <c:v>1.8982132901478749E-3</c:v>
                </c:pt>
                <c:pt idx="7">
                  <c:v>6.6371458255580548E-3</c:v>
                </c:pt>
                <c:pt idx="8">
                  <c:v>5.1986619096302169E-3</c:v>
                </c:pt>
                <c:pt idx="9">
                  <c:v>7.2889860753698943E-4</c:v>
                </c:pt>
                <c:pt idx="10">
                  <c:v>8.5080354946042954E-5</c:v>
                </c:pt>
                <c:pt idx="11">
                  <c:v>8.825634093981077E-3</c:v>
                </c:pt>
                <c:pt idx="12">
                  <c:v>6.5914381026955706E-3</c:v>
                </c:pt>
                <c:pt idx="13">
                  <c:v>6.1798299135137512E-4</c:v>
                </c:pt>
                <c:pt idx="14">
                  <c:v>5.990134708914012E-4</c:v>
                </c:pt>
                <c:pt idx="15">
                  <c:v>2.8673012960201858E-3</c:v>
                </c:pt>
                <c:pt idx="16">
                  <c:v>6.2566104068286429E-3</c:v>
                </c:pt>
                <c:pt idx="17">
                  <c:v>9.2287307798970819E-3</c:v>
                </c:pt>
                <c:pt idx="18">
                  <c:v>2.2456063766826309E-4</c:v>
                </c:pt>
                <c:pt idx="19">
                  <c:v>-6.456361452939582E-5</c:v>
                </c:pt>
                <c:pt idx="20">
                  <c:v>2.4623771231227277E-3</c:v>
                </c:pt>
                <c:pt idx="21">
                  <c:v>1.5381417584701726E-4</c:v>
                </c:pt>
                <c:pt idx="22">
                  <c:v>3.6508153411678964E-3</c:v>
                </c:pt>
                <c:pt idx="23">
                  <c:v>1.3172212358971423E-2</c:v>
                </c:pt>
                <c:pt idx="24">
                  <c:v>9.1277744844858602E-4</c:v>
                </c:pt>
                <c:pt idx="25">
                  <c:v>1.1079079758069075E-3</c:v>
                </c:pt>
                <c:pt idx="26">
                  <c:v>3.7850431101244257E-3</c:v>
                </c:pt>
                <c:pt idx="27">
                  <c:v>8.3806473528412681E-2</c:v>
                </c:pt>
                <c:pt idx="28">
                  <c:v>4.1536387893013997E-3</c:v>
                </c:pt>
                <c:pt idx="29">
                  <c:v>1.1230414576116569E-2</c:v>
                </c:pt>
                <c:pt idx="30">
                  <c:v>5.5634189738421064E-3</c:v>
                </c:pt>
                <c:pt idx="31">
                  <c:v>3.2008104408927781E-3</c:v>
                </c:pt>
                <c:pt idx="32">
                  <c:v>-2.9514486693885583E-4</c:v>
                </c:pt>
                <c:pt idx="33">
                  <c:v>7.1621491270377159E-3</c:v>
                </c:pt>
                <c:pt idx="34">
                  <c:v>5.4309533874905263E-3</c:v>
                </c:pt>
                <c:pt idx="35">
                  <c:v>3.2046588643454949E-3</c:v>
                </c:pt>
                <c:pt idx="36">
                  <c:v>9.4958208908059605E-3</c:v>
                </c:pt>
                <c:pt idx="37">
                  <c:v>-2.5410691720235154E-4</c:v>
                </c:pt>
                <c:pt idx="38">
                  <c:v>2.2333891680625349E-3</c:v>
                </c:pt>
                <c:pt idx="39">
                  <c:v>1.9268070513850934E-3</c:v>
                </c:pt>
                <c:pt idx="40">
                  <c:v>0.10825114265095021</c:v>
                </c:pt>
                <c:pt idx="41">
                  <c:v>6.9173294769824048E-2</c:v>
                </c:pt>
                <c:pt idx="42">
                  <c:v>1.3832962243592781E-3</c:v>
                </c:pt>
                <c:pt idx="43">
                  <c:v>8.4497101083942528E-3</c:v>
                </c:pt>
                <c:pt idx="44">
                  <c:v>3.4032917638311531E-2</c:v>
                </c:pt>
                <c:pt idx="45">
                  <c:v>3.7191155522184875E-4</c:v>
                </c:pt>
                <c:pt idx="46">
                  <c:v>2.2734693021737242E-3</c:v>
                </c:pt>
                <c:pt idx="47">
                  <c:v>1.9454574184929272E-3</c:v>
                </c:pt>
                <c:pt idx="48">
                  <c:v>3.1174901520344203E-3</c:v>
                </c:pt>
                <c:pt idx="49">
                  <c:v>5.8952701962314107E-4</c:v>
                </c:pt>
              </c:numCache>
            </c:numRef>
          </c:val>
          <c:smooth val="0"/>
          <c:extLst>
            <c:ext xmlns:c16="http://schemas.microsoft.com/office/drawing/2014/chart" uri="{C3380CC4-5D6E-409C-BE32-E72D297353CC}">
              <c16:uniqueId val="{00000002-1B0E-40C9-B7FD-AEF833F74DAC}"/>
            </c:ext>
          </c:extLst>
        </c:ser>
        <c:ser>
          <c:idx val="3"/>
          <c:order val="3"/>
          <c:tx>
            <c:strRef>
              <c:f>'task 6.3'!$E$1:$E$2</c:f>
              <c:strCache>
                <c:ptCount val="1"/>
                <c:pt idx="0">
                  <c:v>YouTube</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trendline>
            <c:spPr>
              <a:ln w="19050" cap="rnd">
                <a:solidFill>
                  <a:schemeClr val="accent4"/>
                </a:solidFill>
                <a:prstDash val="sysDot"/>
              </a:ln>
              <a:effectLst/>
            </c:spPr>
            <c:trendlineType val="movingAvg"/>
            <c:period val="4"/>
            <c:dispRSqr val="0"/>
            <c:dispEq val="0"/>
          </c:trendline>
          <c:trendline>
            <c:spPr>
              <a:ln w="19050" cap="rnd">
                <a:noFill/>
                <a:prstDash val="sysDot"/>
              </a:ln>
              <a:effectLst/>
            </c:spPr>
            <c:trendlineType val="linear"/>
            <c:dispRSqr val="0"/>
            <c:dispEq val="0"/>
          </c:trendline>
          <c:cat>
            <c:strRef>
              <c:f>'task 6.3'!$A$3:$A$52</c:f>
              <c:strCache>
                <c:ptCount val="50"/>
                <c:pt idx="0">
                  <c:v>2024-06-03</c:v>
                </c:pt>
                <c:pt idx="1">
                  <c:v>2024-06-10</c:v>
                </c:pt>
                <c:pt idx="2">
                  <c:v>2024-06-17</c:v>
                </c:pt>
                <c:pt idx="3">
                  <c:v>2024-06-24</c:v>
                </c:pt>
                <c:pt idx="4">
                  <c:v>2024-07-01</c:v>
                </c:pt>
                <c:pt idx="5">
                  <c:v>2024-07-08</c:v>
                </c:pt>
                <c:pt idx="6">
                  <c:v>2024-07-15</c:v>
                </c:pt>
                <c:pt idx="7">
                  <c:v>2024-07-22</c:v>
                </c:pt>
                <c:pt idx="8">
                  <c:v>2024-07-29</c:v>
                </c:pt>
                <c:pt idx="9">
                  <c:v>2024-08-05</c:v>
                </c:pt>
                <c:pt idx="10">
                  <c:v>2024-08-12</c:v>
                </c:pt>
                <c:pt idx="11">
                  <c:v>2024-08-19</c:v>
                </c:pt>
                <c:pt idx="12">
                  <c:v>2024-08-26</c:v>
                </c:pt>
                <c:pt idx="13">
                  <c:v>2024-09-02</c:v>
                </c:pt>
                <c:pt idx="14">
                  <c:v>2024-09-09</c:v>
                </c:pt>
                <c:pt idx="15">
                  <c:v>2024-09-16</c:v>
                </c:pt>
                <c:pt idx="16">
                  <c:v>2024-09-23</c:v>
                </c:pt>
                <c:pt idx="17">
                  <c:v>2024-09-30</c:v>
                </c:pt>
                <c:pt idx="18">
                  <c:v>2024-10-07</c:v>
                </c:pt>
                <c:pt idx="19">
                  <c:v>2024-10-14</c:v>
                </c:pt>
                <c:pt idx="20">
                  <c:v>2024-10-21</c:v>
                </c:pt>
                <c:pt idx="21">
                  <c:v>2024-10-28</c:v>
                </c:pt>
                <c:pt idx="22">
                  <c:v>2024-11-04</c:v>
                </c:pt>
                <c:pt idx="23">
                  <c:v>2024-11-11</c:v>
                </c:pt>
                <c:pt idx="24">
                  <c:v>2024-11-18</c:v>
                </c:pt>
                <c:pt idx="25">
                  <c:v>2024-11-25</c:v>
                </c:pt>
                <c:pt idx="26">
                  <c:v>2024-12-02</c:v>
                </c:pt>
                <c:pt idx="27">
                  <c:v>2024-12-09</c:v>
                </c:pt>
                <c:pt idx="28">
                  <c:v>2024-12-16</c:v>
                </c:pt>
                <c:pt idx="29">
                  <c:v>2024-12-23</c:v>
                </c:pt>
                <c:pt idx="30">
                  <c:v>2024-12-30</c:v>
                </c:pt>
                <c:pt idx="31">
                  <c:v>2025-01-06</c:v>
                </c:pt>
                <c:pt idx="32">
                  <c:v>2025-01-13</c:v>
                </c:pt>
                <c:pt idx="33">
                  <c:v>2025-01-20</c:v>
                </c:pt>
                <c:pt idx="34">
                  <c:v>2025-01-27</c:v>
                </c:pt>
                <c:pt idx="35">
                  <c:v>2025-02-03</c:v>
                </c:pt>
                <c:pt idx="36">
                  <c:v>2025-02-10</c:v>
                </c:pt>
                <c:pt idx="37">
                  <c:v>2025-02-17</c:v>
                </c:pt>
                <c:pt idx="38">
                  <c:v>2025-02-24</c:v>
                </c:pt>
                <c:pt idx="39">
                  <c:v>2025-03-03</c:v>
                </c:pt>
                <c:pt idx="40">
                  <c:v>2025-03-10</c:v>
                </c:pt>
                <c:pt idx="41">
                  <c:v>2025-03-17</c:v>
                </c:pt>
                <c:pt idx="42">
                  <c:v>2025-03-24</c:v>
                </c:pt>
                <c:pt idx="43">
                  <c:v>2025-03-31</c:v>
                </c:pt>
                <c:pt idx="44">
                  <c:v>2025-04-07</c:v>
                </c:pt>
                <c:pt idx="45">
                  <c:v>2025-04-14</c:v>
                </c:pt>
                <c:pt idx="46">
                  <c:v>2025-04-21</c:v>
                </c:pt>
                <c:pt idx="47">
                  <c:v>2025-04-28</c:v>
                </c:pt>
                <c:pt idx="48">
                  <c:v>2025-05-05</c:v>
                </c:pt>
                <c:pt idx="49">
                  <c:v>2025-05-12</c:v>
                </c:pt>
              </c:strCache>
            </c:strRef>
          </c:cat>
          <c:val>
            <c:numRef>
              <c:f>'task 6.3'!$E$3:$E$52</c:f>
              <c:numCache>
                <c:formatCode>0.00%</c:formatCode>
                <c:ptCount val="50"/>
                <c:pt idx="0">
                  <c:v>2.7557542170624167E-3</c:v>
                </c:pt>
                <c:pt idx="1">
                  <c:v>2.4016739232334168E-3</c:v>
                </c:pt>
                <c:pt idx="2">
                  <c:v>8.80238003818718E-4</c:v>
                </c:pt>
                <c:pt idx="3">
                  <c:v>-2.8860773750305035E-4</c:v>
                </c:pt>
                <c:pt idx="4">
                  <c:v>8.0050669434719116E-4</c:v>
                </c:pt>
                <c:pt idx="5">
                  <c:v>2.1994574101175039E-3</c:v>
                </c:pt>
                <c:pt idx="6">
                  <c:v>1.0211701333265254E-3</c:v>
                </c:pt>
                <c:pt idx="7">
                  <c:v>1.0340418313957282E-3</c:v>
                </c:pt>
                <c:pt idx="8">
                  <c:v>7.600121601945631E-3</c:v>
                </c:pt>
                <c:pt idx="9">
                  <c:v>9.9485420240137223E-4</c:v>
                </c:pt>
                <c:pt idx="10">
                  <c:v>1.011348268360087E-2</c:v>
                </c:pt>
                <c:pt idx="11">
                  <c:v>2.1728440241071327E-3</c:v>
                </c:pt>
                <c:pt idx="12">
                  <c:v>1.1713324743561855E-4</c:v>
                </c:pt>
                <c:pt idx="13">
                  <c:v>8.9764429025449434E-4</c:v>
                </c:pt>
                <c:pt idx="14">
                  <c:v>1.7032345973398571E-2</c:v>
                </c:pt>
                <c:pt idx="15">
                  <c:v>-2.6681341404439108E-4</c:v>
                </c:pt>
                <c:pt idx="16">
                  <c:v>1.592351646960128E-2</c:v>
                </c:pt>
                <c:pt idx="17">
                  <c:v>1.8079694785926241E-2</c:v>
                </c:pt>
                <c:pt idx="18">
                  <c:v>1.0019784829366461E-3</c:v>
                </c:pt>
                <c:pt idx="19">
                  <c:v>1.8425729749269497E-3</c:v>
                </c:pt>
                <c:pt idx="20">
                  <c:v>5.7763419096181542E-3</c:v>
                </c:pt>
                <c:pt idx="21">
                  <c:v>5.4180958515762179E-3</c:v>
                </c:pt>
                <c:pt idx="22">
                  <c:v>4.0317597627286209E-3</c:v>
                </c:pt>
                <c:pt idx="23">
                  <c:v>2.8821299683708945E-3</c:v>
                </c:pt>
                <c:pt idx="24">
                  <c:v>1.9887634863023914E-4</c:v>
                </c:pt>
                <c:pt idx="25">
                  <c:v>1.4152074838090669E-2</c:v>
                </c:pt>
                <c:pt idx="26">
                  <c:v>1.3151115811166245E-3</c:v>
                </c:pt>
                <c:pt idx="27">
                  <c:v>1.2679964770499277E-3</c:v>
                </c:pt>
                <c:pt idx="28">
                  <c:v>1.7917737946946315E-3</c:v>
                </c:pt>
                <c:pt idx="29">
                  <c:v>6.3113158835445049E-2</c:v>
                </c:pt>
                <c:pt idx="30">
                  <c:v>1.0669005078738719E-2</c:v>
                </c:pt>
                <c:pt idx="31">
                  <c:v>8.8669950738916262E-3</c:v>
                </c:pt>
                <c:pt idx="32">
                  <c:v>6.2409087760615087E-2</c:v>
                </c:pt>
                <c:pt idx="33">
                  <c:v>2.1486931256659019E-3</c:v>
                </c:pt>
                <c:pt idx="34">
                  <c:v>2.6534161921203288E-3</c:v>
                </c:pt>
                <c:pt idx="35">
                  <c:v>-7.4972485467156139E-4</c:v>
                </c:pt>
                <c:pt idx="36">
                  <c:v>2.9756017144741179E-3</c:v>
                </c:pt>
                <c:pt idx="37">
                  <c:v>1.1086997546706926E-2</c:v>
                </c:pt>
                <c:pt idx="38">
                  <c:v>2.1885278918832756E-3</c:v>
                </c:pt>
                <c:pt idx="39">
                  <c:v>1.4029055733207443E-3</c:v>
                </c:pt>
                <c:pt idx="40">
                  <c:v>1.2622336046830695E-2</c:v>
                </c:pt>
                <c:pt idx="41">
                  <c:v>7.9689298043728429E-2</c:v>
                </c:pt>
                <c:pt idx="42">
                  <c:v>8.8022790888170322E-4</c:v>
                </c:pt>
                <c:pt idx="43">
                  <c:v>3.3667947287974553E-3</c:v>
                </c:pt>
                <c:pt idx="44">
                  <c:v>7.1981098934404211E-4</c:v>
                </c:pt>
                <c:pt idx="45">
                  <c:v>3.9239564305527366E-4</c:v>
                </c:pt>
                <c:pt idx="46">
                  <c:v>6.0267642955734836E-3</c:v>
                </c:pt>
                <c:pt idx="47">
                  <c:v>5.5706165282028861E-2</c:v>
                </c:pt>
                <c:pt idx="48">
                  <c:v>5.8190830903102836E-3</c:v>
                </c:pt>
                <c:pt idx="49">
                  <c:v>-4.0819787301048958E-3</c:v>
                </c:pt>
              </c:numCache>
            </c:numRef>
          </c:val>
          <c:smooth val="0"/>
          <c:extLst>
            <c:ext xmlns:c16="http://schemas.microsoft.com/office/drawing/2014/chart" uri="{C3380CC4-5D6E-409C-BE32-E72D297353CC}">
              <c16:uniqueId val="{00000003-1B0E-40C9-B7FD-AEF833F74DAC}"/>
            </c:ext>
          </c:extLst>
        </c:ser>
        <c:dLbls>
          <c:showLegendKey val="0"/>
          <c:showVal val="0"/>
          <c:showCatName val="0"/>
          <c:showSerName val="0"/>
          <c:showPercent val="0"/>
          <c:showBubbleSize val="0"/>
        </c:dLbls>
        <c:marker val="1"/>
        <c:smooth val="0"/>
        <c:axId val="1238205711"/>
        <c:axId val="1238219151"/>
      </c:lineChart>
      <c:catAx>
        <c:axId val="1238205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8219151"/>
        <c:crosses val="autoZero"/>
        <c:auto val="1"/>
        <c:lblAlgn val="ctr"/>
        <c:lblOffset val="100"/>
        <c:noMultiLvlLbl val="0"/>
      </c:catAx>
      <c:valAx>
        <c:axId val="123821915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8205711"/>
        <c:crosses val="autoZero"/>
        <c:crossBetween val="between"/>
      </c:valAx>
      <c:spPr>
        <a:noFill/>
        <a:ln>
          <a:noFill/>
        </a:ln>
        <a:effectLst/>
      </c:spPr>
    </c:plotArea>
    <c:legend>
      <c:legendPos val="r"/>
      <c:legendEntry>
        <c:idx val="8"/>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0"/>
    <c:plotArea>
      <c:layout/>
      <c:scatterChart>
        <c:scatterStyle val="lineMarker"/>
        <c:varyColors val="0"/>
        <c:ser>
          <c:idx val="0"/>
          <c:order val="0"/>
          <c:tx>
            <c:v>Facebook</c:v>
          </c:tx>
          <c:spPr>
            <a:ln w="25400" cap="rnd">
              <a:noFill/>
              <a:round/>
            </a:ln>
            <a:effectLst/>
          </c:spPr>
          <c:marker>
            <c:symbol val="circle"/>
            <c:size val="5"/>
            <c:spPr>
              <a:solidFill>
                <a:schemeClr val="accent1">
                  <a:shade val="58000"/>
                </a:schemeClr>
              </a:solidFill>
              <a:ln w="9525">
                <a:solidFill>
                  <a:schemeClr val="accent1">
                    <a:shade val="58000"/>
                  </a:schemeClr>
                </a:solidFill>
              </a:ln>
              <a:effectLst/>
            </c:spPr>
          </c:marker>
          <c:trendline>
            <c:spPr>
              <a:ln w="19050" cap="rnd">
                <a:solidFill>
                  <a:schemeClr val="accent1">
                    <a:shade val="58000"/>
                  </a:schemeClr>
                </a:solidFill>
                <a:prstDash val="sysDot"/>
              </a:ln>
              <a:effectLst/>
            </c:spPr>
            <c:trendlineType val="linear"/>
            <c:dispRSqr val="1"/>
            <c:dispEq val="1"/>
            <c:trendlineLbl>
              <c:layout>
                <c:manualLayout>
                  <c:x val="-0.1835011862932501"/>
                  <c:y val="-0.71475533767480726"/>
                </c:manualLayout>
              </c:layout>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baseline="0"/>
                      <a:t>Facebook</a:t>
                    </a:r>
                  </a:p>
                  <a:p>
                    <a:pPr>
                      <a:defRPr/>
                    </a:pPr>
                    <a:r>
                      <a:rPr lang="en-US" baseline="0"/>
                      <a:t>y = 1E-08x + 0.0051</a:t>
                    </a:r>
                    <a:br>
                      <a:rPr lang="en-US" baseline="0"/>
                    </a:br>
                    <a:r>
                      <a:rPr lang="en-US" baseline="0"/>
                      <a:t>R² = 0.0002</a:t>
                    </a:r>
                    <a:endParaRPr lang="en-US"/>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'Task 6.4'!$A$2:$A$51</c:f>
              <c:numCache>
                <c:formatCode>0</c:formatCode>
                <c:ptCount val="50"/>
                <c:pt idx="0">
                  <c:v>2315</c:v>
                </c:pt>
                <c:pt idx="1">
                  <c:v>3582</c:v>
                </c:pt>
                <c:pt idx="2">
                  <c:v>4839</c:v>
                </c:pt>
                <c:pt idx="3">
                  <c:v>4996</c:v>
                </c:pt>
                <c:pt idx="4">
                  <c:v>7285</c:v>
                </c:pt>
                <c:pt idx="5">
                  <c:v>7875</c:v>
                </c:pt>
                <c:pt idx="6">
                  <c:v>7924</c:v>
                </c:pt>
                <c:pt idx="7">
                  <c:v>9566</c:v>
                </c:pt>
                <c:pt idx="8">
                  <c:v>11901</c:v>
                </c:pt>
                <c:pt idx="9">
                  <c:v>14203</c:v>
                </c:pt>
                <c:pt idx="10">
                  <c:v>17951</c:v>
                </c:pt>
                <c:pt idx="11">
                  <c:v>18601</c:v>
                </c:pt>
                <c:pt idx="12">
                  <c:v>18656</c:v>
                </c:pt>
                <c:pt idx="13">
                  <c:v>20553</c:v>
                </c:pt>
                <c:pt idx="14">
                  <c:v>20560</c:v>
                </c:pt>
                <c:pt idx="15">
                  <c:v>21453</c:v>
                </c:pt>
                <c:pt idx="16">
                  <c:v>21539</c:v>
                </c:pt>
                <c:pt idx="17">
                  <c:v>22713</c:v>
                </c:pt>
                <c:pt idx="18">
                  <c:v>23461</c:v>
                </c:pt>
                <c:pt idx="19">
                  <c:v>23489</c:v>
                </c:pt>
                <c:pt idx="20">
                  <c:v>23853</c:v>
                </c:pt>
                <c:pt idx="21">
                  <c:v>24384</c:v>
                </c:pt>
                <c:pt idx="22">
                  <c:v>25140</c:v>
                </c:pt>
                <c:pt idx="23">
                  <c:v>25920</c:v>
                </c:pt>
                <c:pt idx="24">
                  <c:v>26067</c:v>
                </c:pt>
                <c:pt idx="25">
                  <c:v>26103</c:v>
                </c:pt>
                <c:pt idx="26">
                  <c:v>26455</c:v>
                </c:pt>
                <c:pt idx="27">
                  <c:v>26925</c:v>
                </c:pt>
                <c:pt idx="28">
                  <c:v>28498</c:v>
                </c:pt>
                <c:pt idx="29">
                  <c:v>29116</c:v>
                </c:pt>
                <c:pt idx="30">
                  <c:v>30214</c:v>
                </c:pt>
                <c:pt idx="31">
                  <c:v>30635</c:v>
                </c:pt>
                <c:pt idx="32">
                  <c:v>31853</c:v>
                </c:pt>
                <c:pt idx="33">
                  <c:v>37903</c:v>
                </c:pt>
                <c:pt idx="34">
                  <c:v>38452</c:v>
                </c:pt>
                <c:pt idx="35">
                  <c:v>38610</c:v>
                </c:pt>
                <c:pt idx="36">
                  <c:v>39997</c:v>
                </c:pt>
                <c:pt idx="37">
                  <c:v>40323</c:v>
                </c:pt>
                <c:pt idx="38">
                  <c:v>40478</c:v>
                </c:pt>
                <c:pt idx="39">
                  <c:v>42307</c:v>
                </c:pt>
                <c:pt idx="40">
                  <c:v>42824</c:v>
                </c:pt>
                <c:pt idx="41">
                  <c:v>43420</c:v>
                </c:pt>
                <c:pt idx="42">
                  <c:v>43836</c:v>
                </c:pt>
                <c:pt idx="43">
                  <c:v>45708</c:v>
                </c:pt>
                <c:pt idx="44">
                  <c:v>46670</c:v>
                </c:pt>
                <c:pt idx="45">
                  <c:v>47462</c:v>
                </c:pt>
                <c:pt idx="46">
                  <c:v>47502</c:v>
                </c:pt>
                <c:pt idx="47">
                  <c:v>47603</c:v>
                </c:pt>
                <c:pt idx="48">
                  <c:v>48419</c:v>
                </c:pt>
                <c:pt idx="49">
                  <c:v>49400</c:v>
                </c:pt>
              </c:numCache>
            </c:numRef>
          </c:xVal>
          <c:yVal>
            <c:numRef>
              <c:f>'Task 6.4'!$B$2:$B$51</c:f>
              <c:numCache>
                <c:formatCode>0.0000</c:formatCode>
                <c:ptCount val="50"/>
                <c:pt idx="0">
                  <c:v>-3.9477485703195471E-4</c:v>
                </c:pt>
                <c:pt idx="1">
                  <c:v>2.014855668727483E-3</c:v>
                </c:pt>
                <c:pt idx="2">
                  <c:v>-7.3097734889686784E-4</c:v>
                </c:pt>
                <c:pt idx="3">
                  <c:v>1.6918035252172713E-3</c:v>
                </c:pt>
                <c:pt idx="4">
                  <c:v>1.8083871090552605E-3</c:v>
                </c:pt>
                <c:pt idx="5">
                  <c:v>2.7690774864725927E-3</c:v>
                </c:pt>
                <c:pt idx="6">
                  <c:v>4.0530081660374974E-3</c:v>
                </c:pt>
                <c:pt idx="7">
                  <c:v>2.3491348994232664E-2</c:v>
                </c:pt>
                <c:pt idx="8">
                  <c:v>-7.9248226299566635E-5</c:v>
                </c:pt>
                <c:pt idx="9">
                  <c:v>5.7523759813836147E-3</c:v>
                </c:pt>
                <c:pt idx="10">
                  <c:v>6.4766839378238338E-3</c:v>
                </c:pt>
                <c:pt idx="11">
                  <c:v>3.8307014117515761E-2</c:v>
                </c:pt>
                <c:pt idx="12">
                  <c:v>3.311568846722701E-3</c:v>
                </c:pt>
                <c:pt idx="13">
                  <c:v>-3.2435585380545735E-4</c:v>
                </c:pt>
                <c:pt idx="14">
                  <c:v>2.7948348464241365E-3</c:v>
                </c:pt>
                <c:pt idx="15">
                  <c:v>1.268716241173857E-3</c:v>
                </c:pt>
                <c:pt idx="16">
                  <c:v>2.6639909400836752E-3</c:v>
                </c:pt>
                <c:pt idx="17">
                  <c:v>7.4073109768798169E-3</c:v>
                </c:pt>
                <c:pt idx="18">
                  <c:v>1.3889264193260734E-3</c:v>
                </c:pt>
                <c:pt idx="19">
                  <c:v>2.9427518601934728E-3</c:v>
                </c:pt>
                <c:pt idx="20">
                  <c:v>8.9052952094934197E-4</c:v>
                </c:pt>
                <c:pt idx="21">
                  <c:v>2.1026918479944948E-3</c:v>
                </c:pt>
                <c:pt idx="22">
                  <c:v>4.6806929323118035E-3</c:v>
                </c:pt>
                <c:pt idx="23">
                  <c:v>-2.4750024750024749E-3</c:v>
                </c:pt>
                <c:pt idx="24">
                  <c:v>3.2572737872501967E-3</c:v>
                </c:pt>
                <c:pt idx="25">
                  <c:v>3.6277109484146308E-3</c:v>
                </c:pt>
                <c:pt idx="26">
                  <c:v>-1.5755714445670778E-3</c:v>
                </c:pt>
                <c:pt idx="27">
                  <c:v>9.7527544941747058E-5</c:v>
                </c:pt>
                <c:pt idx="28">
                  <c:v>3.9565022381564839E-3</c:v>
                </c:pt>
                <c:pt idx="29">
                  <c:v>3.2619275185675578E-3</c:v>
                </c:pt>
                <c:pt idx="30">
                  <c:v>1.8382090319876945E-3</c:v>
                </c:pt>
                <c:pt idx="31">
                  <c:v>6.3510173036698994E-2</c:v>
                </c:pt>
                <c:pt idx="32">
                  <c:v>1.5147617822744291E-2</c:v>
                </c:pt>
                <c:pt idx="33">
                  <c:v>4.3366318609156986E-3</c:v>
                </c:pt>
                <c:pt idx="34">
                  <c:v>-3.4250669665215861E-4</c:v>
                </c:pt>
                <c:pt idx="35">
                  <c:v>1.2276812319721568E-3</c:v>
                </c:pt>
                <c:pt idx="36">
                  <c:v>2.1248528096751631E-4</c:v>
                </c:pt>
                <c:pt idx="37">
                  <c:v>5.5005257855530306E-3</c:v>
                </c:pt>
                <c:pt idx="38">
                  <c:v>4.6435400163889647E-3</c:v>
                </c:pt>
                <c:pt idx="39">
                  <c:v>2.9088264703208797E-4</c:v>
                </c:pt>
                <c:pt idx="40">
                  <c:v>1.8687212668142345E-2</c:v>
                </c:pt>
                <c:pt idx="41">
                  <c:v>-4.9009939454794306E-4</c:v>
                </c:pt>
                <c:pt idx="42">
                  <c:v>4.3810281972675247E-3</c:v>
                </c:pt>
                <c:pt idx="43">
                  <c:v>1.3262186302564765E-3</c:v>
                </c:pt>
                <c:pt idx="44">
                  <c:v>8.1535847453627231E-3</c:v>
                </c:pt>
                <c:pt idx="45">
                  <c:v>2.0668041724136477E-4</c:v>
                </c:pt>
                <c:pt idx="46">
                  <c:v>7.8202834584935772E-3</c:v>
                </c:pt>
                <c:pt idx="47">
                  <c:v>1.0436528865268368E-2</c:v>
                </c:pt>
                <c:pt idx="48">
                  <c:v>8.0965664826031301E-4</c:v>
                </c:pt>
                <c:pt idx="49">
                  <c:v>1.1156186612576065E-3</c:v>
                </c:pt>
              </c:numCache>
            </c:numRef>
          </c:yVal>
          <c:smooth val="0"/>
          <c:extLst>
            <c:ext xmlns:c16="http://schemas.microsoft.com/office/drawing/2014/chart" uri="{C3380CC4-5D6E-409C-BE32-E72D297353CC}">
              <c16:uniqueId val="{00000001-6DF5-4189-B917-61715A9E4AFF}"/>
            </c:ext>
          </c:extLst>
        </c:ser>
        <c:ser>
          <c:idx val="1"/>
          <c:order val="1"/>
          <c:tx>
            <c:v>Instagram</c:v>
          </c:tx>
          <c:spPr>
            <a:ln w="25400" cap="rnd">
              <a:noFill/>
              <a:round/>
            </a:ln>
            <a:effectLst/>
          </c:spPr>
          <c:marker>
            <c:symbol val="circle"/>
            <c:size val="5"/>
            <c:spPr>
              <a:solidFill>
                <a:schemeClr val="accent1">
                  <a:shade val="86000"/>
                </a:schemeClr>
              </a:solidFill>
              <a:ln w="9525">
                <a:solidFill>
                  <a:schemeClr val="accent1">
                    <a:shade val="86000"/>
                  </a:schemeClr>
                </a:solidFill>
              </a:ln>
              <a:effectLst/>
            </c:spPr>
          </c:marker>
          <c:trendline>
            <c:spPr>
              <a:ln w="19050" cap="rnd">
                <a:solidFill>
                  <a:schemeClr val="accent1">
                    <a:shade val="86000"/>
                  </a:schemeClr>
                </a:solidFill>
                <a:prstDash val="sysDot"/>
              </a:ln>
              <a:effectLst/>
            </c:spPr>
            <c:trendlineType val="linear"/>
            <c:dispRSqr val="1"/>
            <c:dispEq val="1"/>
            <c:trendlineLbl>
              <c:layout>
                <c:manualLayout>
                  <c:x val="1.8818899861611893E-2"/>
                  <c:y val="-0.71934470991734434"/>
                </c:manualLayout>
              </c:layout>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baseline="0"/>
                      <a:t>Instagram</a:t>
                    </a:r>
                  </a:p>
                  <a:p>
                    <a:pPr>
                      <a:defRPr/>
                    </a:pPr>
                    <a:r>
                      <a:rPr lang="en-US" baseline="0"/>
                      <a:t> = 4E-08x + 0.0048</a:t>
                    </a:r>
                    <a:br>
                      <a:rPr lang="en-US" baseline="0"/>
                    </a:br>
                    <a:r>
                      <a:rPr lang="en-US" baseline="0"/>
                      <a:t>R² = 0.0075</a:t>
                    </a:r>
                    <a:endParaRPr lang="en-US"/>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'Task 6.4'!$A$52:$A$101</c:f>
              <c:numCache>
                <c:formatCode>0</c:formatCode>
                <c:ptCount val="50"/>
                <c:pt idx="0">
                  <c:v>1083</c:v>
                </c:pt>
                <c:pt idx="1">
                  <c:v>1810</c:v>
                </c:pt>
                <c:pt idx="2">
                  <c:v>2293</c:v>
                </c:pt>
                <c:pt idx="3">
                  <c:v>2436</c:v>
                </c:pt>
                <c:pt idx="4">
                  <c:v>3314</c:v>
                </c:pt>
                <c:pt idx="5">
                  <c:v>4313</c:v>
                </c:pt>
                <c:pt idx="6">
                  <c:v>4683</c:v>
                </c:pt>
                <c:pt idx="7">
                  <c:v>5904</c:v>
                </c:pt>
                <c:pt idx="8">
                  <c:v>6296</c:v>
                </c:pt>
                <c:pt idx="9">
                  <c:v>9480</c:v>
                </c:pt>
                <c:pt idx="10">
                  <c:v>9566</c:v>
                </c:pt>
                <c:pt idx="11">
                  <c:v>9920</c:v>
                </c:pt>
                <c:pt idx="12">
                  <c:v>10740</c:v>
                </c:pt>
                <c:pt idx="13">
                  <c:v>10825</c:v>
                </c:pt>
                <c:pt idx="14">
                  <c:v>11329</c:v>
                </c:pt>
                <c:pt idx="15">
                  <c:v>13116</c:v>
                </c:pt>
                <c:pt idx="16">
                  <c:v>14216</c:v>
                </c:pt>
                <c:pt idx="17">
                  <c:v>14548</c:v>
                </c:pt>
                <c:pt idx="18">
                  <c:v>15353</c:v>
                </c:pt>
                <c:pt idx="19">
                  <c:v>17328</c:v>
                </c:pt>
                <c:pt idx="20">
                  <c:v>18050</c:v>
                </c:pt>
                <c:pt idx="21">
                  <c:v>18693</c:v>
                </c:pt>
                <c:pt idx="22">
                  <c:v>20042</c:v>
                </c:pt>
                <c:pt idx="23">
                  <c:v>20692</c:v>
                </c:pt>
                <c:pt idx="24">
                  <c:v>21939</c:v>
                </c:pt>
                <c:pt idx="25">
                  <c:v>22724</c:v>
                </c:pt>
                <c:pt idx="26">
                  <c:v>22728</c:v>
                </c:pt>
                <c:pt idx="27">
                  <c:v>23140</c:v>
                </c:pt>
                <c:pt idx="28">
                  <c:v>24913</c:v>
                </c:pt>
                <c:pt idx="29">
                  <c:v>25525</c:v>
                </c:pt>
                <c:pt idx="30">
                  <c:v>26663</c:v>
                </c:pt>
                <c:pt idx="31">
                  <c:v>29533</c:v>
                </c:pt>
                <c:pt idx="32">
                  <c:v>30575</c:v>
                </c:pt>
                <c:pt idx="33">
                  <c:v>32478</c:v>
                </c:pt>
                <c:pt idx="34">
                  <c:v>33381</c:v>
                </c:pt>
                <c:pt idx="35">
                  <c:v>33799</c:v>
                </c:pt>
                <c:pt idx="36">
                  <c:v>35501</c:v>
                </c:pt>
                <c:pt idx="37">
                  <c:v>36103</c:v>
                </c:pt>
                <c:pt idx="38">
                  <c:v>36397</c:v>
                </c:pt>
                <c:pt idx="39">
                  <c:v>36484</c:v>
                </c:pt>
                <c:pt idx="40">
                  <c:v>37132</c:v>
                </c:pt>
                <c:pt idx="41">
                  <c:v>37829</c:v>
                </c:pt>
                <c:pt idx="42">
                  <c:v>41215</c:v>
                </c:pt>
                <c:pt idx="43">
                  <c:v>43122</c:v>
                </c:pt>
                <c:pt idx="44">
                  <c:v>44097</c:v>
                </c:pt>
                <c:pt idx="45">
                  <c:v>47101</c:v>
                </c:pt>
                <c:pt idx="46">
                  <c:v>47812</c:v>
                </c:pt>
                <c:pt idx="47">
                  <c:v>49077</c:v>
                </c:pt>
                <c:pt idx="48">
                  <c:v>49303</c:v>
                </c:pt>
                <c:pt idx="49">
                  <c:v>49772</c:v>
                </c:pt>
              </c:numCache>
            </c:numRef>
          </c:xVal>
          <c:yVal>
            <c:numRef>
              <c:f>'Task 6.4'!$B$52:$B$101</c:f>
              <c:numCache>
                <c:formatCode>0.0000</c:formatCode>
                <c:ptCount val="50"/>
                <c:pt idx="0">
                  <c:v>1.5758651286601596E-3</c:v>
                </c:pt>
                <c:pt idx="1">
                  <c:v>5.9936417126309005E-3</c:v>
                </c:pt>
                <c:pt idx="2">
                  <c:v>-2.3994481269308059E-3</c:v>
                </c:pt>
                <c:pt idx="3">
                  <c:v>2.1195852212872357E-3</c:v>
                </c:pt>
                <c:pt idx="4">
                  <c:v>7.7568587198256845E-3</c:v>
                </c:pt>
                <c:pt idx="5">
                  <c:v>1.253515525127127E-2</c:v>
                </c:pt>
                <c:pt idx="6">
                  <c:v>2.4359408109118751E-3</c:v>
                </c:pt>
                <c:pt idx="7">
                  <c:v>3.0428616268120576E-3</c:v>
                </c:pt>
                <c:pt idx="8">
                  <c:v>4.5873346287504706E-4</c:v>
                </c:pt>
                <c:pt idx="9">
                  <c:v>1.6572027392586454E-3</c:v>
                </c:pt>
                <c:pt idx="10">
                  <c:v>-5.2211602419375983E-4</c:v>
                </c:pt>
                <c:pt idx="11">
                  <c:v>1.0517322049758936E-2</c:v>
                </c:pt>
                <c:pt idx="12">
                  <c:v>1.1967386439556591E-2</c:v>
                </c:pt>
                <c:pt idx="13">
                  <c:v>3.0720567989168156E-3</c:v>
                </c:pt>
                <c:pt idx="14">
                  <c:v>1.9542790614208243E-3</c:v>
                </c:pt>
                <c:pt idx="15">
                  <c:v>1.6622321237901201E-3</c:v>
                </c:pt>
                <c:pt idx="16">
                  <c:v>3.4511059684624078E-3</c:v>
                </c:pt>
                <c:pt idx="17">
                  <c:v>4.9282654051223049E-3</c:v>
                </c:pt>
                <c:pt idx="18">
                  <c:v>2.2861730899256253E-2</c:v>
                </c:pt>
                <c:pt idx="19">
                  <c:v>3.3557613568250698E-4</c:v>
                </c:pt>
                <c:pt idx="20">
                  <c:v>1.7636832660385824E-2</c:v>
                </c:pt>
                <c:pt idx="21">
                  <c:v>9.5802484827301332E-3</c:v>
                </c:pt>
                <c:pt idx="22">
                  <c:v>3.5361871958419907E-3</c:v>
                </c:pt>
                <c:pt idx="23">
                  <c:v>3.0759118725472716E-3</c:v>
                </c:pt>
                <c:pt idx="24">
                  <c:v>7.4222825979957871E-3</c:v>
                </c:pt>
                <c:pt idx="25">
                  <c:v>5.0721615839286359E-3</c:v>
                </c:pt>
                <c:pt idx="26">
                  <c:v>2.8717173625543171E-2</c:v>
                </c:pt>
                <c:pt idx="27">
                  <c:v>2.2667798288422093E-3</c:v>
                </c:pt>
                <c:pt idx="28">
                  <c:v>3.5456226214689766E-3</c:v>
                </c:pt>
                <c:pt idx="29">
                  <c:v>-4.6464109274628077E-4</c:v>
                </c:pt>
                <c:pt idx="30">
                  <c:v>4.1581361392816901E-3</c:v>
                </c:pt>
                <c:pt idx="31">
                  <c:v>-9.5914811987394058E-4</c:v>
                </c:pt>
                <c:pt idx="32">
                  <c:v>2.7682576721248606E-3</c:v>
                </c:pt>
                <c:pt idx="33">
                  <c:v>7.3371064356504961E-4</c:v>
                </c:pt>
                <c:pt idx="34">
                  <c:v>4.1995793722733989E-3</c:v>
                </c:pt>
                <c:pt idx="35">
                  <c:v>5.1052298518124532E-3</c:v>
                </c:pt>
                <c:pt idx="36">
                  <c:v>2.335271198731579E-4</c:v>
                </c:pt>
                <c:pt idx="37">
                  <c:v>3.8511033114748661E-3</c:v>
                </c:pt>
                <c:pt idx="38">
                  <c:v>3.1501331857780751E-3</c:v>
                </c:pt>
                <c:pt idx="39">
                  <c:v>2.5430053699827069E-2</c:v>
                </c:pt>
                <c:pt idx="40">
                  <c:v>1.9361810704529763E-3</c:v>
                </c:pt>
                <c:pt idx="41">
                  <c:v>1.2306082974775983E-2</c:v>
                </c:pt>
                <c:pt idx="42">
                  <c:v>1.0000908202133741E-2</c:v>
                </c:pt>
                <c:pt idx="43">
                  <c:v>4.0971536250166149E-3</c:v>
                </c:pt>
                <c:pt idx="44">
                  <c:v>2.1291007252180398E-3</c:v>
                </c:pt>
                <c:pt idx="45">
                  <c:v>2.7085701202809553E-3</c:v>
                </c:pt>
                <c:pt idx="46">
                  <c:v>1.7550345364335054E-2</c:v>
                </c:pt>
                <c:pt idx="47">
                  <c:v>1.2636715002329981E-3</c:v>
                </c:pt>
                <c:pt idx="48">
                  <c:v>8.0371168669857163E-4</c:v>
                </c:pt>
                <c:pt idx="49">
                  <c:v>1.0867503398564699E-2</c:v>
                </c:pt>
              </c:numCache>
            </c:numRef>
          </c:yVal>
          <c:smooth val="0"/>
          <c:extLst>
            <c:ext xmlns:c16="http://schemas.microsoft.com/office/drawing/2014/chart" uri="{C3380CC4-5D6E-409C-BE32-E72D297353CC}">
              <c16:uniqueId val="{00000002-6DF5-4189-B917-61715A9E4AFF}"/>
            </c:ext>
          </c:extLst>
        </c:ser>
        <c:ser>
          <c:idx val="2"/>
          <c:order val="2"/>
          <c:tx>
            <c:v>Twitter</c:v>
          </c:tx>
          <c:spPr>
            <a:ln w="25400" cap="rnd">
              <a:noFill/>
              <a:round/>
            </a:ln>
            <a:effectLst/>
          </c:spPr>
          <c:marker>
            <c:symbol val="circle"/>
            <c:size val="5"/>
            <c:spPr>
              <a:solidFill>
                <a:schemeClr val="accent1">
                  <a:tint val="86000"/>
                </a:schemeClr>
              </a:solidFill>
              <a:ln w="9525">
                <a:solidFill>
                  <a:schemeClr val="accent1">
                    <a:tint val="86000"/>
                  </a:schemeClr>
                </a:solidFill>
              </a:ln>
              <a:effectLst/>
            </c:spPr>
          </c:marker>
          <c:trendline>
            <c:spPr>
              <a:ln w="19050" cap="rnd">
                <a:solidFill>
                  <a:schemeClr val="accent1">
                    <a:tint val="86000"/>
                  </a:schemeClr>
                </a:solidFill>
                <a:prstDash val="sysDot"/>
              </a:ln>
              <a:effectLst/>
            </c:spPr>
            <c:trendlineType val="linear"/>
            <c:dispRSqr val="1"/>
            <c:dispEq val="1"/>
            <c:trendlineLbl>
              <c:layout>
                <c:manualLayout>
                  <c:x val="0.25915882536716855"/>
                  <c:y val="-0.71475533767480726"/>
                </c:manualLayout>
              </c:layout>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baseline="0"/>
                      <a:t>Twitter</a:t>
                    </a:r>
                  </a:p>
                  <a:p>
                    <a:pPr>
                      <a:defRPr/>
                    </a:pPr>
                    <a:r>
                      <a:rPr lang="en-US" baseline="0"/>
                      <a:t> = -6E-09x + 0.0094</a:t>
                    </a:r>
                    <a:br>
                      <a:rPr lang="en-US" baseline="0"/>
                    </a:br>
                    <a:r>
                      <a:rPr lang="en-US" baseline="0"/>
                      <a:t>R² = 2E-05</a:t>
                    </a:r>
                    <a:endParaRPr lang="en-US"/>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'Task 6.4'!$A$102:$A$151</c:f>
              <c:numCache>
                <c:formatCode>0</c:formatCode>
                <c:ptCount val="50"/>
                <c:pt idx="0">
                  <c:v>26752</c:v>
                </c:pt>
                <c:pt idx="1">
                  <c:v>8912</c:v>
                </c:pt>
                <c:pt idx="2">
                  <c:v>22482</c:v>
                </c:pt>
                <c:pt idx="3">
                  <c:v>31280</c:v>
                </c:pt>
                <c:pt idx="4">
                  <c:v>5914</c:v>
                </c:pt>
                <c:pt idx="5">
                  <c:v>2932</c:v>
                </c:pt>
                <c:pt idx="6">
                  <c:v>32393</c:v>
                </c:pt>
                <c:pt idx="7">
                  <c:v>32763</c:v>
                </c:pt>
                <c:pt idx="8">
                  <c:v>39272</c:v>
                </c:pt>
                <c:pt idx="9">
                  <c:v>12384</c:v>
                </c:pt>
                <c:pt idx="10">
                  <c:v>33258</c:v>
                </c:pt>
                <c:pt idx="11">
                  <c:v>22206</c:v>
                </c:pt>
                <c:pt idx="12">
                  <c:v>9942</c:v>
                </c:pt>
                <c:pt idx="13">
                  <c:v>25797</c:v>
                </c:pt>
                <c:pt idx="14">
                  <c:v>15476</c:v>
                </c:pt>
                <c:pt idx="15">
                  <c:v>30270</c:v>
                </c:pt>
                <c:pt idx="16">
                  <c:v>24018</c:v>
                </c:pt>
                <c:pt idx="17">
                  <c:v>12148</c:v>
                </c:pt>
                <c:pt idx="18">
                  <c:v>4509</c:v>
                </c:pt>
                <c:pt idx="19">
                  <c:v>33174</c:v>
                </c:pt>
                <c:pt idx="20">
                  <c:v>21208</c:v>
                </c:pt>
                <c:pt idx="21">
                  <c:v>15827</c:v>
                </c:pt>
                <c:pt idx="22">
                  <c:v>36095</c:v>
                </c:pt>
                <c:pt idx="23">
                  <c:v>30428</c:v>
                </c:pt>
                <c:pt idx="24">
                  <c:v>5391</c:v>
                </c:pt>
                <c:pt idx="25">
                  <c:v>39530</c:v>
                </c:pt>
                <c:pt idx="26">
                  <c:v>3455</c:v>
                </c:pt>
                <c:pt idx="27">
                  <c:v>20861</c:v>
                </c:pt>
                <c:pt idx="28">
                  <c:v>13316</c:v>
                </c:pt>
                <c:pt idx="29">
                  <c:v>35359</c:v>
                </c:pt>
                <c:pt idx="30">
                  <c:v>9118</c:v>
                </c:pt>
                <c:pt idx="31">
                  <c:v>2798</c:v>
                </c:pt>
                <c:pt idx="32">
                  <c:v>12350</c:v>
                </c:pt>
                <c:pt idx="33">
                  <c:v>45380</c:v>
                </c:pt>
                <c:pt idx="34">
                  <c:v>19119</c:v>
                </c:pt>
                <c:pt idx="35">
                  <c:v>48270</c:v>
                </c:pt>
                <c:pt idx="36">
                  <c:v>42832</c:v>
                </c:pt>
                <c:pt idx="37">
                  <c:v>37636</c:v>
                </c:pt>
                <c:pt idx="38">
                  <c:v>8718</c:v>
                </c:pt>
                <c:pt idx="39">
                  <c:v>10002</c:v>
                </c:pt>
                <c:pt idx="40">
                  <c:v>14722</c:v>
                </c:pt>
                <c:pt idx="41">
                  <c:v>14068</c:v>
                </c:pt>
                <c:pt idx="42">
                  <c:v>21061</c:v>
                </c:pt>
                <c:pt idx="43">
                  <c:v>11805</c:v>
                </c:pt>
                <c:pt idx="44">
                  <c:v>42964</c:v>
                </c:pt>
                <c:pt idx="45">
                  <c:v>11035</c:v>
                </c:pt>
                <c:pt idx="46">
                  <c:v>8471</c:v>
                </c:pt>
                <c:pt idx="47">
                  <c:v>32500</c:v>
                </c:pt>
                <c:pt idx="48">
                  <c:v>16149</c:v>
                </c:pt>
                <c:pt idx="49">
                  <c:v>4007</c:v>
                </c:pt>
              </c:numCache>
            </c:numRef>
          </c:xVal>
          <c:yVal>
            <c:numRef>
              <c:f>'Task 6.4'!$B$102:$B$151</c:f>
              <c:numCache>
                <c:formatCode>0.0000</c:formatCode>
                <c:ptCount val="50"/>
                <c:pt idx="0">
                  <c:v>2.826320879360366E-3</c:v>
                </c:pt>
                <c:pt idx="1">
                  <c:v>7.3128442639386348E-4</c:v>
                </c:pt>
                <c:pt idx="2">
                  <c:v>1.0551445425805821E-2</c:v>
                </c:pt>
                <c:pt idx="3">
                  <c:v>2.798060458211721E-3</c:v>
                </c:pt>
                <c:pt idx="4">
                  <c:v>4.3037693661692649E-3</c:v>
                </c:pt>
                <c:pt idx="5">
                  <c:v>1.40324773607655E-3</c:v>
                </c:pt>
                <c:pt idx="6">
                  <c:v>1.8982132901478749E-3</c:v>
                </c:pt>
                <c:pt idx="7">
                  <c:v>6.6371458255580548E-3</c:v>
                </c:pt>
                <c:pt idx="8">
                  <c:v>5.1986619096302169E-3</c:v>
                </c:pt>
                <c:pt idx="9">
                  <c:v>7.2889860753698943E-4</c:v>
                </c:pt>
                <c:pt idx="10">
                  <c:v>8.5080354946042954E-5</c:v>
                </c:pt>
                <c:pt idx="11">
                  <c:v>8.825634093981077E-3</c:v>
                </c:pt>
                <c:pt idx="12">
                  <c:v>6.5914381026955706E-3</c:v>
                </c:pt>
                <c:pt idx="13">
                  <c:v>6.1798299135137512E-4</c:v>
                </c:pt>
                <c:pt idx="14">
                  <c:v>5.990134708914012E-4</c:v>
                </c:pt>
                <c:pt idx="15">
                  <c:v>2.8673012960201858E-3</c:v>
                </c:pt>
                <c:pt idx="16">
                  <c:v>6.2566104068286429E-3</c:v>
                </c:pt>
                <c:pt idx="17">
                  <c:v>9.2287307798970819E-3</c:v>
                </c:pt>
                <c:pt idx="18">
                  <c:v>2.2456063766826309E-4</c:v>
                </c:pt>
                <c:pt idx="19">
                  <c:v>-6.456361452939582E-5</c:v>
                </c:pt>
                <c:pt idx="20">
                  <c:v>2.4623771231227277E-3</c:v>
                </c:pt>
                <c:pt idx="21">
                  <c:v>1.5381417584701726E-4</c:v>
                </c:pt>
                <c:pt idx="22">
                  <c:v>3.6508153411678964E-3</c:v>
                </c:pt>
                <c:pt idx="23">
                  <c:v>1.3172212358971423E-2</c:v>
                </c:pt>
                <c:pt idx="24">
                  <c:v>9.1277744844858602E-4</c:v>
                </c:pt>
                <c:pt idx="25">
                  <c:v>1.1079079758069075E-3</c:v>
                </c:pt>
                <c:pt idx="26">
                  <c:v>3.7850431101244257E-3</c:v>
                </c:pt>
                <c:pt idx="27">
                  <c:v>8.3806473528412681E-2</c:v>
                </c:pt>
                <c:pt idx="28">
                  <c:v>4.1536387893013997E-3</c:v>
                </c:pt>
                <c:pt idx="29">
                  <c:v>1.1230414576116569E-2</c:v>
                </c:pt>
                <c:pt idx="30">
                  <c:v>5.5634189738421064E-3</c:v>
                </c:pt>
                <c:pt idx="31">
                  <c:v>3.2008104408927781E-3</c:v>
                </c:pt>
                <c:pt idx="32">
                  <c:v>-2.9514486693885583E-4</c:v>
                </c:pt>
                <c:pt idx="33">
                  <c:v>7.1621491270377159E-3</c:v>
                </c:pt>
                <c:pt idx="34">
                  <c:v>5.4309533874905263E-3</c:v>
                </c:pt>
                <c:pt idx="35">
                  <c:v>3.2046588643454949E-3</c:v>
                </c:pt>
                <c:pt idx="36">
                  <c:v>9.4958208908059605E-3</c:v>
                </c:pt>
                <c:pt idx="37">
                  <c:v>-2.5410691720235154E-4</c:v>
                </c:pt>
                <c:pt idx="38">
                  <c:v>2.2333891680625349E-3</c:v>
                </c:pt>
                <c:pt idx="39">
                  <c:v>1.9268070513850934E-3</c:v>
                </c:pt>
                <c:pt idx="40">
                  <c:v>0.10825114265095021</c:v>
                </c:pt>
                <c:pt idx="41">
                  <c:v>6.9173294769824048E-2</c:v>
                </c:pt>
                <c:pt idx="42">
                  <c:v>1.3832962243592781E-3</c:v>
                </c:pt>
                <c:pt idx="43">
                  <c:v>8.4497101083942528E-3</c:v>
                </c:pt>
                <c:pt idx="44">
                  <c:v>3.4032917638311531E-2</c:v>
                </c:pt>
                <c:pt idx="45">
                  <c:v>3.7191155522184875E-4</c:v>
                </c:pt>
                <c:pt idx="46">
                  <c:v>2.2734693021737242E-3</c:v>
                </c:pt>
                <c:pt idx="47">
                  <c:v>1.9454574184929272E-3</c:v>
                </c:pt>
                <c:pt idx="48">
                  <c:v>3.1174901520344203E-3</c:v>
                </c:pt>
                <c:pt idx="49">
                  <c:v>5.8952701962314107E-4</c:v>
                </c:pt>
              </c:numCache>
            </c:numRef>
          </c:yVal>
          <c:smooth val="0"/>
          <c:extLst>
            <c:ext xmlns:c16="http://schemas.microsoft.com/office/drawing/2014/chart" uri="{C3380CC4-5D6E-409C-BE32-E72D297353CC}">
              <c16:uniqueId val="{00000003-6DF5-4189-B917-61715A9E4AFF}"/>
            </c:ext>
          </c:extLst>
        </c:ser>
        <c:ser>
          <c:idx val="3"/>
          <c:order val="3"/>
          <c:tx>
            <c:v>YouTube</c:v>
          </c:tx>
          <c:spPr>
            <a:ln w="25400" cap="rnd">
              <a:noFill/>
              <a:round/>
            </a:ln>
            <a:effectLst/>
          </c:spPr>
          <c:marker>
            <c:symbol val="circle"/>
            <c:size val="5"/>
            <c:spPr>
              <a:solidFill>
                <a:schemeClr val="accent1">
                  <a:tint val="58000"/>
                </a:schemeClr>
              </a:solidFill>
              <a:ln w="9525">
                <a:solidFill>
                  <a:schemeClr val="accent1">
                    <a:tint val="58000"/>
                  </a:schemeClr>
                </a:solidFill>
              </a:ln>
              <a:effectLst/>
            </c:spPr>
          </c:marker>
          <c:trendline>
            <c:spPr>
              <a:ln w="19050" cap="rnd">
                <a:solidFill>
                  <a:schemeClr val="accent1">
                    <a:tint val="58000"/>
                  </a:schemeClr>
                </a:solidFill>
                <a:prstDash val="sysDot"/>
              </a:ln>
              <a:effectLst/>
            </c:spPr>
            <c:trendlineType val="linear"/>
            <c:dispRSqr val="1"/>
            <c:dispEq val="1"/>
            <c:trendlineLbl>
              <c:layout>
                <c:manualLayout>
                  <c:x val="0.46575644174640057"/>
                  <c:y val="-0.70849608439819423"/>
                </c:manualLayout>
              </c:layout>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baseline="0"/>
                      <a:t>YouTube</a:t>
                    </a:r>
                  </a:p>
                  <a:p>
                    <a:pPr>
                      <a:defRPr/>
                    </a:pPr>
                    <a:r>
                      <a:rPr lang="en-US" baseline="0"/>
                      <a:t>y = 5E-08x + 0.0078</a:t>
                    </a:r>
                    <a:br>
                      <a:rPr lang="en-US" baseline="0"/>
                    </a:br>
                    <a:r>
                      <a:rPr lang="en-US" baseline="0"/>
                      <a:t>R² = 0.0015</a:t>
                    </a:r>
                    <a:endParaRPr lang="en-US"/>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'Task 6.4'!$A$152:$A$201</c:f>
              <c:numCache>
                <c:formatCode>0</c:formatCode>
                <c:ptCount val="50"/>
                <c:pt idx="0">
                  <c:v>30671</c:v>
                </c:pt>
                <c:pt idx="1">
                  <c:v>21205</c:v>
                </c:pt>
                <c:pt idx="2">
                  <c:v>24313</c:v>
                </c:pt>
                <c:pt idx="3">
                  <c:v>1783</c:v>
                </c:pt>
                <c:pt idx="4">
                  <c:v>30060</c:v>
                </c:pt>
                <c:pt idx="5">
                  <c:v>15071</c:v>
                </c:pt>
                <c:pt idx="6">
                  <c:v>28474</c:v>
                </c:pt>
                <c:pt idx="7">
                  <c:v>26452</c:v>
                </c:pt>
                <c:pt idx="8">
                  <c:v>16804</c:v>
                </c:pt>
                <c:pt idx="9">
                  <c:v>49372</c:v>
                </c:pt>
                <c:pt idx="10">
                  <c:v>6915</c:v>
                </c:pt>
                <c:pt idx="11">
                  <c:v>10283</c:v>
                </c:pt>
                <c:pt idx="12">
                  <c:v>32929</c:v>
                </c:pt>
                <c:pt idx="13">
                  <c:v>12646</c:v>
                </c:pt>
                <c:pt idx="14">
                  <c:v>10217</c:v>
                </c:pt>
                <c:pt idx="15">
                  <c:v>5442</c:v>
                </c:pt>
                <c:pt idx="16">
                  <c:v>38883</c:v>
                </c:pt>
                <c:pt idx="17">
                  <c:v>36851</c:v>
                </c:pt>
                <c:pt idx="18">
                  <c:v>27822</c:v>
                </c:pt>
                <c:pt idx="19">
                  <c:v>6742</c:v>
                </c:pt>
                <c:pt idx="20">
                  <c:v>44321</c:v>
                </c:pt>
                <c:pt idx="21">
                  <c:v>46643</c:v>
                </c:pt>
                <c:pt idx="22">
                  <c:v>16443</c:v>
                </c:pt>
                <c:pt idx="23">
                  <c:v>9269</c:v>
                </c:pt>
                <c:pt idx="24">
                  <c:v>22373</c:v>
                </c:pt>
                <c:pt idx="25">
                  <c:v>37876</c:v>
                </c:pt>
                <c:pt idx="26">
                  <c:v>40888</c:v>
                </c:pt>
                <c:pt idx="27">
                  <c:v>46625</c:v>
                </c:pt>
                <c:pt idx="28">
                  <c:v>49558</c:v>
                </c:pt>
                <c:pt idx="29">
                  <c:v>14154</c:v>
                </c:pt>
                <c:pt idx="30">
                  <c:v>39931</c:v>
                </c:pt>
                <c:pt idx="31">
                  <c:v>15045</c:v>
                </c:pt>
                <c:pt idx="32">
                  <c:v>40868</c:v>
                </c:pt>
                <c:pt idx="33">
                  <c:v>7705</c:v>
                </c:pt>
                <c:pt idx="34">
                  <c:v>43999</c:v>
                </c:pt>
                <c:pt idx="35">
                  <c:v>18001</c:v>
                </c:pt>
                <c:pt idx="36">
                  <c:v>24494</c:v>
                </c:pt>
                <c:pt idx="37">
                  <c:v>22996</c:v>
                </c:pt>
                <c:pt idx="38">
                  <c:v>39031</c:v>
                </c:pt>
                <c:pt idx="39">
                  <c:v>30987</c:v>
                </c:pt>
                <c:pt idx="40">
                  <c:v>11383</c:v>
                </c:pt>
                <c:pt idx="41">
                  <c:v>35801</c:v>
                </c:pt>
                <c:pt idx="42">
                  <c:v>20059</c:v>
                </c:pt>
                <c:pt idx="43">
                  <c:v>15969</c:v>
                </c:pt>
                <c:pt idx="44">
                  <c:v>39923</c:v>
                </c:pt>
                <c:pt idx="45">
                  <c:v>20733</c:v>
                </c:pt>
                <c:pt idx="46">
                  <c:v>14090</c:v>
                </c:pt>
                <c:pt idx="47">
                  <c:v>6832</c:v>
                </c:pt>
                <c:pt idx="48">
                  <c:v>7541</c:v>
                </c:pt>
                <c:pt idx="49">
                  <c:v>12174</c:v>
                </c:pt>
              </c:numCache>
            </c:numRef>
          </c:xVal>
          <c:yVal>
            <c:numRef>
              <c:f>'Task 6.4'!$B$152:$B$201</c:f>
              <c:numCache>
                <c:formatCode>0.0000</c:formatCode>
                <c:ptCount val="50"/>
                <c:pt idx="0">
                  <c:v>2.7557542170624167E-3</c:v>
                </c:pt>
                <c:pt idx="1">
                  <c:v>2.4016739232334168E-3</c:v>
                </c:pt>
                <c:pt idx="2">
                  <c:v>8.80238003818718E-4</c:v>
                </c:pt>
                <c:pt idx="3">
                  <c:v>-2.8860773750305035E-4</c:v>
                </c:pt>
                <c:pt idx="4">
                  <c:v>8.0050669434719116E-4</c:v>
                </c:pt>
                <c:pt idx="5">
                  <c:v>2.1994574101175039E-3</c:v>
                </c:pt>
                <c:pt idx="6">
                  <c:v>1.0211701333265254E-3</c:v>
                </c:pt>
                <c:pt idx="7">
                  <c:v>1.0340418313957282E-3</c:v>
                </c:pt>
                <c:pt idx="8">
                  <c:v>7.600121601945631E-3</c:v>
                </c:pt>
                <c:pt idx="9">
                  <c:v>9.9485420240137223E-4</c:v>
                </c:pt>
                <c:pt idx="10">
                  <c:v>1.011348268360087E-2</c:v>
                </c:pt>
                <c:pt idx="11">
                  <c:v>2.1728440241071327E-3</c:v>
                </c:pt>
                <c:pt idx="12">
                  <c:v>1.1713324743561855E-4</c:v>
                </c:pt>
                <c:pt idx="13">
                  <c:v>8.9764429025449434E-4</c:v>
                </c:pt>
                <c:pt idx="14">
                  <c:v>1.7032345973398571E-2</c:v>
                </c:pt>
                <c:pt idx="15">
                  <c:v>-2.6681341404439108E-4</c:v>
                </c:pt>
                <c:pt idx="16">
                  <c:v>1.592351646960128E-2</c:v>
                </c:pt>
                <c:pt idx="17">
                  <c:v>1.8079694785926241E-2</c:v>
                </c:pt>
                <c:pt idx="18">
                  <c:v>1.0019784829366461E-3</c:v>
                </c:pt>
                <c:pt idx="19">
                  <c:v>1.8425729749269497E-3</c:v>
                </c:pt>
                <c:pt idx="20">
                  <c:v>5.7763419096181542E-3</c:v>
                </c:pt>
                <c:pt idx="21">
                  <c:v>5.4180958515762179E-3</c:v>
                </c:pt>
                <c:pt idx="22">
                  <c:v>4.0317597627286209E-3</c:v>
                </c:pt>
                <c:pt idx="23">
                  <c:v>2.8821299683708945E-3</c:v>
                </c:pt>
                <c:pt idx="24">
                  <c:v>1.9887634863023914E-4</c:v>
                </c:pt>
                <c:pt idx="25">
                  <c:v>1.4152074838090669E-2</c:v>
                </c:pt>
                <c:pt idx="26">
                  <c:v>1.3151115811166245E-3</c:v>
                </c:pt>
                <c:pt idx="27">
                  <c:v>1.2679964770499277E-3</c:v>
                </c:pt>
                <c:pt idx="28">
                  <c:v>1.7917737946946315E-3</c:v>
                </c:pt>
                <c:pt idx="29">
                  <c:v>6.3113158835445049E-2</c:v>
                </c:pt>
                <c:pt idx="30">
                  <c:v>1.0669005078738719E-2</c:v>
                </c:pt>
                <c:pt idx="31">
                  <c:v>8.8669950738916262E-3</c:v>
                </c:pt>
                <c:pt idx="32">
                  <c:v>6.2409087760615087E-2</c:v>
                </c:pt>
                <c:pt idx="33">
                  <c:v>2.1486931256659019E-3</c:v>
                </c:pt>
                <c:pt idx="34">
                  <c:v>2.6534161921203288E-3</c:v>
                </c:pt>
                <c:pt idx="35">
                  <c:v>-7.4972485467156139E-4</c:v>
                </c:pt>
                <c:pt idx="36">
                  <c:v>2.9756017144741179E-3</c:v>
                </c:pt>
                <c:pt idx="37">
                  <c:v>1.1086997546706926E-2</c:v>
                </c:pt>
                <c:pt idx="38">
                  <c:v>2.1885278918832756E-3</c:v>
                </c:pt>
                <c:pt idx="39">
                  <c:v>1.4029055733207443E-3</c:v>
                </c:pt>
                <c:pt idx="40">
                  <c:v>1.2622336046830695E-2</c:v>
                </c:pt>
                <c:pt idx="41">
                  <c:v>7.9689298043728429E-2</c:v>
                </c:pt>
                <c:pt idx="42">
                  <c:v>8.8022790888170322E-4</c:v>
                </c:pt>
                <c:pt idx="43">
                  <c:v>3.3667947287974553E-3</c:v>
                </c:pt>
                <c:pt idx="44">
                  <c:v>7.1981098934404211E-4</c:v>
                </c:pt>
                <c:pt idx="45">
                  <c:v>3.9239564305527366E-4</c:v>
                </c:pt>
                <c:pt idx="46">
                  <c:v>6.0267642955734836E-3</c:v>
                </c:pt>
                <c:pt idx="47">
                  <c:v>5.5706165282028861E-2</c:v>
                </c:pt>
                <c:pt idx="48">
                  <c:v>5.8190830903102836E-3</c:v>
                </c:pt>
                <c:pt idx="49">
                  <c:v>-4.0819787301048958E-3</c:v>
                </c:pt>
              </c:numCache>
            </c:numRef>
          </c:yVal>
          <c:smooth val="0"/>
          <c:extLst>
            <c:ext xmlns:c16="http://schemas.microsoft.com/office/drawing/2014/chart" uri="{C3380CC4-5D6E-409C-BE32-E72D297353CC}">
              <c16:uniqueId val="{00000004-6DF5-4189-B917-61715A9E4AFF}"/>
            </c:ext>
          </c:extLst>
        </c:ser>
        <c:dLbls>
          <c:showLegendKey val="0"/>
          <c:showVal val="0"/>
          <c:showCatName val="0"/>
          <c:showSerName val="0"/>
          <c:showPercent val="0"/>
          <c:showBubbleSize val="0"/>
        </c:dLbls>
        <c:axId val="1238229231"/>
        <c:axId val="1238230191"/>
      </c:scatterChart>
      <c:valAx>
        <c:axId val="1238229231"/>
        <c:scaling>
          <c:orientation val="minMax"/>
        </c:scaling>
        <c:delete val="0"/>
        <c:axPos val="b"/>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8230191"/>
        <c:crosses val="autoZero"/>
        <c:crossBetween val="midCat"/>
      </c:valAx>
      <c:valAx>
        <c:axId val="1238230191"/>
        <c:scaling>
          <c:orientation val="minMax"/>
          <c:max val="5.000000000000001E-2"/>
          <c:min val="0"/>
        </c:scaling>
        <c:delete val="0"/>
        <c:axPos val="l"/>
        <c:numFmt formatCode="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8229231"/>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4</xdr:col>
      <xdr:colOff>266700</xdr:colOff>
      <xdr:row>0</xdr:row>
      <xdr:rowOff>38100</xdr:rowOff>
    </xdr:from>
    <xdr:to>
      <xdr:col>7</xdr:col>
      <xdr:colOff>266700</xdr:colOff>
      <xdr:row>13</xdr:row>
      <xdr:rowOff>127635</xdr:rowOff>
    </xdr:to>
    <mc:AlternateContent xmlns:mc="http://schemas.openxmlformats.org/markup-compatibility/2006" xmlns:a14="http://schemas.microsoft.com/office/drawing/2010/main">
      <mc:Choice Requires="a14">
        <xdr:graphicFrame macro="">
          <xdr:nvGraphicFramePr>
            <xdr:cNvPr id="3" name="Content Type">
              <a:extLst>
                <a:ext uri="{FF2B5EF4-FFF2-40B4-BE49-F238E27FC236}">
                  <a16:creationId xmlns:a16="http://schemas.microsoft.com/office/drawing/2014/main" id="{25E06FB6-94AF-3D0B-5EC3-AD5C5AD56A6F}"/>
                </a:ext>
              </a:extLst>
            </xdr:cNvPr>
            <xdr:cNvGraphicFramePr/>
          </xdr:nvGraphicFramePr>
          <xdr:xfrm>
            <a:off x="0" y="0"/>
            <a:ext cx="0" cy="0"/>
          </xdr:xfrm>
          <a:graphic>
            <a:graphicData uri="http://schemas.microsoft.com/office/drawing/2010/slicer">
              <sle:slicer xmlns:sle="http://schemas.microsoft.com/office/drawing/2010/slicer" name="Content Type"/>
            </a:graphicData>
          </a:graphic>
        </xdr:graphicFrame>
      </mc:Choice>
      <mc:Fallback xmlns="">
        <xdr:sp macro="" textlink="">
          <xdr:nvSpPr>
            <xdr:cNvPr id="0" name=""/>
            <xdr:cNvSpPr>
              <a:spLocks noTextEdit="1"/>
            </xdr:cNvSpPr>
          </xdr:nvSpPr>
          <xdr:spPr>
            <a:xfrm>
              <a:off x="3962400" y="381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92528</xdr:colOff>
      <xdr:row>2</xdr:row>
      <xdr:rowOff>176349</xdr:rowOff>
    </xdr:from>
    <xdr:to>
      <xdr:col>14</xdr:col>
      <xdr:colOff>174171</xdr:colOff>
      <xdr:row>16</xdr:row>
      <xdr:rowOff>80827</xdr:rowOff>
    </xdr:to>
    <mc:AlternateContent xmlns:mc="http://schemas.openxmlformats.org/markup-compatibility/2006" xmlns:a14="http://schemas.microsoft.com/office/drawing/2010/main">
      <mc:Choice Requires="a14">
        <xdr:graphicFrame macro="">
          <xdr:nvGraphicFramePr>
            <xdr:cNvPr id="2" name="Hashtag 1">
              <a:extLst>
                <a:ext uri="{FF2B5EF4-FFF2-40B4-BE49-F238E27FC236}">
                  <a16:creationId xmlns:a16="http://schemas.microsoft.com/office/drawing/2014/main" id="{2AF285C8-BDB0-02DF-43D4-40FA1BC760B1}"/>
                </a:ext>
              </a:extLst>
            </xdr:cNvPr>
            <xdr:cNvGraphicFramePr/>
          </xdr:nvGraphicFramePr>
          <xdr:xfrm>
            <a:off x="0" y="0"/>
            <a:ext cx="0" cy="0"/>
          </xdr:xfrm>
          <a:graphic>
            <a:graphicData uri="http://schemas.microsoft.com/office/drawing/2010/slicer">
              <sle:slicer xmlns:sle="http://schemas.microsoft.com/office/drawing/2010/slicer" name="Hashtag 1"/>
            </a:graphicData>
          </a:graphic>
        </xdr:graphicFrame>
      </mc:Choice>
      <mc:Fallback xmlns="">
        <xdr:sp macro="" textlink="">
          <xdr:nvSpPr>
            <xdr:cNvPr id="0" name=""/>
            <xdr:cNvSpPr>
              <a:spLocks noTextEdit="1"/>
            </xdr:cNvSpPr>
          </xdr:nvSpPr>
          <xdr:spPr>
            <a:xfrm>
              <a:off x="5099957" y="546463"/>
              <a:ext cx="1823357" cy="24952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21772</xdr:colOff>
      <xdr:row>3</xdr:row>
      <xdr:rowOff>48986</xdr:rowOff>
    </xdr:from>
    <xdr:to>
      <xdr:col>20</xdr:col>
      <xdr:colOff>97973</xdr:colOff>
      <xdr:row>16</xdr:row>
      <xdr:rowOff>138521</xdr:rowOff>
    </xdr:to>
    <mc:AlternateContent xmlns:mc="http://schemas.openxmlformats.org/markup-compatibility/2006" xmlns:a14="http://schemas.microsoft.com/office/drawing/2010/main">
      <mc:Choice Requires="a14">
        <xdr:graphicFrame macro="">
          <xdr:nvGraphicFramePr>
            <xdr:cNvPr id="4" name="Hashtag 3">
              <a:extLst>
                <a:ext uri="{FF2B5EF4-FFF2-40B4-BE49-F238E27FC236}">
                  <a16:creationId xmlns:a16="http://schemas.microsoft.com/office/drawing/2014/main" id="{3BBA8B1D-8DC8-F4F1-7818-BA8CA158EB4D}"/>
                </a:ext>
              </a:extLst>
            </xdr:cNvPr>
            <xdr:cNvGraphicFramePr/>
          </xdr:nvGraphicFramePr>
          <xdr:xfrm>
            <a:off x="0" y="0"/>
            <a:ext cx="0" cy="0"/>
          </xdr:xfrm>
          <a:graphic>
            <a:graphicData uri="http://schemas.microsoft.com/office/drawing/2010/slicer">
              <sle:slicer xmlns:sle="http://schemas.microsoft.com/office/drawing/2010/slicer" name="Hashtag 3"/>
            </a:graphicData>
          </a:graphic>
        </xdr:graphicFrame>
      </mc:Choice>
      <mc:Fallback xmlns="">
        <xdr:sp macro="" textlink="">
          <xdr:nvSpPr>
            <xdr:cNvPr id="0" name=""/>
            <xdr:cNvSpPr>
              <a:spLocks noTextEdit="1"/>
            </xdr:cNvSpPr>
          </xdr:nvSpPr>
          <xdr:spPr>
            <a:xfrm>
              <a:off x="7119258" y="604157"/>
              <a:ext cx="1817915" cy="24952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536666</xdr:colOff>
      <xdr:row>3</xdr:row>
      <xdr:rowOff>22860</xdr:rowOff>
    </xdr:from>
    <xdr:to>
      <xdr:col>8</xdr:col>
      <xdr:colOff>144780</xdr:colOff>
      <xdr:row>16</xdr:row>
      <xdr:rowOff>112395</xdr:rowOff>
    </xdr:to>
    <mc:AlternateContent xmlns:mc="http://schemas.openxmlformats.org/markup-compatibility/2006" xmlns:a14="http://schemas.microsoft.com/office/drawing/2010/main">
      <mc:Choice Requires="a14">
        <xdr:graphicFrame macro="">
          <xdr:nvGraphicFramePr>
            <xdr:cNvPr id="3" name="Hashtag 2">
              <a:extLst>
                <a:ext uri="{FF2B5EF4-FFF2-40B4-BE49-F238E27FC236}">
                  <a16:creationId xmlns:a16="http://schemas.microsoft.com/office/drawing/2014/main" id="{50C76912-9CDB-F988-1942-9583EFBA9C35}"/>
                </a:ext>
              </a:extLst>
            </xdr:cNvPr>
            <xdr:cNvGraphicFramePr/>
          </xdr:nvGraphicFramePr>
          <xdr:xfrm>
            <a:off x="0" y="0"/>
            <a:ext cx="0" cy="0"/>
          </xdr:xfrm>
          <a:graphic>
            <a:graphicData uri="http://schemas.microsoft.com/office/drawing/2010/slicer">
              <sle:slicer xmlns:sle="http://schemas.microsoft.com/office/drawing/2010/slicer" name="Hashtag 2"/>
            </a:graphicData>
          </a:graphic>
        </xdr:graphicFrame>
      </mc:Choice>
      <mc:Fallback xmlns="">
        <xdr:sp macro="" textlink="">
          <xdr:nvSpPr>
            <xdr:cNvPr id="0" name=""/>
            <xdr:cNvSpPr>
              <a:spLocks noTextEdit="1"/>
            </xdr:cNvSpPr>
          </xdr:nvSpPr>
          <xdr:spPr>
            <a:xfrm>
              <a:off x="2985952" y="578031"/>
              <a:ext cx="1817914" cy="24952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365760</xdr:colOff>
      <xdr:row>9</xdr:row>
      <xdr:rowOff>72390</xdr:rowOff>
    </xdr:from>
    <xdr:to>
      <xdr:col>9</xdr:col>
      <xdr:colOff>396240</xdr:colOff>
      <xdr:row>26</xdr:row>
      <xdr:rowOff>76200</xdr:rowOff>
    </xdr:to>
    <xdr:graphicFrame macro="">
      <xdr:nvGraphicFramePr>
        <xdr:cNvPr id="2" name="Chart 1">
          <a:extLst>
            <a:ext uri="{FF2B5EF4-FFF2-40B4-BE49-F238E27FC236}">
              <a16:creationId xmlns:a16="http://schemas.microsoft.com/office/drawing/2014/main" id="{4B6754E6-AD31-36E6-2F32-24CB2F7A4A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358140</xdr:colOff>
      <xdr:row>10</xdr:row>
      <xdr:rowOff>64770</xdr:rowOff>
    </xdr:from>
    <xdr:to>
      <xdr:col>9</xdr:col>
      <xdr:colOff>472440</xdr:colOff>
      <xdr:row>25</xdr:row>
      <xdr:rowOff>64770</xdr:rowOff>
    </xdr:to>
    <xdr:graphicFrame macro="">
      <xdr:nvGraphicFramePr>
        <xdr:cNvPr id="5" name="Chart 4">
          <a:extLst>
            <a:ext uri="{FF2B5EF4-FFF2-40B4-BE49-F238E27FC236}">
              <a16:creationId xmlns:a16="http://schemas.microsoft.com/office/drawing/2014/main" id="{5272F1F0-A45D-1F2F-E3FE-40B33A771F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129540</xdr:colOff>
      <xdr:row>3</xdr:row>
      <xdr:rowOff>167640</xdr:rowOff>
    </xdr:from>
    <xdr:to>
      <xdr:col>13</xdr:col>
      <xdr:colOff>495300</xdr:colOff>
      <xdr:row>20</xdr:row>
      <xdr:rowOff>45720</xdr:rowOff>
    </xdr:to>
    <xdr:graphicFrame macro="">
      <xdr:nvGraphicFramePr>
        <xdr:cNvPr id="3" name="Chart 2">
          <a:extLst>
            <a:ext uri="{FF2B5EF4-FFF2-40B4-BE49-F238E27FC236}">
              <a16:creationId xmlns:a16="http://schemas.microsoft.com/office/drawing/2014/main" id="{4ADF4449-E98E-2B55-F0E3-F775B558CD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304800</xdr:colOff>
      <xdr:row>1</xdr:row>
      <xdr:rowOff>0</xdr:rowOff>
    </xdr:from>
    <xdr:to>
      <xdr:col>19</xdr:col>
      <xdr:colOff>434340</xdr:colOff>
      <xdr:row>26</xdr:row>
      <xdr:rowOff>30480</xdr:rowOff>
    </xdr:to>
    <xdr:graphicFrame macro="">
      <xdr:nvGraphicFramePr>
        <xdr:cNvPr id="2" name="Chart 1">
          <a:extLst>
            <a:ext uri="{FF2B5EF4-FFF2-40B4-BE49-F238E27FC236}">
              <a16:creationId xmlns:a16="http://schemas.microsoft.com/office/drawing/2014/main" id="{98B1AC46-418C-A725-FF86-DC9741C520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2930</xdr:colOff>
      <xdr:row>2</xdr:row>
      <xdr:rowOff>178599</xdr:rowOff>
    </xdr:from>
    <xdr:to>
      <xdr:col>6</xdr:col>
      <xdr:colOff>543950</xdr:colOff>
      <xdr:row>17</xdr:row>
      <xdr:rowOff>178600</xdr:rowOff>
    </xdr:to>
    <xdr:graphicFrame macro="">
      <xdr:nvGraphicFramePr>
        <xdr:cNvPr id="9" name="Chart 8">
          <a:extLst>
            <a:ext uri="{FF2B5EF4-FFF2-40B4-BE49-F238E27FC236}">
              <a16:creationId xmlns:a16="http://schemas.microsoft.com/office/drawing/2014/main" id="{6CA7A293-EB5F-3651-28C6-FEF9B85DA6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_rels/pivotCacheDefinition10.xml.rels><?xml version="1.0" encoding="UTF-8" standalone="yes"?>
<Relationships xmlns="http://schemas.openxmlformats.org/package/2006/relationships"><Relationship Id="rId1" Type="http://schemas.openxmlformats.org/officeDocument/2006/relationships/pivotCacheRecords" Target="pivotCacheRecords10.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lesh Bahirgaonkar" refreshedDate="45943.653172916667" createdVersion="8" refreshedVersion="8" minRefreshableVersion="3" recordCount="300" xr:uid="{C637CFFA-C386-4147-8905-F6872B0A820E}">
  <cacheSource type="worksheet">
    <worksheetSource ref="A1:P301" sheet="Posts data"/>
  </cacheSource>
  <cacheFields count="16">
    <cacheField name="Post ID" numFmtId="49">
      <sharedItems/>
    </cacheField>
    <cacheField name="Platform" numFmtId="49">
      <sharedItems count="4">
        <s v="Facebook"/>
        <s v="Instagram"/>
        <s v="Twitter"/>
        <s v="YouTube"/>
      </sharedItems>
    </cacheField>
    <cacheField name="Date" numFmtId="14">
      <sharedItems/>
    </cacheField>
    <cacheField name="Content Type" numFmtId="49">
      <sharedItems count="6">
        <s v="Carousel"/>
        <s v="Text"/>
        <s v="Image"/>
        <s v="Reel"/>
        <s v="Story"/>
        <s v="Video"/>
      </sharedItems>
    </cacheField>
    <cacheField name="Post Text" numFmtId="49">
      <sharedItems/>
    </cacheField>
    <cacheField name="Likes" numFmtId="1">
      <sharedItems containsSemiMixedTypes="0" containsString="0" containsNumber="1" containsInteger="1" minValue="53" maxValue="4941"/>
    </cacheField>
    <cacheField name="Shares" numFmtId="1">
      <sharedItems containsSemiMixedTypes="0" containsString="0" containsNumber="1" containsInteger="1" minValue="10" maxValue="983"/>
    </cacheField>
    <cacheField name="Comments" numFmtId="1">
      <sharedItems containsSemiMixedTypes="0" containsString="0" containsNumber="1" containsInteger="1" minValue="7" maxValue="500"/>
    </cacheField>
    <cacheField name="Impressions" numFmtId="1">
      <sharedItems containsSemiMixedTypes="0" containsString="0" containsNumber="1" containsInteger="1" minValue="588" maxValue="98100"/>
    </cacheField>
    <cacheField name="Reach" numFmtId="1">
      <sharedItems containsSemiMixedTypes="0" containsString="0" containsNumber="1" containsInteger="1" minValue="7" maxValue="97772"/>
    </cacheField>
    <cacheField name="Clicks" numFmtId="1">
      <sharedItems containsSemiMixedTypes="0" containsString="0" containsNumber="1" containsInteger="1" minValue="10" maxValue="300"/>
    </cacheField>
    <cacheField name="Campaign_Name" numFmtId="49">
      <sharedItems containsBlank="1"/>
    </cacheField>
    <cacheField name="Hashtag 1" numFmtId="49">
      <sharedItems count="3">
        <s v="#TeslaCoInnovation"/>
        <s v="#FutureOfDriving"/>
        <s v="#EVRevolution"/>
      </sharedItems>
    </cacheField>
    <cacheField name="Hashtag 2" numFmtId="0">
      <sharedItems containsBlank="1" count="6">
        <m/>
        <s v="#AnytimeIsTeslaTime"/>
        <s v="#SmoothLikeNitroTesla"/>
        <s v="#EVRevolution"/>
        <s v="#TeslaCoInnovation"/>
        <s v="#BetterWithTesla"/>
      </sharedItems>
    </cacheField>
    <cacheField name="Hashtag 3" numFmtId="0">
      <sharedItems containsBlank="1" count="4">
        <m/>
        <s v="#EVRevolution"/>
        <s v="#BetterWithTesla"/>
        <s v="#AnytimeIsTeslaTime"/>
      </sharedItems>
    </cacheField>
    <cacheField name="Engagement rate " numFmtId="10">
      <sharedItems containsSemiMixedTypes="0" containsString="0" containsNumber="1" minValue="5.2551586421122697E-2" maxValue="1.8129251700680271"/>
    </cacheField>
  </cacheFields>
  <extLst>
    <ext xmlns:x14="http://schemas.microsoft.com/office/spreadsheetml/2009/9/main" uri="{725AE2AE-9491-48be-B2B4-4EB974FC3084}">
      <x14:pivotCacheDefinition pivotCacheId="88266034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lesh Bahirgaonkar" refreshedDate="45943.666488657407" createdVersion="8" refreshedVersion="8" minRefreshableVersion="3" recordCount="199" xr:uid="{82973C50-558E-4B78-9638-EDE26E3F5A1A}">
  <cacheSource type="worksheet">
    <worksheetSource ref="A2:J201" sheet="Engagement summary data"/>
  </cacheSource>
  <cacheFields count="8">
    <cacheField name="2024-06-03" numFmtId="0">
      <sharedItems/>
    </cacheField>
    <cacheField name="Instagram" numFmtId="0">
      <sharedItems count="4">
        <s v="Facebook"/>
        <s v="Twitter"/>
        <s v="YouTube"/>
        <s v="Instagram"/>
      </sharedItems>
    </cacheField>
    <cacheField name="1135" numFmtId="0">
      <sharedItems containsSemiMixedTypes="0" containsString="0" containsNumber="1" containsInteger="1" minValue="115" maxValue="1980"/>
    </cacheField>
    <cacheField name="88" numFmtId="0">
      <sharedItems containsSemiMixedTypes="0" containsString="0" containsNumber="1" containsInteger="1" minValue="20" maxValue="498"/>
    </cacheField>
    <cacheField name="344084" numFmtId="0">
      <sharedItems containsSemiMixedTypes="0" containsString="0" containsNumber="1" containsInteger="1" minValue="11435" maxValue="496982"/>
    </cacheField>
    <cacheField name="8.06" numFmtId="0">
      <sharedItems containsSemiMixedTypes="0" containsString="0" containsNumber="1" minValue="1.53" maxValue="9.48"/>
    </cacheField>
    <cacheField name="$5,904.00" numFmtId="164">
      <sharedItems containsSemiMixedTypes="0" containsString="0" containsNumber="1" containsInteger="1" minValue="1083" maxValue="49772"/>
    </cacheField>
    <cacheField name="0.30%" numFmtId="10">
      <sharedItems containsSemiMixedTypes="0" containsString="0" containsNumber="1" minValue="-4.0819787301048958E-3" maxValue="0.1082511426509502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lesh Bahirgaonkar" refreshedDate="45943.681749537034" createdVersion="8" refreshedVersion="8" minRefreshableVersion="3" recordCount="300" xr:uid="{B7DE1E46-3572-4A7A-8945-F00FAEF16A67}">
  <cacheSource type="worksheet">
    <worksheetSource ref="B1:Q301" sheet="Posts data"/>
  </cacheSource>
  <cacheFields count="16">
    <cacheField name="Platform" numFmtId="49">
      <sharedItems count="4">
        <s v="Twitter"/>
        <s v="YouTube"/>
        <s v="Instagram"/>
        <s v="Facebook"/>
      </sharedItems>
    </cacheField>
    <cacheField name="Date" numFmtId="14">
      <sharedItems/>
    </cacheField>
    <cacheField name="Content Type" numFmtId="49">
      <sharedItems/>
    </cacheField>
    <cacheField name="Post Text" numFmtId="49">
      <sharedItems/>
    </cacheField>
    <cacheField name="Likes" numFmtId="1">
      <sharedItems containsSemiMixedTypes="0" containsString="0" containsNumber="1" containsInteger="1" minValue="53" maxValue="4941"/>
    </cacheField>
    <cacheField name="Shares" numFmtId="1">
      <sharedItems containsSemiMixedTypes="0" containsString="0" containsNumber="1" containsInteger="1" minValue="10" maxValue="983"/>
    </cacheField>
    <cacheField name="Comments" numFmtId="1">
      <sharedItems containsSemiMixedTypes="0" containsString="0" containsNumber="1" containsInteger="1" minValue="7" maxValue="500"/>
    </cacheField>
    <cacheField name="Impressions" numFmtId="1">
      <sharedItems containsSemiMixedTypes="0" containsString="0" containsNumber="1" containsInteger="1" minValue="588" maxValue="98100"/>
    </cacheField>
    <cacheField name="Reach" numFmtId="1">
      <sharedItems containsSemiMixedTypes="0" containsString="0" containsNumber="1" containsInteger="1" minValue="7" maxValue="97772"/>
    </cacheField>
    <cacheField name="Clicks" numFmtId="1">
      <sharedItems containsSemiMixedTypes="0" containsString="0" containsNumber="1" containsInteger="1" minValue="10" maxValue="300"/>
    </cacheField>
    <cacheField name="Campaign_Name" numFmtId="49">
      <sharedItems containsBlank="1"/>
    </cacheField>
    <cacheField name="Hashtag 1" numFmtId="49">
      <sharedItems/>
    </cacheField>
    <cacheField name="Hashtag 2" numFmtId="0">
      <sharedItems containsBlank="1"/>
    </cacheField>
    <cacheField name="Hashtag 3" numFmtId="0">
      <sharedItems containsBlank="1"/>
    </cacheField>
    <cacheField name="Engagement rate " numFmtId="10">
      <sharedItems containsSemiMixedTypes="0" containsString="0" containsNumber="1" minValue="5.2551586421122697E-2" maxValue="1.8129251700680271"/>
    </cacheField>
    <cacheField name="Engagement " numFmtId="1">
      <sharedItems containsSemiMixedTypes="0" containsString="0" containsNumber="1" containsInteger="1" minValue="315" maxValue="6278"/>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lesh Bahirgaonkar" refreshedDate="45943.735628703704" createdVersion="8" refreshedVersion="8" minRefreshableVersion="3" recordCount="900" xr:uid="{ED678793-6CF1-4C04-B480-F224CFF0DCE1}">
  <cacheSource type="worksheet">
    <worksheetSource ref="A1:I901" sheet="Task 4.2 Data"/>
  </cacheSource>
  <cacheFields count="9">
    <cacheField name="Hashtags" numFmtId="0">
      <sharedItems containsBlank="1" count="7">
        <s v="#FutureOfDriving"/>
        <s v="#TeslaCoInnovation"/>
        <s v="#EVRevolution"/>
        <s v="#AnytimeIsTeslaTime"/>
        <s v="#BetterWithTesla"/>
        <m/>
        <s v="#SmoothLikeNitroTesla"/>
      </sharedItems>
    </cacheField>
    <cacheField name="Likes" numFmtId="1">
      <sharedItems containsSemiMixedTypes="0" containsString="0" containsNumber="1" containsInteger="1" minValue="53" maxValue="4941"/>
    </cacheField>
    <cacheField name="Shares" numFmtId="1">
      <sharedItems containsSemiMixedTypes="0" containsString="0" containsNumber="1" containsInteger="1" minValue="10" maxValue="983"/>
    </cacheField>
    <cacheField name="Comments" numFmtId="1">
      <sharedItems containsSemiMixedTypes="0" containsString="0" containsNumber="1" containsInteger="1" minValue="7" maxValue="500"/>
    </cacheField>
    <cacheField name="Impressions" numFmtId="1">
      <sharedItems containsSemiMixedTypes="0" containsString="0" containsNumber="1" containsInteger="1" minValue="588" maxValue="98100"/>
    </cacheField>
    <cacheField name="Reach" numFmtId="1">
      <sharedItems containsSemiMixedTypes="0" containsString="0" containsNumber="1" containsInteger="1" minValue="7" maxValue="97772"/>
    </cacheField>
    <cacheField name="Clicks" numFmtId="1">
      <sharedItems containsSemiMixedTypes="0" containsString="0" containsNumber="1" containsInteger="1" minValue="10" maxValue="300"/>
    </cacheField>
    <cacheField name="Engagement rate " numFmtId="10">
      <sharedItems containsSemiMixedTypes="0" containsString="0" containsNumber="1" minValue="5.2551586421122697E-2" maxValue="1.8129251700680271"/>
    </cacheField>
    <cacheField name="Engagement " numFmtId="1">
      <sharedItems containsSemiMixedTypes="0" containsString="0" containsNumber="1" containsInteger="1" minValue="315" maxValue="6278"/>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lesh Bahirgaonkar" refreshedDate="45944.690158680554" createdVersion="8" refreshedVersion="8" minRefreshableVersion="3" recordCount="48" xr:uid="{64105696-B13A-4334-81E2-6E57DC2155DA}">
  <cacheSource type="worksheet">
    <worksheetSource name="Table3"/>
  </cacheSource>
  <cacheFields count="17">
    <cacheField name="Post ID" numFmtId="0">
      <sharedItems/>
    </cacheField>
    <cacheField name="Platform" numFmtId="0">
      <sharedItems count="4">
        <s v="Twitter"/>
        <s v="Facebook"/>
        <s v="Instagram"/>
        <s v="YouTube"/>
      </sharedItems>
    </cacheField>
    <cacheField name="Date" numFmtId="0">
      <sharedItems/>
    </cacheField>
    <cacheField name="Content Type" numFmtId="0">
      <sharedItems/>
    </cacheField>
    <cacheField name="Post Text" numFmtId="0">
      <sharedItems/>
    </cacheField>
    <cacheField name="Likes" numFmtId="0">
      <sharedItems containsSemiMixedTypes="0" containsString="0" containsNumber="1" containsInteger="1" minValue="257" maxValue="4886"/>
    </cacheField>
    <cacheField name="Shares" numFmtId="0">
      <sharedItems containsSemiMixedTypes="0" containsString="0" containsNumber="1" containsInteger="1" minValue="10" maxValue="983"/>
    </cacheField>
    <cacheField name="Comments" numFmtId="0">
      <sharedItems containsSemiMixedTypes="0" containsString="0" containsNumber="1" containsInteger="1" minValue="7" maxValue="500"/>
    </cacheField>
    <cacheField name="Impressions" numFmtId="0">
      <sharedItems containsSemiMixedTypes="0" containsString="0" containsNumber="1" containsInteger="1" minValue="3024" maxValue="86076"/>
    </cacheField>
    <cacheField name="Reach" numFmtId="0">
      <sharedItems containsSemiMixedTypes="0" containsString="0" containsNumber="1" containsInteger="1" minValue="2285" maxValue="85339"/>
    </cacheField>
    <cacheField name="Clicks" numFmtId="0">
      <sharedItems containsSemiMixedTypes="0" containsString="0" containsNumber="1" containsInteger="1" minValue="10" maxValue="287"/>
    </cacheField>
    <cacheField name="Campaign_Name" numFmtId="0">
      <sharedItems count="1">
        <s v="CybertruckLaunch"/>
      </sharedItems>
    </cacheField>
    <cacheField name="Hashtag 1" numFmtId="0">
      <sharedItems/>
    </cacheField>
    <cacheField name="Hashtag 2" numFmtId="0">
      <sharedItems containsBlank="1"/>
    </cacheField>
    <cacheField name="Hashtag 3" numFmtId="0">
      <sharedItems containsBlank="1"/>
    </cacheField>
    <cacheField name="Engagement rate " numFmtId="0">
      <sharedItems containsSemiMixedTypes="0" containsString="0" containsNumber="1" minValue="5.4081095313322801E-2" maxValue="0.48518407662376534"/>
    </cacheField>
    <cacheField name="Engagement " numFmtId="0">
      <sharedItems containsSemiMixedTypes="0" containsString="0" containsNumber="1" containsInteger="1" minValue="578" maxValue="6278"/>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lesh Bahirgaonkar" refreshedDate="45944.691087615742" createdVersion="8" refreshedVersion="8" minRefreshableVersion="3" recordCount="67" xr:uid="{45F51A27-A9DE-4CBF-8550-35002B002B43}">
  <cacheSource type="worksheet">
    <worksheetSource name="Table4"/>
  </cacheSource>
  <cacheFields count="17">
    <cacheField name="Post ID" numFmtId="0">
      <sharedItems/>
    </cacheField>
    <cacheField name="Platform" numFmtId="0">
      <sharedItems count="4">
        <s v="Facebook"/>
        <s v="YouTube"/>
        <s v="Instagram"/>
        <s v="Twitter"/>
      </sharedItems>
    </cacheField>
    <cacheField name="Date" numFmtId="0">
      <sharedItems/>
    </cacheField>
    <cacheField name="Content Type" numFmtId="0">
      <sharedItems/>
    </cacheField>
    <cacheField name="Post Text" numFmtId="0">
      <sharedItems/>
    </cacheField>
    <cacheField name="Likes" numFmtId="0">
      <sharedItems containsSemiMixedTypes="0" containsString="0" containsNumber="1" containsInteger="1" minValue="53" maxValue="4941"/>
    </cacheField>
    <cacheField name="Shares" numFmtId="0">
      <sharedItems containsSemiMixedTypes="0" containsString="0" containsNumber="1" containsInteger="1" minValue="17" maxValue="983"/>
    </cacheField>
    <cacheField name="Comments" numFmtId="0">
      <sharedItems containsSemiMixedTypes="0" containsString="0" containsNumber="1" containsInteger="1" minValue="13" maxValue="496"/>
    </cacheField>
    <cacheField name="Impressions" numFmtId="0">
      <sharedItems containsSemiMixedTypes="0" containsString="0" containsNumber="1" containsInteger="1" minValue="954" maxValue="90140"/>
    </cacheField>
    <cacheField name="Reach" numFmtId="0">
      <sharedItems containsSemiMixedTypes="0" containsString="0" containsNumber="1" containsInteger="1" minValue="7" maxValue="89591"/>
    </cacheField>
    <cacheField name="Clicks" numFmtId="0">
      <sharedItems containsSemiMixedTypes="0" containsString="0" containsNumber="1" containsInteger="1" minValue="10" maxValue="300"/>
    </cacheField>
    <cacheField name="Campaign_Name" numFmtId="0">
      <sharedItems/>
    </cacheField>
    <cacheField name="Hashtag 1" numFmtId="0">
      <sharedItems/>
    </cacheField>
    <cacheField name="Hashtag 2" numFmtId="0">
      <sharedItems containsBlank="1"/>
    </cacheField>
    <cacheField name="Hashtag 3" numFmtId="0">
      <sharedItems containsBlank="1"/>
    </cacheField>
    <cacheField name="Engagement rate " numFmtId="0">
      <sharedItems containsSemiMixedTypes="0" containsString="0" containsNumber="1" minValue="5.2551586421122697E-2" maxValue="0.53773584905660377"/>
    </cacheField>
    <cacheField name="Engagement " numFmtId="0">
      <sharedItems containsSemiMixedTypes="0" containsString="0" containsNumber="1" containsInteger="1" minValue="513" maxValue="6029"/>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lesh Bahirgaonkar" refreshedDate="45944.691359375" createdVersion="8" refreshedVersion="8" minRefreshableVersion="3" recordCount="200" xr:uid="{E819363E-7C47-4075-A3BE-7EE709E0FA75}">
  <cacheSource type="worksheet">
    <worksheetSource ref="A1:J201" sheet="Engagement summary data"/>
  </cacheSource>
  <cacheFields count="8">
    <cacheField name="Week_Start_Date" numFmtId="0">
      <sharedItems count="50">
        <s v="2024-06-03"/>
        <s v="2024-06-10"/>
        <s v="2024-06-17"/>
        <s v="2024-06-24"/>
        <s v="2024-07-01"/>
        <s v="2024-07-08"/>
        <s v="2024-07-15"/>
        <s v="2024-07-22"/>
        <s v="2024-07-29"/>
        <s v="2024-08-05"/>
        <s v="2024-08-12"/>
        <s v="2024-08-19"/>
        <s v="2024-08-26"/>
        <s v="2024-09-02"/>
        <s v="2024-09-09"/>
        <s v="2024-09-16"/>
        <s v="2024-09-23"/>
        <s v="2024-09-30"/>
        <s v="2024-10-07"/>
        <s v="2024-10-14"/>
        <s v="2024-10-21"/>
        <s v="2024-10-28"/>
        <s v="2024-11-04"/>
        <s v="2024-11-11"/>
        <s v="2024-11-18"/>
        <s v="2024-11-25"/>
        <s v="2024-12-02"/>
        <s v="2024-12-09"/>
        <s v="2024-12-16"/>
        <s v="2024-12-23"/>
        <s v="2024-12-30"/>
        <s v="2025-01-06"/>
        <s v="2025-01-13"/>
        <s v="2025-01-20"/>
        <s v="2025-01-27"/>
        <s v="2025-02-03"/>
        <s v="2025-02-10"/>
        <s v="2025-02-17"/>
        <s v="2025-02-24"/>
        <s v="2025-03-03"/>
        <s v="2025-03-10"/>
        <s v="2025-03-17"/>
        <s v="2025-03-24"/>
        <s v="2025-03-31"/>
        <s v="2025-04-07"/>
        <s v="2025-04-14"/>
        <s v="2025-04-21"/>
        <s v="2025-04-28"/>
        <s v="2025-05-05"/>
        <s v="2025-05-12"/>
      </sharedItems>
    </cacheField>
    <cacheField name="Platform" numFmtId="0">
      <sharedItems count="4">
        <s v="Instagram"/>
        <s v="Facebook"/>
        <s v="Twitter"/>
        <s v="YouTube"/>
      </sharedItems>
    </cacheField>
    <cacheField name="New_Followers" numFmtId="0">
      <sharedItems containsSemiMixedTypes="0" containsString="0" containsNumber="1" containsInteger="1" minValue="115" maxValue="1980" count="191">
        <n v="1135"/>
        <n v="1312"/>
        <n v="584"/>
        <n v="1535"/>
        <n v="656"/>
        <n v="1697"/>
        <n v="436"/>
        <n v="1197"/>
        <n v="1048"/>
        <n v="1753"/>
        <n v="1335"/>
        <n v="403"/>
        <n v="911"/>
        <n v="1779"/>
        <n v="1238"/>
        <n v="308"/>
        <n v="226"/>
        <n v="505"/>
        <n v="1420"/>
        <n v="144"/>
        <n v="1757"/>
        <n v="350"/>
        <n v="987"/>
        <n v="883"/>
        <n v="1960"/>
        <n v="170"/>
        <n v="704"/>
        <n v="224"/>
        <n v="508"/>
        <n v="1391"/>
        <n v="1701"/>
        <n v="804"/>
        <n v="653"/>
        <n v="160"/>
        <n v="1756"/>
        <n v="576"/>
        <n v="645"/>
        <n v="214"/>
        <n v="826"/>
        <n v="460"/>
        <n v="1528"/>
        <n v="1534"/>
        <n v="485"/>
        <n v="1210"/>
        <n v="215"/>
        <n v="1078"/>
        <n v="1751"/>
        <n v="221"/>
        <n v="1685"/>
        <n v="248"/>
        <n v="1300"/>
        <n v="422"/>
        <n v="1429"/>
        <n v="1520"/>
        <n v="557"/>
        <n v="728"/>
        <n v="1592"/>
        <n v="1842"/>
        <n v="751"/>
        <n v="1409"/>
        <n v="778"/>
        <n v="443"/>
        <n v="1472"/>
        <n v="123"/>
        <n v="817"/>
        <n v="198"/>
        <n v="1911"/>
        <n v="1218"/>
        <n v="1433"/>
        <n v="250"/>
        <n v="752"/>
        <n v="1918"/>
        <n v="1939"/>
        <n v="1929"/>
        <n v="437"/>
        <n v="307"/>
        <n v="1527"/>
        <n v="643"/>
        <n v="201"/>
        <n v="414"/>
        <n v="703"/>
        <n v="697"/>
        <n v="1707"/>
        <n v="642"/>
        <n v="859"/>
        <n v="191"/>
        <n v="1814"/>
        <n v="1466"/>
        <n v="947"/>
        <n v="1821"/>
        <n v="1507"/>
        <n v="1075"/>
        <n v="171"/>
        <n v="1487"/>
        <n v="454"/>
        <n v="187"/>
        <n v="513"/>
        <n v="628"/>
        <n v="278"/>
        <n v="1854"/>
        <n v="1710"/>
        <n v="330"/>
        <n v="1293"/>
        <n v="1696"/>
        <n v="1902"/>
        <n v="1441"/>
        <n v="452"/>
        <n v="1494"/>
        <n v="1514"/>
        <n v="1937"/>
        <n v="736"/>
        <n v="1502"/>
        <n v="1623"/>
        <n v="1004"/>
        <n v="1092"/>
        <n v="1155"/>
        <n v="1137"/>
        <n v="1900"/>
        <n v="1980"/>
        <n v="1786"/>
        <n v="1495"/>
        <n v="1013"/>
        <n v="816"/>
        <n v="1633"/>
        <n v="891"/>
        <n v="1855"/>
        <n v="651"/>
        <n v="118"/>
        <n v="1331"/>
        <n v="1748"/>
        <n v="663"/>
        <n v="1040"/>
        <n v="1166"/>
        <n v="115"/>
        <n v="1249"/>
        <n v="1501"/>
        <n v="1411"/>
        <n v="1556"/>
        <n v="1159"/>
        <n v="927"/>
        <n v="152"/>
        <n v="1957"/>
        <n v="1294"/>
        <n v="1587"/>
        <n v="1138"/>
        <n v="1895"/>
        <n v="362"/>
        <n v="1662"/>
        <n v="1440"/>
        <n v="1884"/>
        <n v="861"/>
        <n v="1063"/>
        <n v="1371"/>
        <n v="345"/>
        <n v="946"/>
        <n v="510"/>
        <n v="393"/>
        <n v="1098"/>
        <n v="1399"/>
        <n v="1658"/>
        <n v="1102"/>
        <n v="1358"/>
        <n v="1077"/>
        <n v="1596"/>
        <n v="490"/>
        <n v="609"/>
        <n v="364"/>
        <n v="442"/>
        <n v="1033"/>
        <n v="988"/>
        <n v="1946"/>
        <n v="559"/>
        <n v="1307"/>
        <n v="1432"/>
        <n v="623"/>
        <n v="353"/>
        <n v="520"/>
        <n v="961"/>
        <n v="1375"/>
        <n v="1147"/>
        <n v="1693"/>
        <n v="833"/>
        <n v="1222"/>
        <n v="777"/>
        <n v="405"/>
        <n v="1581"/>
        <n v="1035"/>
        <n v="1765"/>
        <n v="837"/>
        <n v="337"/>
        <n v="119"/>
      </sharedItems>
    </cacheField>
    <cacheField name="Unfollows" numFmtId="0">
      <sharedItems containsSemiMixedTypes="0" containsString="0" containsNumber="1" containsInteger="1" minValue="20" maxValue="498"/>
    </cacheField>
    <cacheField name="Total_Followers" numFmtId="0">
      <sharedItems containsSemiMixedTypes="0" containsString="0" containsNumber="1" containsInteger="1" minValue="11435" maxValue="496982"/>
    </cacheField>
    <cacheField name="Engagement_Rate" numFmtId="0">
      <sharedItems containsSemiMixedTypes="0" containsString="0" containsNumber="1" minValue="1.53" maxValue="9.48"/>
    </cacheField>
    <cacheField name="Ad_Spend" numFmtId="164">
      <sharedItems containsSemiMixedTypes="0" containsString="0" containsNumber="1" containsInteger="1" minValue="1083" maxValue="49772"/>
    </cacheField>
    <cacheField name="Follower Growth Rate " numFmtId="10">
      <sharedItems containsSemiMixedTypes="0" containsString="0" containsNumber="1" minValue="-4.0819787301048958E-3" maxValue="0.10825114265095021"/>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lesh Bahirgaonkar" refreshedDate="45944.691400231481" createdVersion="8" refreshedVersion="8" minRefreshableVersion="3" recordCount="300" xr:uid="{9B99EFBE-2F58-4AD1-921E-8DB654780750}">
  <cacheSource type="worksheet">
    <worksheetSource ref="A1:Q301" sheet="Posts data"/>
  </cacheSource>
  <cacheFields count="17">
    <cacheField name="Post ID" numFmtId="49">
      <sharedItems/>
    </cacheField>
    <cacheField name="Platform" numFmtId="49">
      <sharedItems count="4">
        <s v="Twitter"/>
        <s v="YouTube"/>
        <s v="Instagram"/>
        <s v="Facebook"/>
      </sharedItems>
    </cacheField>
    <cacheField name="Date" numFmtId="14">
      <sharedItems/>
    </cacheField>
    <cacheField name="Content Type" numFmtId="49">
      <sharedItems count="6">
        <s v="Reel"/>
        <s v="Text"/>
        <s v="Story"/>
        <s v="Carousel"/>
        <s v="Image"/>
        <s v="Video"/>
      </sharedItems>
    </cacheField>
    <cacheField name="Post Text" numFmtId="49">
      <sharedItems/>
    </cacheField>
    <cacheField name="Likes" numFmtId="1">
      <sharedItems containsSemiMixedTypes="0" containsString="0" containsNumber="1" containsInteger="1" minValue="53" maxValue="4941"/>
    </cacheField>
    <cacheField name="Shares" numFmtId="1">
      <sharedItems containsSemiMixedTypes="0" containsString="0" containsNumber="1" containsInteger="1" minValue="10" maxValue="983"/>
    </cacheField>
    <cacheField name="Comments" numFmtId="1">
      <sharedItems containsSemiMixedTypes="0" containsString="0" containsNumber="1" containsInteger="1" minValue="7" maxValue="500"/>
    </cacheField>
    <cacheField name="Impressions" numFmtId="1">
      <sharedItems containsSemiMixedTypes="0" containsString="0" containsNumber="1" containsInteger="1" minValue="588" maxValue="98100"/>
    </cacheField>
    <cacheField name="Reach" numFmtId="1">
      <sharedItems containsSemiMixedTypes="0" containsString="0" containsNumber="1" containsInteger="1" minValue="7" maxValue="97772"/>
    </cacheField>
    <cacheField name="Clicks" numFmtId="1">
      <sharedItems containsSemiMixedTypes="0" containsString="0" containsNumber="1" containsInteger="1" minValue="10" maxValue="300"/>
    </cacheField>
    <cacheField name="Campaign_Name" numFmtId="49">
      <sharedItems containsBlank="1" count="5">
        <s v="CybertruckLaunch"/>
        <s v="ModelYCampaign"/>
        <s v="FSDUpdate"/>
        <s v="SustainabilityDrive"/>
        <m/>
      </sharedItems>
    </cacheField>
    <cacheField name="Hashtag 1" numFmtId="49">
      <sharedItems/>
    </cacheField>
    <cacheField name="Hashtag 2" numFmtId="0">
      <sharedItems containsBlank="1"/>
    </cacheField>
    <cacheField name="Hashtag 3" numFmtId="0">
      <sharedItems containsBlank="1"/>
    </cacheField>
    <cacheField name="Engagement rate " numFmtId="10">
      <sharedItems containsSemiMixedTypes="0" containsString="0" containsNumber="1" minValue="5.2551586421122697E-2" maxValue="1.8129251700680271"/>
    </cacheField>
    <cacheField name="Engagement " numFmtId="1">
      <sharedItems containsSemiMixedTypes="0" containsString="0" containsNumber="1" containsInteger="1" minValue="315" maxValue="6278"/>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lesh Bahirgaonkar" refreshedDate="45944.692203009261" createdVersion="8" refreshedVersion="8" minRefreshableVersion="3" recordCount="58" xr:uid="{52A21EBC-9D5F-40E8-BE37-0A565A54A5C2}">
  <cacheSource type="worksheet">
    <worksheetSource name="Table5"/>
  </cacheSource>
  <cacheFields count="17">
    <cacheField name="Post ID" numFmtId="0">
      <sharedItems/>
    </cacheField>
    <cacheField name="Platform" numFmtId="0">
      <sharedItems count="4">
        <s v="Twitter"/>
        <s v="YouTube"/>
        <s v="Facebook"/>
        <s v="Instagram"/>
      </sharedItems>
    </cacheField>
    <cacheField name="Date" numFmtId="0">
      <sharedItems/>
    </cacheField>
    <cacheField name="Content Type" numFmtId="0">
      <sharedItems/>
    </cacheField>
    <cacheField name="Post Text" numFmtId="0">
      <sharedItems/>
    </cacheField>
    <cacheField name="Likes" numFmtId="0">
      <sharedItems containsSemiMixedTypes="0" containsString="0" containsNumber="1" containsInteger="1" minValue="59" maxValue="4905"/>
    </cacheField>
    <cacheField name="Shares" numFmtId="0">
      <sharedItems containsSemiMixedTypes="0" containsString="0" containsNumber="1" containsInteger="1" minValue="12" maxValue="978"/>
    </cacheField>
    <cacheField name="Comments" numFmtId="0">
      <sharedItems containsSemiMixedTypes="0" containsString="0" containsNumber="1" containsInteger="1" minValue="19" maxValue="493"/>
    </cacheField>
    <cacheField name="Impressions" numFmtId="0">
      <sharedItems containsSemiMixedTypes="0" containsString="0" containsNumber="1" containsInteger="1" minValue="590" maxValue="98100"/>
    </cacheField>
    <cacheField name="Reach" numFmtId="0">
      <sharedItems containsSemiMixedTypes="0" containsString="0" containsNumber="1" containsInteger="1" minValue="475" maxValue="97772"/>
    </cacheField>
    <cacheField name="Clicks" numFmtId="0">
      <sharedItems containsSemiMixedTypes="0" containsString="0" containsNumber="1" containsInteger="1" minValue="10" maxValue="293"/>
    </cacheField>
    <cacheField name="Campaign_Name" numFmtId="0">
      <sharedItems/>
    </cacheField>
    <cacheField name="Hashtag 1" numFmtId="0">
      <sharedItems/>
    </cacheField>
    <cacheField name="Hashtag 2" numFmtId="0">
      <sharedItems containsBlank="1"/>
    </cacheField>
    <cacheField name="Hashtag 3" numFmtId="0">
      <sharedItems containsBlank="1"/>
    </cacheField>
    <cacheField name="Engagement rate " numFmtId="0">
      <sharedItems containsSemiMixedTypes="0" containsString="0" containsNumber="1" minValue="5.7936488444630008E-2" maxValue="0.53389830508474578"/>
    </cacheField>
    <cacheField name="Engagement " numFmtId="0">
      <sharedItems containsSemiMixedTypes="0" containsString="0" containsNumber="1" containsInteger="1" minValue="315" maxValue="5973"/>
    </cacheField>
  </cacheFields>
  <extLst>
    <ext xmlns:x14="http://schemas.microsoft.com/office/spreadsheetml/2009/9/main" uri="{725AE2AE-9491-48be-B2B4-4EB974FC3084}">
      <x14:pivotCacheDefinition/>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lesh Bahirgaonkar" refreshedDate="45944.692797453703" createdVersion="8" refreshedVersion="8" minRefreshableVersion="3" recordCount="71" xr:uid="{578790AD-21B9-48A8-8DA2-B63DB148362B}">
  <cacheSource type="worksheet">
    <worksheetSource name="Table6"/>
  </cacheSource>
  <cacheFields count="17">
    <cacheField name="Post ID" numFmtId="0">
      <sharedItems/>
    </cacheField>
    <cacheField name="Platform" numFmtId="0">
      <sharedItems count="4">
        <s v="Twitter"/>
        <s v="Facebook"/>
        <s v="Instagram"/>
        <s v="YouTube"/>
      </sharedItems>
    </cacheField>
    <cacheField name="Date" numFmtId="0">
      <sharedItems/>
    </cacheField>
    <cacheField name="Content Type" numFmtId="0">
      <sharedItems/>
    </cacheField>
    <cacheField name="Post Text" numFmtId="0">
      <sharedItems/>
    </cacheField>
    <cacheField name="Likes" numFmtId="0">
      <sharedItems containsSemiMixedTypes="0" containsString="0" containsNumber="1" containsInteger="1" minValue="103" maxValue="4934"/>
    </cacheField>
    <cacheField name="Shares" numFmtId="0">
      <sharedItems containsSemiMixedTypes="0" containsString="0" containsNumber="1" containsInteger="1" minValue="13" maxValue="971"/>
    </cacheField>
    <cacheField name="Comments" numFmtId="0">
      <sharedItems containsSemiMixedTypes="0" containsString="0" containsNumber="1" containsInteger="1" minValue="7" maxValue="499"/>
    </cacheField>
    <cacheField name="Impressions" numFmtId="0">
      <sharedItems containsSemiMixedTypes="0" containsString="0" containsNumber="1" containsInteger="1" minValue="1030" maxValue="93651"/>
    </cacheField>
    <cacheField name="Reach" numFmtId="0">
      <sharedItems containsSemiMixedTypes="0" containsString="0" containsNumber="1" containsInteger="1" minValue="410" maxValue="92810"/>
    </cacheField>
    <cacheField name="Clicks" numFmtId="0">
      <sharedItems containsSemiMixedTypes="0" containsString="0" containsNumber="1" containsInteger="1" minValue="17" maxValue="299"/>
    </cacheField>
    <cacheField name="Campaign_Name" numFmtId="0">
      <sharedItems/>
    </cacheField>
    <cacheField name="Hashtag 1" numFmtId="0">
      <sharedItems/>
    </cacheField>
    <cacheField name="Hashtag 2" numFmtId="0">
      <sharedItems containsBlank="1"/>
    </cacheField>
    <cacheField name="Hashtag 3" numFmtId="0">
      <sharedItems containsBlank="1"/>
    </cacheField>
    <cacheField name="Engagement rate " numFmtId="0">
      <sharedItems containsSemiMixedTypes="0" containsString="0" containsNumber="1" minValue="5.6416400425985093E-2" maxValue="0.86601941747572819"/>
    </cacheField>
    <cacheField name="Engagement " numFmtId="0">
      <sharedItems containsSemiMixedTypes="0" containsString="0" containsNumber="1" containsInteger="1" minValue="779" maxValue="613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P006"/>
    <x v="0"/>
    <s v="2024-10-31"/>
    <x v="0"/>
    <s v="Check out our latest carousel on facebook!"/>
    <n v="2945"/>
    <n v="930"/>
    <n v="355"/>
    <n v="23560"/>
    <n v="23275"/>
    <n v="256"/>
    <s v="ModelYCampaign"/>
    <x v="0"/>
    <x v="0"/>
    <x v="0"/>
    <n v="0.17954159592529711"/>
  </r>
  <r>
    <s v="P009"/>
    <x v="0"/>
    <s v="2024-08-30"/>
    <x v="1"/>
    <s v="Check out our latest text on facebook!"/>
    <n v="3784"/>
    <n v="808"/>
    <n v="404"/>
    <n v="56760"/>
    <n v="56343"/>
    <n v="131"/>
    <s v="ModelYCampaign"/>
    <x v="0"/>
    <x v="0"/>
    <x v="0"/>
    <n v="8.8019732205778717E-2"/>
  </r>
  <r>
    <s v="P010"/>
    <x v="0"/>
    <s v="2025-03-11"/>
    <x v="2"/>
    <s v="Check out our latest image on facebook!"/>
    <n v="4241"/>
    <n v="902"/>
    <n v="47"/>
    <n v="72097"/>
    <n v="71598"/>
    <n v="167"/>
    <s v="ModelYCampaign"/>
    <x v="0"/>
    <x v="0"/>
    <x v="0"/>
    <n v="7.198635172059864E-2"/>
  </r>
  <r>
    <s v="P012"/>
    <x v="0"/>
    <s v="2024-07-21"/>
    <x v="3"/>
    <s v="Check out our latest reel on facebook!"/>
    <n v="1946"/>
    <n v="686"/>
    <n v="377"/>
    <n v="23352"/>
    <n v="22982"/>
    <n v="213"/>
    <s v="FSDUpdate"/>
    <x v="1"/>
    <x v="0"/>
    <x v="0"/>
    <n v="0.12885405960945528"/>
  </r>
  <r>
    <s v="P014"/>
    <x v="0"/>
    <s v="2025-02-16"/>
    <x v="4"/>
    <s v="Check out our latest story on facebook!"/>
    <n v="4242"/>
    <n v="555"/>
    <n v="131"/>
    <n v="33936"/>
    <n v="33802"/>
    <n v="265"/>
    <m/>
    <x v="1"/>
    <x v="0"/>
    <x v="0"/>
    <n v="0.14521452145214522"/>
  </r>
  <r>
    <s v="P015"/>
    <x v="0"/>
    <s v="2024-10-24"/>
    <x v="5"/>
    <s v="Check out our latest video on facebook!"/>
    <n v="3888"/>
    <n v="604"/>
    <n v="128"/>
    <n v="77760"/>
    <n v="77167"/>
    <n v="20"/>
    <s v="CybertruckLaunch"/>
    <x v="1"/>
    <x v="0"/>
    <x v="0"/>
    <n v="5.941358024691358E-2"/>
  </r>
  <r>
    <s v="P016"/>
    <x v="0"/>
    <s v="2024-08-26"/>
    <x v="1"/>
    <s v="Check out our latest text on facebook!"/>
    <n v="3452"/>
    <n v="377"/>
    <n v="360"/>
    <n v="55232"/>
    <n v="55075"/>
    <n v="87"/>
    <s v="FSDUpdate"/>
    <x v="1"/>
    <x v="0"/>
    <x v="0"/>
    <n v="7.5843713789107758E-2"/>
  </r>
  <r>
    <s v="P017"/>
    <x v="0"/>
    <s v="2025-05-05"/>
    <x v="1"/>
    <s v="Check out our latest text on facebook!"/>
    <n v="4441"/>
    <n v="511"/>
    <n v="70"/>
    <n v="53292"/>
    <n v="53082"/>
    <n v="159"/>
    <s v="SustainabilityDrive"/>
    <x v="2"/>
    <x v="0"/>
    <x v="0"/>
    <n v="9.4235532537716729E-2"/>
  </r>
  <r>
    <s v="P022"/>
    <x v="0"/>
    <s v="2025-02-27"/>
    <x v="1"/>
    <s v="Check out our latest text on facebook!"/>
    <n v="1570"/>
    <n v="187"/>
    <n v="260"/>
    <n v="25120"/>
    <n v="24613"/>
    <n v="133"/>
    <s v="SustainabilityDrive"/>
    <x v="0"/>
    <x v="0"/>
    <x v="0"/>
    <n v="8.0294585987261149E-2"/>
  </r>
  <r>
    <s v="P023"/>
    <x v="0"/>
    <s v="2024-11-06"/>
    <x v="5"/>
    <s v="Check out our latest video on facebook!"/>
    <n v="1606"/>
    <n v="547"/>
    <n v="316"/>
    <n v="32120"/>
    <n v="31736"/>
    <n v="225"/>
    <s v="ModelYCampaign"/>
    <x v="0"/>
    <x v="1"/>
    <x v="0"/>
    <n v="7.6867995018679955E-2"/>
  </r>
  <r>
    <s v="P024"/>
    <x v="0"/>
    <s v="2025-01-23"/>
    <x v="5"/>
    <s v="Check out our latest video on facebook!"/>
    <n v="3961"/>
    <n v="761"/>
    <n v="131"/>
    <n v="67337"/>
    <n v="66615"/>
    <n v="161"/>
    <s v="FSDUpdate"/>
    <x v="1"/>
    <x v="0"/>
    <x v="0"/>
    <n v="7.2070332803659209E-2"/>
  </r>
  <r>
    <s v="P033"/>
    <x v="0"/>
    <s v="2024-08-21"/>
    <x v="2"/>
    <s v="Check out our latest image on facebook!"/>
    <n v="1407"/>
    <n v="400"/>
    <n v="351"/>
    <n v="16884"/>
    <n v="15954"/>
    <n v="113"/>
    <s v="CybertruckLaunch"/>
    <x v="0"/>
    <x v="0"/>
    <x v="0"/>
    <n v="0.12781331438047855"/>
  </r>
  <r>
    <s v="P034"/>
    <x v="0"/>
    <s v="2025-03-26"/>
    <x v="1"/>
    <s v="Check out our latest text on facebook!"/>
    <n v="1652"/>
    <n v="89"/>
    <n v="357"/>
    <n v="29736"/>
    <n v="28771"/>
    <n v="215"/>
    <s v="FSDUpdate"/>
    <x v="0"/>
    <x v="0"/>
    <x v="0"/>
    <n v="7.055421038471886E-2"/>
  </r>
  <r>
    <s v="P037"/>
    <x v="0"/>
    <s v="2025-01-06"/>
    <x v="0"/>
    <s v="Check out our latest carousel on facebook!"/>
    <n v="3024"/>
    <n v="925"/>
    <n v="350"/>
    <n v="24192"/>
    <n v="23518"/>
    <n v="36"/>
    <s v="ModelYCampaign"/>
    <x v="2"/>
    <x v="0"/>
    <x v="0"/>
    <n v="0.17770337301587302"/>
  </r>
  <r>
    <s v="P039"/>
    <x v="0"/>
    <s v="2024-11-25"/>
    <x v="2"/>
    <s v="Check out our latest image on facebook!"/>
    <n v="3564"/>
    <n v="629"/>
    <n v="177"/>
    <n v="60588"/>
    <n v="59627"/>
    <n v="92"/>
    <m/>
    <x v="0"/>
    <x v="0"/>
    <x v="0"/>
    <n v="7.2126493695121141E-2"/>
  </r>
  <r>
    <s v="P045"/>
    <x v="0"/>
    <s v="2024-11-01"/>
    <x v="5"/>
    <s v="Check out our latest video on facebook!"/>
    <n v="3371"/>
    <n v="106"/>
    <n v="327"/>
    <n v="50565"/>
    <n v="49816"/>
    <n v="176"/>
    <s v="CybertruckLaunch"/>
    <x v="1"/>
    <x v="0"/>
    <x v="0"/>
    <n v="7.5229902106199939E-2"/>
  </r>
  <r>
    <s v="P051"/>
    <x v="0"/>
    <s v="2024-06-13"/>
    <x v="0"/>
    <s v="Check out our latest carousel on facebook!"/>
    <n v="2200"/>
    <n v="504"/>
    <n v="239"/>
    <n v="37400"/>
    <n v="36938"/>
    <n v="225"/>
    <s v="ModelYCampaign"/>
    <x v="1"/>
    <x v="0"/>
    <x v="0"/>
    <n v="7.8689839572192513E-2"/>
  </r>
  <r>
    <s v="P052"/>
    <x v="0"/>
    <s v="2025-01-03"/>
    <x v="2"/>
    <s v="Check out our latest image on facebook!"/>
    <n v="947"/>
    <n v="338"/>
    <n v="350"/>
    <n v="10417"/>
    <n v="9730"/>
    <n v="34"/>
    <s v="SustainabilityDrive"/>
    <x v="0"/>
    <x v="0"/>
    <x v="0"/>
    <n v="0.1569549774407219"/>
  </r>
  <r>
    <s v="P055"/>
    <x v="0"/>
    <s v="2024-06-17"/>
    <x v="2"/>
    <s v="Check out our latest image on facebook!"/>
    <n v="1226"/>
    <n v="119"/>
    <n v="7"/>
    <n v="14712"/>
    <n v="14049"/>
    <n v="123"/>
    <s v="SustainabilityDrive"/>
    <x v="2"/>
    <x v="0"/>
    <x v="0"/>
    <n v="9.1897770527460579E-2"/>
  </r>
  <r>
    <s v="P056"/>
    <x v="0"/>
    <s v="2024-12-18"/>
    <x v="0"/>
    <s v="Check out our latest carousel on facebook!"/>
    <n v="2946"/>
    <n v="498"/>
    <n v="367"/>
    <n v="29460"/>
    <n v="28527"/>
    <n v="60"/>
    <s v="FSDUpdate"/>
    <x v="1"/>
    <x v="0"/>
    <x v="0"/>
    <n v="0.12936184657162253"/>
  </r>
  <r>
    <s v="P064"/>
    <x v="0"/>
    <s v="2024-08-17"/>
    <x v="2"/>
    <s v="Check out our latest image on facebook!"/>
    <n v="2878"/>
    <n v="248"/>
    <n v="416"/>
    <n v="43170"/>
    <n v="42667"/>
    <n v="75"/>
    <s v="FSDUpdate"/>
    <x v="1"/>
    <x v="0"/>
    <x v="0"/>
    <n v="8.2047718322909427E-2"/>
  </r>
  <r>
    <s v="P067"/>
    <x v="0"/>
    <s v="2025-03-29"/>
    <x v="0"/>
    <s v="Check out our latest carousel on facebook!"/>
    <n v="4712"/>
    <n v="568"/>
    <n v="127"/>
    <n v="84816"/>
    <n v="84691"/>
    <n v="100"/>
    <s v="FSDUpdate"/>
    <x v="2"/>
    <x v="0"/>
    <x v="0"/>
    <n v="6.3749764195434822E-2"/>
  </r>
  <r>
    <s v="P070"/>
    <x v="0"/>
    <s v="2025-04-02"/>
    <x v="5"/>
    <s v="Check out our latest video on facebook!"/>
    <n v="199"/>
    <n v="772"/>
    <n v="400"/>
    <n v="3582"/>
    <n v="2988"/>
    <n v="43"/>
    <m/>
    <x v="0"/>
    <x v="0"/>
    <x v="0"/>
    <n v="0.38274706867671693"/>
  </r>
  <r>
    <s v="P073"/>
    <x v="0"/>
    <s v="2024-10-18"/>
    <x v="4"/>
    <s v="Check out our latest story on facebook!"/>
    <n v="4126"/>
    <n v="426"/>
    <n v="486"/>
    <n v="78394"/>
    <n v="77798"/>
    <n v="88"/>
    <s v="SustainabilityDrive"/>
    <x v="1"/>
    <x v="0"/>
    <x v="0"/>
    <n v="6.4265122330790625E-2"/>
  </r>
  <r>
    <s v="P077"/>
    <x v="0"/>
    <s v="2025-03-04"/>
    <x v="4"/>
    <s v="Check out our latest story on facebook!"/>
    <n v="1249"/>
    <n v="116"/>
    <n v="420"/>
    <n v="8743"/>
    <n v="8538"/>
    <n v="63"/>
    <m/>
    <x v="0"/>
    <x v="0"/>
    <x v="0"/>
    <n v="0.20416333066453163"/>
  </r>
  <r>
    <s v="P084"/>
    <x v="0"/>
    <s v="2024-12-09"/>
    <x v="2"/>
    <s v="Check out our latest image on facebook!"/>
    <n v="1841"/>
    <n v="851"/>
    <n v="342"/>
    <n v="34979"/>
    <n v="34154"/>
    <n v="255"/>
    <s v="SustainabilityDrive"/>
    <x v="1"/>
    <x v="0"/>
    <x v="0"/>
    <n v="8.6737756939878216E-2"/>
  </r>
  <r>
    <s v="P088"/>
    <x v="0"/>
    <s v="2024-07-07"/>
    <x v="4"/>
    <s v="Check out our latest story on facebook!"/>
    <n v="302"/>
    <n v="47"/>
    <n v="430"/>
    <n v="5738"/>
    <n v="4890"/>
    <n v="25"/>
    <s v="SustainabilityDrive"/>
    <x v="0"/>
    <x v="0"/>
    <x v="0"/>
    <n v="0.13576158940397351"/>
  </r>
  <r>
    <s v="P091"/>
    <x v="0"/>
    <s v="2025-03-24"/>
    <x v="2"/>
    <s v="Check out our latest image on facebook!"/>
    <n v="1263"/>
    <n v="397"/>
    <n v="357"/>
    <n v="25260"/>
    <n v="24615"/>
    <n v="137"/>
    <s v="SustainabilityDrive"/>
    <x v="2"/>
    <x v="0"/>
    <x v="0"/>
    <n v="7.984956452889945E-2"/>
  </r>
  <r>
    <s v="P103"/>
    <x v="0"/>
    <s v="2024-06-11"/>
    <x v="2"/>
    <s v="Check out our latest image on facebook!"/>
    <n v="3689"/>
    <n v="48"/>
    <n v="306"/>
    <n v="40579"/>
    <n v="39588"/>
    <n v="212"/>
    <s v="ModelYCampaign"/>
    <x v="2"/>
    <x v="0"/>
    <x v="0"/>
    <n v="9.9632815002833983E-2"/>
  </r>
  <r>
    <s v="P118"/>
    <x v="0"/>
    <s v="2024-11-04"/>
    <x v="2"/>
    <s v="Check out our latest image on facebook!"/>
    <n v="4551"/>
    <n v="714"/>
    <n v="207"/>
    <n v="68265"/>
    <n v="67754"/>
    <n v="57"/>
    <s v="FSDUpdate"/>
    <x v="1"/>
    <x v="0"/>
    <x v="0"/>
    <n v="8.0158206987475278E-2"/>
  </r>
  <r>
    <s v="P120"/>
    <x v="0"/>
    <s v="2024-10-21"/>
    <x v="4"/>
    <s v="Check out our latest story on facebook!"/>
    <n v="780"/>
    <n v="928"/>
    <n v="301"/>
    <n v="8580"/>
    <n v="8081"/>
    <n v="91"/>
    <s v="FSDUpdate"/>
    <x v="2"/>
    <x v="0"/>
    <x v="0"/>
    <n v="0.23414918414918415"/>
  </r>
  <r>
    <s v="P127"/>
    <x v="0"/>
    <s v="2025-01-27"/>
    <x v="3"/>
    <s v="Check out our latest reel on facebook!"/>
    <n v="3452"/>
    <n v="652"/>
    <n v="442"/>
    <n v="65588"/>
    <n v="65049"/>
    <n v="158"/>
    <s v="FSDUpdate"/>
    <x v="1"/>
    <x v="0"/>
    <x v="0"/>
    <n v="6.9311459413307311E-2"/>
  </r>
  <r>
    <s v="P133"/>
    <x v="0"/>
    <s v="2025-02-06"/>
    <x v="2"/>
    <s v="Check out our latest image on facebook!"/>
    <n v="2072"/>
    <n v="532"/>
    <n v="71"/>
    <n v="37296"/>
    <n v="36467"/>
    <n v="25"/>
    <s v="SustainabilityDrive"/>
    <x v="0"/>
    <x v="0"/>
    <x v="0"/>
    <n v="7.172350922350923E-2"/>
  </r>
  <r>
    <s v="P135"/>
    <x v="0"/>
    <s v="2024-11-28"/>
    <x v="1"/>
    <s v="Check out our latest text on facebook!"/>
    <n v="4213"/>
    <n v="253"/>
    <n v="434"/>
    <n v="75834"/>
    <n v="75437"/>
    <n v="272"/>
    <s v="SustainabilityDrive"/>
    <x v="1"/>
    <x v="0"/>
    <x v="0"/>
    <n v="6.461481657304112E-2"/>
  </r>
  <r>
    <s v="P137"/>
    <x v="0"/>
    <s v="2024-07-31"/>
    <x v="5"/>
    <s v="Check out our latest video on facebook!"/>
    <n v="3008"/>
    <n v="94"/>
    <n v="37"/>
    <n v="15040"/>
    <n v="14639"/>
    <n v="277"/>
    <m/>
    <x v="1"/>
    <x v="0"/>
    <x v="0"/>
    <n v="0.20871010638297871"/>
  </r>
  <r>
    <s v="P140"/>
    <x v="0"/>
    <s v="2024-07-15"/>
    <x v="2"/>
    <s v="Check out our latest image on facebook!"/>
    <n v="2291"/>
    <n v="78"/>
    <n v="485"/>
    <n v="18328"/>
    <n v="18101"/>
    <n v="10"/>
    <s v="ModelYCampaign"/>
    <x v="2"/>
    <x v="2"/>
    <x v="0"/>
    <n v="0.15571802706241816"/>
  </r>
  <r>
    <s v="P152"/>
    <x v="0"/>
    <s v="2025-04-22"/>
    <x v="2"/>
    <s v="Check out our latest image on facebook!"/>
    <n v="4804"/>
    <n v="550"/>
    <n v="270"/>
    <n v="28824"/>
    <n v="28370"/>
    <n v="47"/>
    <s v="SustainabilityDrive"/>
    <x v="2"/>
    <x v="0"/>
    <x v="0"/>
    <n v="0.19511518179295032"/>
  </r>
  <r>
    <s v="P156"/>
    <x v="0"/>
    <s v="2024-10-22"/>
    <x v="0"/>
    <s v="Check out our latest carousel on facebook!"/>
    <n v="3352"/>
    <n v="941"/>
    <n v="482"/>
    <n v="43576"/>
    <n v="43338"/>
    <n v="240"/>
    <s v="ModelYCampaign"/>
    <x v="1"/>
    <x v="0"/>
    <x v="0"/>
    <n v="0.1095786671562328"/>
  </r>
  <r>
    <s v="P159"/>
    <x v="0"/>
    <s v="2024-11-25"/>
    <x v="4"/>
    <s v="Check out our latest story on facebook!"/>
    <n v="2120"/>
    <n v="158"/>
    <n v="488"/>
    <n v="12720"/>
    <n v="12085"/>
    <n v="17"/>
    <s v="ModelYCampaign"/>
    <x v="1"/>
    <x v="0"/>
    <x v="0"/>
    <n v="0.21745283018867925"/>
  </r>
  <r>
    <s v="P162"/>
    <x v="0"/>
    <s v="2025-04-01"/>
    <x v="4"/>
    <s v="Check out our latest story on facebook!"/>
    <n v="3430"/>
    <n v="566"/>
    <n v="164"/>
    <n v="48020"/>
    <n v="47305"/>
    <n v="120"/>
    <m/>
    <x v="1"/>
    <x v="0"/>
    <x v="0"/>
    <n v="8.6630570595585168E-2"/>
  </r>
  <r>
    <s v="P168"/>
    <x v="0"/>
    <s v="2024-11-12"/>
    <x v="1"/>
    <s v="Check out our latest text on facebook!"/>
    <n v="2418"/>
    <n v="754"/>
    <n v="54"/>
    <n v="43524"/>
    <n v="42743"/>
    <n v="182"/>
    <s v="CybertruckLaunch"/>
    <x v="2"/>
    <x v="0"/>
    <x v="0"/>
    <n v="7.412002573292896E-2"/>
  </r>
  <r>
    <s v="P172"/>
    <x v="0"/>
    <s v="2024-08-14"/>
    <x v="0"/>
    <s v="Check out our latest carousel on facebook!"/>
    <n v="3073"/>
    <n v="553"/>
    <n v="174"/>
    <n v="52241"/>
    <n v="51605"/>
    <n v="246"/>
    <s v="FSDUpdate"/>
    <x v="2"/>
    <x v="0"/>
    <x v="0"/>
    <n v="7.2739802071170159E-2"/>
  </r>
  <r>
    <s v="P174"/>
    <x v="0"/>
    <s v="2024-06-22"/>
    <x v="1"/>
    <s v="Check out our latest text on facebook!"/>
    <n v="3828"/>
    <n v="148"/>
    <n v="253"/>
    <n v="30624"/>
    <n v="30229"/>
    <n v="235"/>
    <m/>
    <x v="2"/>
    <x v="0"/>
    <x v="0"/>
    <n v="0.13809430512016718"/>
  </r>
  <r>
    <s v="P176"/>
    <x v="0"/>
    <s v="2024-06-20"/>
    <x v="5"/>
    <s v="Check out our latest video on facebook!"/>
    <n v="3798"/>
    <n v="31"/>
    <n v="279"/>
    <n v="75960"/>
    <n v="75813"/>
    <n v="266"/>
    <s v="CybertruckLaunch"/>
    <x v="0"/>
    <x v="0"/>
    <x v="0"/>
    <n v="5.4081095313322801E-2"/>
  </r>
  <r>
    <s v="P179"/>
    <x v="0"/>
    <s v="2024-07-15"/>
    <x v="0"/>
    <s v="Check out our latest carousel on facebook!"/>
    <n v="3796"/>
    <n v="667"/>
    <n v="395"/>
    <n v="64532"/>
    <n v="63550"/>
    <n v="292"/>
    <m/>
    <x v="0"/>
    <x v="0"/>
    <x v="0"/>
    <n v="7.5280481001673588E-2"/>
  </r>
  <r>
    <s v="P182"/>
    <x v="0"/>
    <s v="2024-07-31"/>
    <x v="2"/>
    <s v="Check out our latest image on facebook!"/>
    <n v="4689"/>
    <n v="134"/>
    <n v="403"/>
    <n v="51579"/>
    <n v="50924"/>
    <n v="173"/>
    <s v="SustainabilityDrive"/>
    <x v="0"/>
    <x v="0"/>
    <x v="0"/>
    <n v="0.10132030477519921"/>
  </r>
  <r>
    <s v="P186"/>
    <x v="0"/>
    <s v="2024-08-24"/>
    <x v="0"/>
    <s v="Check out our latest carousel on facebook!"/>
    <n v="4292"/>
    <n v="51"/>
    <n v="392"/>
    <n v="55796"/>
    <n v="54826"/>
    <n v="264"/>
    <s v="FSDUpdate"/>
    <x v="2"/>
    <x v="0"/>
    <x v="0"/>
    <n v="8.4862714173059003E-2"/>
  </r>
  <r>
    <s v="P189"/>
    <x v="0"/>
    <s v="2025-03-24"/>
    <x v="3"/>
    <s v="Check out our latest reel on facebook!"/>
    <n v="3360"/>
    <n v="525"/>
    <n v="500"/>
    <n v="60480"/>
    <n v="59610"/>
    <n v="192"/>
    <s v="CybertruckLaunch"/>
    <x v="0"/>
    <x v="0"/>
    <x v="0"/>
    <n v="7.2503306878306875E-2"/>
  </r>
  <r>
    <s v="P200"/>
    <x v="0"/>
    <s v="2025-04-07"/>
    <x v="3"/>
    <s v="Check out our latest reel on facebook!"/>
    <n v="3718"/>
    <n v="385"/>
    <n v="310"/>
    <n v="70642"/>
    <n v="69749"/>
    <n v="233"/>
    <s v="ModelYCampaign"/>
    <x v="0"/>
    <x v="0"/>
    <x v="0"/>
    <n v="6.246991874522239E-2"/>
  </r>
  <r>
    <s v="P202"/>
    <x v="0"/>
    <s v="2024-06-02"/>
    <x v="2"/>
    <s v="Check out our latest image on facebook!"/>
    <n v="1871"/>
    <n v="252"/>
    <n v="335"/>
    <n v="29936"/>
    <n v="29576"/>
    <n v="288"/>
    <s v="FSDUpdate"/>
    <x v="2"/>
    <x v="0"/>
    <x v="0"/>
    <n v="8.2108498129342594E-2"/>
  </r>
  <r>
    <s v="P213"/>
    <x v="0"/>
    <s v="2025-05-01"/>
    <x v="0"/>
    <s v="Check out our latest carousel on facebook!"/>
    <n v="2696"/>
    <n v="628"/>
    <n v="443"/>
    <n v="45832"/>
    <n v="45632"/>
    <n v="248"/>
    <s v="SustainabilityDrive"/>
    <x v="2"/>
    <x v="0"/>
    <x v="0"/>
    <n v="8.21914819340199E-2"/>
  </r>
  <r>
    <s v="P215"/>
    <x v="0"/>
    <s v="2025-05-06"/>
    <x v="2"/>
    <s v="Check out our latest image on facebook!"/>
    <n v="4872"/>
    <n v="925"/>
    <n v="176"/>
    <n v="82824"/>
    <n v="82543"/>
    <n v="89"/>
    <s v="ModelYCampaign"/>
    <x v="2"/>
    <x v="0"/>
    <x v="0"/>
    <n v="7.2116777745580993E-2"/>
  </r>
  <r>
    <s v="P217"/>
    <x v="0"/>
    <s v="2024-12-03"/>
    <x v="2"/>
    <s v="Check out our latest image on facebook!"/>
    <n v="4606"/>
    <n v="931"/>
    <n v="230"/>
    <n v="92120"/>
    <n v="91440"/>
    <n v="56"/>
    <m/>
    <x v="0"/>
    <x v="0"/>
    <x v="0"/>
    <n v="6.2603126356925748E-2"/>
  </r>
  <r>
    <s v="P218"/>
    <x v="0"/>
    <s v="2024-06-11"/>
    <x v="0"/>
    <s v="Check out our latest carousel on facebook!"/>
    <n v="1869"/>
    <n v="453"/>
    <n v="490"/>
    <n v="14952"/>
    <n v="14309"/>
    <n v="275"/>
    <s v="SustainabilityDrive"/>
    <x v="0"/>
    <x v="0"/>
    <x v="0"/>
    <n v="0.18806848582129482"/>
  </r>
  <r>
    <s v="P221"/>
    <x v="0"/>
    <s v="2025-03-23"/>
    <x v="5"/>
    <s v="Check out our latest video on facebook!"/>
    <n v="4453"/>
    <n v="111"/>
    <n v="420"/>
    <n v="31171"/>
    <n v="30565"/>
    <n v="23"/>
    <m/>
    <x v="0"/>
    <x v="0"/>
    <x v="0"/>
    <n v="0.15989220750056141"/>
  </r>
  <r>
    <s v="P222"/>
    <x v="0"/>
    <s v="2024-10-08"/>
    <x v="3"/>
    <s v="Check out our latest reel on facebook!"/>
    <n v="1814"/>
    <n v="653"/>
    <n v="363"/>
    <n v="25396"/>
    <n v="25286"/>
    <n v="39"/>
    <s v="CybertruckLaunch"/>
    <x v="1"/>
    <x v="2"/>
    <x v="0"/>
    <n v="0.11143487163332809"/>
  </r>
  <r>
    <s v="P224"/>
    <x v="0"/>
    <s v="2025-05-13"/>
    <x v="2"/>
    <s v="Check out our latest image on facebook!"/>
    <n v="602"/>
    <n v="594"/>
    <n v="156"/>
    <n v="4214"/>
    <n v="3363"/>
    <n v="164"/>
    <s v="FSDUpdate"/>
    <x v="0"/>
    <x v="0"/>
    <x v="0"/>
    <n v="0.32083531086853345"/>
  </r>
  <r>
    <s v="P230"/>
    <x v="0"/>
    <s v="2024-07-15"/>
    <x v="3"/>
    <s v="Check out our latest reel on facebook!"/>
    <n v="3663"/>
    <n v="17"/>
    <n v="295"/>
    <n v="51282"/>
    <n v="50567"/>
    <n v="84"/>
    <s v="FSDUpdate"/>
    <x v="2"/>
    <x v="0"/>
    <x v="0"/>
    <n v="7.7512577512577507E-2"/>
  </r>
  <r>
    <s v="P233"/>
    <x v="0"/>
    <s v="2025-03-08"/>
    <x v="2"/>
    <s v="Check out our latest image on facebook!"/>
    <n v="2382"/>
    <n v="265"/>
    <n v="134"/>
    <n v="38112"/>
    <n v="37437"/>
    <n v="249"/>
    <s v="SustainabilityDrive"/>
    <x v="1"/>
    <x v="0"/>
    <x v="0"/>
    <n v="7.2969143576826198E-2"/>
  </r>
  <r>
    <s v="P234"/>
    <x v="0"/>
    <s v="2024-06-01"/>
    <x v="1"/>
    <s v="Check out our latest text on facebook!"/>
    <n v="1272"/>
    <n v="465"/>
    <n v="99"/>
    <n v="24168"/>
    <n v="23719"/>
    <n v="42"/>
    <m/>
    <x v="0"/>
    <x v="0"/>
    <x v="0"/>
    <n v="7.5968222442899705E-2"/>
  </r>
  <r>
    <s v="P235"/>
    <x v="0"/>
    <s v="2024-12-22"/>
    <x v="2"/>
    <s v="Check out our latest image on facebook!"/>
    <n v="3196"/>
    <n v="941"/>
    <n v="376"/>
    <n v="35156"/>
    <n v="34444"/>
    <n v="241"/>
    <s v="FSDUpdate"/>
    <x v="0"/>
    <x v="0"/>
    <x v="0"/>
    <n v="0.1283706906360223"/>
  </r>
  <r>
    <s v="P236"/>
    <x v="0"/>
    <s v="2024-08-19"/>
    <x v="1"/>
    <s v="Check out our latest text on facebook!"/>
    <n v="1257"/>
    <n v="19"/>
    <n v="351"/>
    <n v="12570"/>
    <n v="11660"/>
    <n v="194"/>
    <s v="ModelYCampaign"/>
    <x v="1"/>
    <x v="1"/>
    <x v="1"/>
    <n v="0.12943516308671441"/>
  </r>
  <r>
    <s v="P241"/>
    <x v="0"/>
    <s v="2025-01-18"/>
    <x v="4"/>
    <s v="Check out our latest story on facebook!"/>
    <n v="4321"/>
    <n v="874"/>
    <n v="172"/>
    <n v="30247"/>
    <n v="29254"/>
    <n v="122"/>
    <s v="SustainabilityDrive"/>
    <x v="0"/>
    <x v="0"/>
    <x v="0"/>
    <n v="0.17743908486792079"/>
  </r>
  <r>
    <s v="P242"/>
    <x v="0"/>
    <s v="2024-07-07"/>
    <x v="3"/>
    <s v="Check out our latest reel on facebook!"/>
    <n v="4767"/>
    <n v="190"/>
    <n v="340"/>
    <n v="28602"/>
    <n v="28044"/>
    <n v="210"/>
    <s v="FSDUpdate"/>
    <x v="2"/>
    <x v="0"/>
    <x v="0"/>
    <n v="0.18519683938186141"/>
  </r>
  <r>
    <s v="P245"/>
    <x v="0"/>
    <s v="2025-01-12"/>
    <x v="3"/>
    <s v="Check out our latest reel on facebook!"/>
    <n v="4134"/>
    <n v="824"/>
    <n v="99"/>
    <n v="41340"/>
    <n v="41050"/>
    <n v="177"/>
    <s v="CybertruckLaunch"/>
    <x v="2"/>
    <x v="0"/>
    <x v="0"/>
    <n v="0.12232704402515723"/>
  </r>
  <r>
    <s v="P246"/>
    <x v="0"/>
    <s v="2024-10-11"/>
    <x v="2"/>
    <s v="Check out our latest image on facebook!"/>
    <n v="400"/>
    <n v="680"/>
    <n v="434"/>
    <n v="6400"/>
    <n v="5472"/>
    <n v="160"/>
    <s v="ModelYCampaign"/>
    <x v="1"/>
    <x v="0"/>
    <x v="0"/>
    <n v="0.23656250000000001"/>
  </r>
  <r>
    <s v="P247"/>
    <x v="0"/>
    <s v="2024-08-27"/>
    <x v="3"/>
    <s v="Check out our latest reel on facebook!"/>
    <n v="3960"/>
    <n v="266"/>
    <n v="8"/>
    <n v="35640"/>
    <n v="34850"/>
    <n v="208"/>
    <m/>
    <x v="1"/>
    <x v="3"/>
    <x v="2"/>
    <n v="0.11879910213243547"/>
  </r>
  <r>
    <s v="P248"/>
    <x v="0"/>
    <s v="2025-02-02"/>
    <x v="4"/>
    <s v="Check out our latest story on facebook!"/>
    <n v="886"/>
    <n v="126"/>
    <n v="153"/>
    <n v="4430"/>
    <n v="4037"/>
    <n v="212"/>
    <m/>
    <x v="2"/>
    <x v="0"/>
    <x v="0"/>
    <n v="0.26297968397291194"/>
  </r>
  <r>
    <s v="P250"/>
    <x v="0"/>
    <s v="2024-06-22"/>
    <x v="3"/>
    <s v="Check out our latest reel on facebook!"/>
    <n v="3813"/>
    <n v="935"/>
    <n v="274"/>
    <n v="68634"/>
    <n v="68488"/>
    <n v="251"/>
    <m/>
    <x v="1"/>
    <x v="0"/>
    <x v="0"/>
    <n v="7.3170731707317069E-2"/>
  </r>
  <r>
    <s v="P252"/>
    <x v="0"/>
    <s v="2025-04-28"/>
    <x v="0"/>
    <s v="Check out our latest carousel on facebook!"/>
    <n v="2089"/>
    <n v="476"/>
    <n v="69"/>
    <n v="16712"/>
    <n v="16309"/>
    <n v="64"/>
    <s v="FSDUpdate"/>
    <x v="1"/>
    <x v="0"/>
    <x v="0"/>
    <n v="0.15761129727142173"/>
  </r>
  <r>
    <s v="P255"/>
    <x v="0"/>
    <s v="2025-04-03"/>
    <x v="4"/>
    <s v="Check out our latest story on facebook!"/>
    <n v="3767"/>
    <n v="514"/>
    <n v="238"/>
    <n v="37670"/>
    <n v="36807"/>
    <n v="226"/>
    <s v="SustainabilityDrive"/>
    <x v="1"/>
    <x v="0"/>
    <x v="0"/>
    <n v="0.11996283514733209"/>
  </r>
  <r>
    <s v="P257"/>
    <x v="0"/>
    <s v="2025-04-06"/>
    <x v="2"/>
    <s v="Check out our latest image on facebook!"/>
    <n v="3090"/>
    <n v="697"/>
    <n v="164"/>
    <n v="49440"/>
    <n v="48524"/>
    <n v="25"/>
    <s v="ModelYCampaign"/>
    <x v="2"/>
    <x v="3"/>
    <x v="2"/>
    <n v="7.9915048543689318E-2"/>
  </r>
  <r>
    <s v="P259"/>
    <x v="0"/>
    <s v="2025-02-10"/>
    <x v="1"/>
    <s v="Check out our latest text on facebook!"/>
    <n v="562"/>
    <n v="158"/>
    <n v="149"/>
    <n v="3372"/>
    <n v="2940"/>
    <n v="93"/>
    <s v="CybertruckLaunch"/>
    <x v="0"/>
    <x v="0"/>
    <x v="0"/>
    <n v="0.25771055753262156"/>
  </r>
  <r>
    <s v="P266"/>
    <x v="0"/>
    <s v="2024-11-25"/>
    <x v="4"/>
    <s v="Check out our latest story on facebook!"/>
    <n v="4182"/>
    <n v="640"/>
    <n v="240"/>
    <n v="50184"/>
    <n v="49351"/>
    <n v="10"/>
    <s v="FSDUpdate"/>
    <x v="0"/>
    <x v="0"/>
    <x v="0"/>
    <n v="0.10086880280567512"/>
  </r>
  <r>
    <s v="P275"/>
    <x v="0"/>
    <s v="2024-08-05"/>
    <x v="3"/>
    <s v="Check out our latest reel on facebook!"/>
    <n v="1741"/>
    <n v="831"/>
    <n v="345"/>
    <n v="17410"/>
    <n v="16844"/>
    <n v="58"/>
    <s v="FSDUpdate"/>
    <x v="2"/>
    <x v="0"/>
    <x v="0"/>
    <n v="0.16754738655944859"/>
  </r>
  <r>
    <s v="P277"/>
    <x v="0"/>
    <s v="2025-04-06"/>
    <x v="2"/>
    <s v="Check out our latest image on facebook!"/>
    <n v="4236"/>
    <n v="711"/>
    <n v="298"/>
    <n v="21180"/>
    <n v="20516"/>
    <n v="238"/>
    <s v="CybertruckLaunch"/>
    <x v="1"/>
    <x v="0"/>
    <x v="0"/>
    <n v="0.24763928234183191"/>
  </r>
  <r>
    <s v="P289"/>
    <x v="0"/>
    <s v="2024-11-28"/>
    <x v="0"/>
    <s v="Check out our latest carousel on facebook!"/>
    <n v="2751"/>
    <n v="33"/>
    <n v="430"/>
    <n v="44016"/>
    <n v="43415"/>
    <n v="129"/>
    <m/>
    <x v="1"/>
    <x v="0"/>
    <x v="0"/>
    <n v="7.3018902217375503E-2"/>
  </r>
  <r>
    <s v="P291"/>
    <x v="0"/>
    <s v="2024-11-06"/>
    <x v="5"/>
    <s v="Check out our latest video on facebook!"/>
    <n v="4663"/>
    <n v="145"/>
    <n v="225"/>
    <n v="69945"/>
    <n v="69596"/>
    <n v="35"/>
    <s v="SustainabilityDrive"/>
    <x v="2"/>
    <x v="0"/>
    <x v="0"/>
    <n v="7.1956537279290869E-2"/>
  </r>
  <r>
    <s v="P292"/>
    <x v="0"/>
    <s v="2024-11-17"/>
    <x v="1"/>
    <s v="Check out our latest text on facebook!"/>
    <n v="880"/>
    <n v="297"/>
    <n v="345"/>
    <n v="12320"/>
    <n v="11978"/>
    <n v="238"/>
    <m/>
    <x v="0"/>
    <x v="1"/>
    <x v="0"/>
    <n v="0.12353896103896105"/>
  </r>
  <r>
    <s v="P293"/>
    <x v="0"/>
    <s v="2025-05-14"/>
    <x v="1"/>
    <s v="Check out our latest text on facebook!"/>
    <n v="2634"/>
    <n v="726"/>
    <n v="241"/>
    <n v="28974"/>
    <n v="28102"/>
    <n v="277"/>
    <s v="CybertruckLaunch"/>
    <x v="2"/>
    <x v="0"/>
    <x v="0"/>
    <n v="0.12428384068475185"/>
  </r>
  <r>
    <s v="P294"/>
    <x v="0"/>
    <s v="2024-06-19"/>
    <x v="0"/>
    <s v="Check out our latest carousel on facebook!"/>
    <n v="4731"/>
    <n v="173"/>
    <n v="276"/>
    <n v="28386"/>
    <n v="28185"/>
    <n v="89"/>
    <s v="FSDUpdate"/>
    <x v="2"/>
    <x v="0"/>
    <x v="0"/>
    <n v="0.18248432325794406"/>
  </r>
  <r>
    <s v="P298"/>
    <x v="0"/>
    <s v="2024-10-24"/>
    <x v="2"/>
    <s v="Check out our latest image on facebook!"/>
    <n v="4303"/>
    <n v="451"/>
    <n v="286"/>
    <n v="86060"/>
    <n v="85823"/>
    <n v="14"/>
    <s v="FSDUpdate"/>
    <x v="0"/>
    <x v="0"/>
    <x v="0"/>
    <n v="5.8563792702765516E-2"/>
  </r>
  <r>
    <s v="P299"/>
    <x v="0"/>
    <s v="2024-08-26"/>
    <x v="2"/>
    <s v="Check out our latest image on facebook!"/>
    <n v="2581"/>
    <n v="517"/>
    <n v="117"/>
    <n v="23229"/>
    <n v="22331"/>
    <n v="70"/>
    <s v="FSDUpdate"/>
    <x v="1"/>
    <x v="0"/>
    <x v="0"/>
    <n v="0.13840458048129492"/>
  </r>
  <r>
    <s v="P004"/>
    <x v="1"/>
    <s v="2024-08-12"/>
    <x v="4"/>
    <s v="Check out our latest story on instagram!"/>
    <n v="2404"/>
    <n v="363"/>
    <n v="138"/>
    <n v="19232"/>
    <n v="18636"/>
    <n v="128"/>
    <s v="SustainabilityDrive"/>
    <x v="2"/>
    <x v="0"/>
    <x v="0"/>
    <n v="0.15105033277870217"/>
  </r>
  <r>
    <s v="P011"/>
    <x v="1"/>
    <s v="2025-02-02"/>
    <x v="4"/>
    <s v="Check out our latest story on instagram!"/>
    <n v="1792"/>
    <n v="614"/>
    <n v="497"/>
    <n v="25088"/>
    <n v="24675"/>
    <n v="65"/>
    <s v="SustainabilityDrive"/>
    <x v="1"/>
    <x v="0"/>
    <x v="0"/>
    <n v="0.11571269132653061"/>
  </r>
  <r>
    <s v="P018"/>
    <x v="1"/>
    <s v="2024-08-19"/>
    <x v="3"/>
    <s v="Check out our latest reel on instagram!"/>
    <n v="3000"/>
    <n v="382"/>
    <n v="325"/>
    <n v="36000"/>
    <n v="35819"/>
    <n v="19"/>
    <s v="CybertruckLaunch"/>
    <x v="1"/>
    <x v="0"/>
    <x v="0"/>
    <n v="0.10297222222222223"/>
  </r>
  <r>
    <s v="P019"/>
    <x v="1"/>
    <s v="2024-06-23"/>
    <x v="5"/>
    <s v="Check out our latest video on instagram!"/>
    <n v="1071"/>
    <n v="519"/>
    <n v="22"/>
    <n v="16065"/>
    <n v="15865"/>
    <n v="103"/>
    <s v="SustainabilityDrive"/>
    <x v="0"/>
    <x v="0"/>
    <x v="0"/>
    <n v="0.10034235916588857"/>
  </r>
  <r>
    <s v="P020"/>
    <x v="1"/>
    <s v="2024-09-09"/>
    <x v="0"/>
    <s v="Check out our latest carousel on instagram!"/>
    <n v="4054"/>
    <n v="488"/>
    <n v="373"/>
    <n v="77026"/>
    <n v="76881"/>
    <n v="25"/>
    <s v="CybertruckLaunch"/>
    <x v="0"/>
    <x v="0"/>
    <x v="0"/>
    <n v="6.3809622724794221E-2"/>
  </r>
  <r>
    <s v="P021"/>
    <x v="1"/>
    <s v="2025-01-04"/>
    <x v="3"/>
    <s v="Check out our latest reel on instagram!"/>
    <n v="4838"/>
    <n v="640"/>
    <n v="128"/>
    <n v="72570"/>
    <n v="72396"/>
    <n v="83"/>
    <s v="SustainabilityDrive"/>
    <x v="1"/>
    <x v="0"/>
    <x v="0"/>
    <n v="7.7249552156538517E-2"/>
  </r>
  <r>
    <s v="P028"/>
    <x v="1"/>
    <s v="2025-03-04"/>
    <x v="5"/>
    <s v="Check out our latest video on instagram!"/>
    <n v="432"/>
    <n v="624"/>
    <n v="123"/>
    <n v="6912"/>
    <n v="6259"/>
    <n v="79"/>
    <s v="SustainabilityDrive"/>
    <x v="1"/>
    <x v="0"/>
    <x v="0"/>
    <n v="0.17057291666666666"/>
  </r>
  <r>
    <s v="P029"/>
    <x v="1"/>
    <s v="2025-01-31"/>
    <x v="0"/>
    <s v="Check out our latest carousel on instagram!"/>
    <n v="2566"/>
    <n v="118"/>
    <n v="37"/>
    <n v="12830"/>
    <n v="12264"/>
    <n v="221"/>
    <s v="FSDUpdate"/>
    <x v="1"/>
    <x v="0"/>
    <x v="0"/>
    <n v="0.21208106001558846"/>
  </r>
  <r>
    <s v="P030"/>
    <x v="1"/>
    <s v="2025-02-25"/>
    <x v="5"/>
    <s v="Check out our latest video on instagram!"/>
    <n v="3095"/>
    <n v="39"/>
    <n v="78"/>
    <n v="55710"/>
    <n v="54808"/>
    <n v="93"/>
    <m/>
    <x v="2"/>
    <x v="0"/>
    <x v="0"/>
    <n v="5.7655717106444085E-2"/>
  </r>
  <r>
    <s v="P031"/>
    <x v="1"/>
    <s v="2024-12-16"/>
    <x v="1"/>
    <s v="Check out our latest text on instagram!"/>
    <n v="438"/>
    <n v="153"/>
    <n v="275"/>
    <n v="3066"/>
    <n v="2701"/>
    <n v="282"/>
    <s v="ModelYCampaign"/>
    <x v="0"/>
    <x v="0"/>
    <x v="0"/>
    <n v="0.28245270711024134"/>
  </r>
  <r>
    <s v="P035"/>
    <x v="1"/>
    <s v="2024-11-30"/>
    <x v="5"/>
    <s v="Check out our latest video on instagram!"/>
    <n v="3775"/>
    <n v="16"/>
    <n v="239"/>
    <n v="33975"/>
    <n v="33310"/>
    <n v="271"/>
    <s v="ModelYCampaign"/>
    <x v="1"/>
    <x v="0"/>
    <x v="0"/>
    <n v="0.11861662987490802"/>
  </r>
  <r>
    <s v="P036"/>
    <x v="1"/>
    <s v="2025-04-19"/>
    <x v="4"/>
    <s v="Check out our latest story on instagram!"/>
    <n v="4518"/>
    <n v="285"/>
    <n v="383"/>
    <n v="67770"/>
    <n v="67621"/>
    <n v="31"/>
    <s v="ModelYCampaign"/>
    <x v="2"/>
    <x v="0"/>
    <x v="0"/>
    <n v="7.6523535487678915E-2"/>
  </r>
  <r>
    <s v="P041"/>
    <x v="1"/>
    <s v="2025-03-08"/>
    <x v="3"/>
    <s v="Check out our latest reel on instagram!"/>
    <n v="456"/>
    <n v="629"/>
    <n v="428"/>
    <n v="8208"/>
    <n v="7377"/>
    <n v="205"/>
    <s v="SustainabilityDrive"/>
    <x v="1"/>
    <x v="0"/>
    <x v="0"/>
    <n v="0.18433235867446393"/>
  </r>
  <r>
    <s v="P043"/>
    <x v="1"/>
    <s v="2024-12-14"/>
    <x v="0"/>
    <s v="Check out our latest carousel on instagram!"/>
    <n v="2174"/>
    <n v="658"/>
    <n v="15"/>
    <n v="13044"/>
    <n v="12206"/>
    <n v="137"/>
    <s v="FSDUpdate"/>
    <x v="0"/>
    <x v="0"/>
    <x v="0"/>
    <n v="0.21826126954921804"/>
  </r>
  <r>
    <s v="P058"/>
    <x v="1"/>
    <s v="2025-04-15"/>
    <x v="3"/>
    <s v="Check out our latest reel on instagram!"/>
    <n v="103"/>
    <n v="770"/>
    <n v="19"/>
    <n v="1030"/>
    <n v="410"/>
    <n v="262"/>
    <s v="SustainabilityDrive"/>
    <x v="0"/>
    <x v="0"/>
    <x v="0"/>
    <n v="0.86601941747572819"/>
  </r>
  <r>
    <s v="P059"/>
    <x v="1"/>
    <s v="2024-06-22"/>
    <x v="1"/>
    <s v="Check out our latest text on instagram!"/>
    <n v="2180"/>
    <n v="263"/>
    <n v="387"/>
    <n v="30520"/>
    <n v="30059"/>
    <n v="174"/>
    <m/>
    <x v="2"/>
    <x v="0"/>
    <x v="0"/>
    <n v="9.2726081258191345E-2"/>
  </r>
  <r>
    <s v="P060"/>
    <x v="1"/>
    <s v="2025-01-28"/>
    <x v="5"/>
    <s v="Check out our latest video on instagram!"/>
    <n v="904"/>
    <n v="973"/>
    <n v="63"/>
    <n v="11752"/>
    <n v="11580"/>
    <n v="84"/>
    <s v="FSDUpdate"/>
    <x v="2"/>
    <x v="4"/>
    <x v="3"/>
    <n v="0.1650782845473111"/>
  </r>
  <r>
    <s v="P065"/>
    <x v="1"/>
    <s v="2025-03-28"/>
    <x v="4"/>
    <s v="Check out our latest story on instagram!"/>
    <n v="1881"/>
    <n v="501"/>
    <n v="99"/>
    <n v="20691"/>
    <n v="19987"/>
    <n v="289"/>
    <m/>
    <x v="2"/>
    <x v="0"/>
    <x v="0"/>
    <n v="0.11990720603160794"/>
  </r>
  <r>
    <s v="P068"/>
    <x v="1"/>
    <s v="2024-12-08"/>
    <x v="4"/>
    <s v="Check out our latest story on instagram!"/>
    <n v="2610"/>
    <n v="126"/>
    <n v="288"/>
    <n v="15660"/>
    <n v="15145"/>
    <n v="73"/>
    <m/>
    <x v="2"/>
    <x v="0"/>
    <x v="0"/>
    <n v="0.19310344827586207"/>
  </r>
  <r>
    <s v="P075"/>
    <x v="1"/>
    <s v="2024-08-01"/>
    <x v="3"/>
    <s v="Check out our latest reel on instagram!"/>
    <n v="1674"/>
    <n v="929"/>
    <n v="37"/>
    <n v="21762"/>
    <n v="20998"/>
    <n v="255"/>
    <s v="SustainabilityDrive"/>
    <x v="0"/>
    <x v="0"/>
    <x v="0"/>
    <n v="0.12131237937689551"/>
  </r>
  <r>
    <s v="P079"/>
    <x v="1"/>
    <s v="2024-10-09"/>
    <x v="0"/>
    <s v="Check out our latest carousel on instagram!"/>
    <n v="3068"/>
    <n v="137"/>
    <n v="329"/>
    <n v="39884"/>
    <n v="39404"/>
    <n v="266"/>
    <s v="ModelYCampaign"/>
    <x v="2"/>
    <x v="0"/>
    <x v="0"/>
    <n v="8.860696018453515E-2"/>
  </r>
  <r>
    <s v="P080"/>
    <x v="1"/>
    <s v="2024-06-13"/>
    <x v="4"/>
    <s v="Check out our latest story on instagram!"/>
    <n v="2103"/>
    <n v="892"/>
    <n v="103"/>
    <n v="39957"/>
    <n v="39466"/>
    <n v="28"/>
    <m/>
    <x v="1"/>
    <x v="0"/>
    <x v="0"/>
    <n v="7.7533348349475686E-2"/>
  </r>
  <r>
    <s v="P081"/>
    <x v="1"/>
    <s v="2024-10-19"/>
    <x v="4"/>
    <s v="Check out our latest story on instagram!"/>
    <n v="1816"/>
    <n v="29"/>
    <n v="41"/>
    <n v="19976"/>
    <n v="19262"/>
    <n v="283"/>
    <s v="FSDUpdate"/>
    <x v="0"/>
    <x v="0"/>
    <x v="0"/>
    <n v="9.4413295955146179E-2"/>
  </r>
  <r>
    <s v="P082"/>
    <x v="1"/>
    <s v="2024-07-24"/>
    <x v="2"/>
    <s v="Check out our latest image on instagram!"/>
    <n v="725"/>
    <n v="88"/>
    <n v="428"/>
    <n v="14500"/>
    <n v="13637"/>
    <n v="200"/>
    <s v="FSDUpdate"/>
    <x v="1"/>
    <x v="4"/>
    <x v="3"/>
    <n v="8.558620689655172E-2"/>
  </r>
  <r>
    <s v="P085"/>
    <x v="1"/>
    <s v="2025-04-19"/>
    <x v="2"/>
    <s v="Check out our latest image on instagram!"/>
    <n v="4177"/>
    <n v="569"/>
    <n v="55"/>
    <n v="25062"/>
    <n v="24847"/>
    <n v="230"/>
    <s v="CybertruckLaunch"/>
    <x v="1"/>
    <x v="0"/>
    <x v="0"/>
    <n v="0.19156491900087783"/>
  </r>
  <r>
    <s v="P090"/>
    <x v="1"/>
    <s v="2024-06-03"/>
    <x v="2"/>
    <s v="Check out our latest image on instagram!"/>
    <n v="3861"/>
    <n v="960"/>
    <n v="101"/>
    <n v="69498"/>
    <n v="68817"/>
    <n v="297"/>
    <s v="SustainabilityDrive"/>
    <x v="0"/>
    <x v="0"/>
    <x v="0"/>
    <n v="7.0822181933293038E-2"/>
  </r>
  <r>
    <s v="P093"/>
    <x v="1"/>
    <s v="2024-12-11"/>
    <x v="5"/>
    <s v="Check out our latest video on instagram!"/>
    <n v="1431"/>
    <n v="951"/>
    <n v="26"/>
    <n v="8586"/>
    <n v="8396"/>
    <n v="150"/>
    <s v="FSDUpdate"/>
    <x v="2"/>
    <x v="0"/>
    <x v="0"/>
    <n v="0.28045655718611695"/>
  </r>
  <r>
    <s v="P094"/>
    <x v="1"/>
    <s v="2024-11-07"/>
    <x v="2"/>
    <s v="Check out our latest image on instagram!"/>
    <n v="2647"/>
    <n v="304"/>
    <n v="170"/>
    <n v="18529"/>
    <n v="17841"/>
    <n v="46"/>
    <s v="FSDUpdate"/>
    <x v="1"/>
    <x v="0"/>
    <x v="0"/>
    <n v="0.16843866371633656"/>
  </r>
  <r>
    <s v="P095"/>
    <x v="1"/>
    <s v="2024-11-08"/>
    <x v="1"/>
    <s v="Check out our latest text on instagram!"/>
    <n v="3182"/>
    <n v="559"/>
    <n v="160"/>
    <n v="57276"/>
    <n v="56890"/>
    <n v="163"/>
    <s v="SustainabilityDrive"/>
    <x v="1"/>
    <x v="0"/>
    <x v="0"/>
    <n v="6.8108806480899509E-2"/>
  </r>
  <r>
    <s v="P097"/>
    <x v="1"/>
    <s v="2024-08-13"/>
    <x v="2"/>
    <s v="Check out our latest image on instagram!"/>
    <n v="4739"/>
    <n v="527"/>
    <n v="135"/>
    <n v="61607"/>
    <n v="61333"/>
    <n v="36"/>
    <s v="ModelYCampaign"/>
    <x v="0"/>
    <x v="1"/>
    <x v="0"/>
    <n v="8.7668609086629767E-2"/>
  </r>
  <r>
    <s v="P105"/>
    <x v="1"/>
    <s v="2024-06-14"/>
    <x v="0"/>
    <s v="Check out our latest carousel on instagram!"/>
    <n v="498"/>
    <n v="38"/>
    <n v="42"/>
    <n v="4482"/>
    <n v="3647"/>
    <n v="32"/>
    <s v="CybertruckLaunch"/>
    <x v="1"/>
    <x v="0"/>
    <x v="0"/>
    <n v="0.12896028558679162"/>
  </r>
  <r>
    <s v="P106"/>
    <x v="1"/>
    <s v="2025-02-04"/>
    <x v="2"/>
    <s v="Check out our latest image on instagram!"/>
    <n v="4619"/>
    <n v="821"/>
    <n v="499"/>
    <n v="69285"/>
    <n v="69141"/>
    <n v="298"/>
    <s v="SustainabilityDrive"/>
    <x v="0"/>
    <x v="0"/>
    <x v="0"/>
    <n v="8.5718409468138843E-2"/>
  </r>
  <r>
    <s v="P110"/>
    <x v="1"/>
    <s v="2024-07-29"/>
    <x v="3"/>
    <s v="Check out our latest reel on instagram!"/>
    <n v="3523"/>
    <n v="753"/>
    <n v="482"/>
    <n v="38753"/>
    <n v="38579"/>
    <n v="270"/>
    <s v="ModelYCampaign"/>
    <x v="2"/>
    <x v="0"/>
    <x v="0"/>
    <n v="0.12277759141227776"/>
  </r>
  <r>
    <s v="P119"/>
    <x v="1"/>
    <s v="2025-02-07"/>
    <x v="3"/>
    <s v="Check out our latest reel on instagram!"/>
    <n v="1970"/>
    <n v="675"/>
    <n v="478"/>
    <n v="9850"/>
    <n v="8924"/>
    <n v="117"/>
    <m/>
    <x v="1"/>
    <x v="0"/>
    <x v="0"/>
    <n v="0.31705583756345179"/>
  </r>
  <r>
    <s v="P121"/>
    <x v="1"/>
    <s v="2024-07-29"/>
    <x v="4"/>
    <s v="Check out our latest story on instagram!"/>
    <n v="498"/>
    <n v="701"/>
    <n v="412"/>
    <n v="4980"/>
    <n v="4185"/>
    <n v="185"/>
    <m/>
    <x v="1"/>
    <x v="0"/>
    <x v="0"/>
    <n v="0.32349397590361445"/>
  </r>
  <r>
    <s v="P122"/>
    <x v="1"/>
    <s v="2024-10-02"/>
    <x v="1"/>
    <s v="Check out our latest text on instagram!"/>
    <n v="3432"/>
    <n v="869"/>
    <n v="123"/>
    <n v="54912"/>
    <n v="53916"/>
    <n v="264"/>
    <s v="ModelYCampaign"/>
    <x v="2"/>
    <x v="0"/>
    <x v="0"/>
    <n v="8.0565268065268064E-2"/>
  </r>
  <r>
    <s v="P123"/>
    <x v="1"/>
    <s v="2024-06-14"/>
    <x v="4"/>
    <s v="Check out our latest story on instagram!"/>
    <n v="4363"/>
    <n v="649"/>
    <n v="140"/>
    <n v="21815"/>
    <n v="21481"/>
    <n v="157"/>
    <s v="CybertruckLaunch"/>
    <x v="2"/>
    <x v="0"/>
    <x v="0"/>
    <n v="0.23616777446710979"/>
  </r>
  <r>
    <s v="P126"/>
    <x v="1"/>
    <s v="2025-03-28"/>
    <x v="0"/>
    <s v="Check out our latest carousel on instagram!"/>
    <n v="4158"/>
    <n v="167"/>
    <n v="241"/>
    <n v="45738"/>
    <n v="45183"/>
    <n v="142"/>
    <m/>
    <x v="1"/>
    <x v="0"/>
    <x v="0"/>
    <n v="9.9829463465827106E-2"/>
  </r>
  <r>
    <s v="P131"/>
    <x v="1"/>
    <s v="2024-10-21"/>
    <x v="3"/>
    <s v="Check out our latest reel on instagram!"/>
    <n v="4840"/>
    <n v="658"/>
    <n v="211"/>
    <n v="43560"/>
    <n v="43225"/>
    <n v="57"/>
    <s v="FSDUpdate"/>
    <x v="1"/>
    <x v="0"/>
    <x v="0"/>
    <n v="0.13106060606060607"/>
  </r>
  <r>
    <s v="P132"/>
    <x v="1"/>
    <s v="2025-03-04"/>
    <x v="4"/>
    <s v="Check out our latest story on instagram!"/>
    <n v="1947"/>
    <n v="842"/>
    <n v="101"/>
    <n v="21417"/>
    <n v="20967"/>
    <n v="186"/>
    <s v="ModelYCampaign"/>
    <x v="1"/>
    <x v="0"/>
    <x v="0"/>
    <n v="0.13493953401503478"/>
  </r>
  <r>
    <s v="P136"/>
    <x v="1"/>
    <s v="2024-07-11"/>
    <x v="1"/>
    <s v="Check out our latest text on instagram!"/>
    <n v="3134"/>
    <n v="888"/>
    <n v="444"/>
    <n v="21938"/>
    <n v="21337"/>
    <n v="130"/>
    <s v="SustainabilityDrive"/>
    <x v="2"/>
    <x v="0"/>
    <x v="0"/>
    <n v="0.20357370772176134"/>
  </r>
  <r>
    <s v="P145"/>
    <x v="1"/>
    <s v="2024-08-12"/>
    <x v="0"/>
    <s v="Check out our latest carousel on instagram!"/>
    <n v="1878"/>
    <n v="62"/>
    <n v="179"/>
    <n v="37560"/>
    <n v="36874"/>
    <n v="142"/>
    <s v="SustainabilityDrive"/>
    <x v="0"/>
    <x v="0"/>
    <x v="0"/>
    <n v="5.6416400425985093E-2"/>
  </r>
  <r>
    <s v="P147"/>
    <x v="1"/>
    <s v="2024-10-21"/>
    <x v="3"/>
    <s v="Check out our latest reel on instagram!"/>
    <n v="3256"/>
    <n v="459"/>
    <n v="266"/>
    <n v="26048"/>
    <n v="25529"/>
    <n v="143"/>
    <s v="ModelYCampaign"/>
    <x v="0"/>
    <x v="0"/>
    <x v="0"/>
    <n v="0.15283323095823095"/>
  </r>
  <r>
    <s v="P148"/>
    <x v="1"/>
    <s v="2025-04-15"/>
    <x v="5"/>
    <s v="Check out our latest video on instagram!"/>
    <n v="4133"/>
    <n v="466"/>
    <n v="327"/>
    <n v="24798"/>
    <n v="24620"/>
    <n v="176"/>
    <s v="SustainabilityDrive"/>
    <x v="2"/>
    <x v="0"/>
    <x v="0"/>
    <n v="0.19864505202032423"/>
  </r>
  <r>
    <s v="P151"/>
    <x v="1"/>
    <s v="2024-07-26"/>
    <x v="2"/>
    <s v="Check out our latest image on instagram!"/>
    <n v="3559"/>
    <n v="59"/>
    <n v="289"/>
    <n v="35590"/>
    <n v="35105"/>
    <n v="122"/>
    <s v="CybertruckLaunch"/>
    <x v="2"/>
    <x v="0"/>
    <x v="0"/>
    <n v="0.10977802753582468"/>
  </r>
  <r>
    <s v="P154"/>
    <x v="1"/>
    <s v="2024-10-09"/>
    <x v="0"/>
    <s v="Check out our latest carousel on instagram!"/>
    <n v="985"/>
    <n v="932"/>
    <n v="287"/>
    <n v="6895"/>
    <n v="6757"/>
    <n v="64"/>
    <s v="SustainabilityDrive"/>
    <x v="1"/>
    <x v="0"/>
    <x v="0"/>
    <n v="0.31965192168237855"/>
  </r>
  <r>
    <s v="P158"/>
    <x v="1"/>
    <s v="2024-08-11"/>
    <x v="4"/>
    <s v="Check out our latest story on instagram!"/>
    <n v="1762"/>
    <n v="405"/>
    <n v="423"/>
    <n v="22906"/>
    <n v="21925"/>
    <n v="25"/>
    <s v="CybertruckLaunch"/>
    <x v="0"/>
    <x v="0"/>
    <x v="0"/>
    <n v="0.11307081114118571"/>
  </r>
  <r>
    <s v="P163"/>
    <x v="1"/>
    <s v="2025-04-08"/>
    <x v="2"/>
    <s v="Check out our latest image on instagram!"/>
    <n v="4501"/>
    <n v="375"/>
    <n v="323"/>
    <n v="22505"/>
    <n v="21836"/>
    <n v="132"/>
    <s v="ModelYCampaign"/>
    <x v="0"/>
    <x v="0"/>
    <x v="0"/>
    <n v="0.23101532992668297"/>
  </r>
  <r>
    <s v="P167"/>
    <x v="1"/>
    <s v="2024-11-28"/>
    <x v="1"/>
    <s v="Check out our latest text on instagram!"/>
    <n v="4771"/>
    <n v="818"/>
    <n v="56"/>
    <n v="57252"/>
    <n v="56378"/>
    <n v="150"/>
    <m/>
    <x v="1"/>
    <x v="0"/>
    <x v="0"/>
    <n v="9.859917557465242E-2"/>
  </r>
  <r>
    <s v="P175"/>
    <x v="1"/>
    <s v="2025-01-17"/>
    <x v="3"/>
    <s v="Check out our latest reel on instagram!"/>
    <n v="142"/>
    <n v="784"/>
    <n v="183"/>
    <n v="1704"/>
    <n v="995"/>
    <n v="154"/>
    <s v="SustainabilityDrive"/>
    <x v="1"/>
    <x v="0"/>
    <x v="0"/>
    <n v="0.6508215962441315"/>
  </r>
  <r>
    <s v="P177"/>
    <x v="1"/>
    <s v="2024-07-10"/>
    <x v="0"/>
    <s v="Check out our latest carousel on instagram!"/>
    <n v="3099"/>
    <n v="694"/>
    <n v="171"/>
    <n v="43386"/>
    <n v="42921"/>
    <n v="52"/>
    <s v="FSDUpdate"/>
    <x v="0"/>
    <x v="0"/>
    <x v="0"/>
    <n v="9.1365878393951966E-2"/>
  </r>
  <r>
    <s v="P178"/>
    <x v="1"/>
    <s v="2024-11-07"/>
    <x v="5"/>
    <s v="Check out our latest video on instagram!"/>
    <n v="129"/>
    <n v="643"/>
    <n v="136"/>
    <n v="1290"/>
    <n v="839"/>
    <n v="238"/>
    <s v="SustainabilityDrive"/>
    <x v="0"/>
    <x v="0"/>
    <x v="0"/>
    <n v="0.70387596899224802"/>
  </r>
  <r>
    <s v="P183"/>
    <x v="1"/>
    <s v="2024-12-17"/>
    <x v="4"/>
    <s v="Check out our latest story on instagram!"/>
    <n v="360"/>
    <n v="590"/>
    <n v="393"/>
    <n v="4680"/>
    <n v="4322"/>
    <n v="208"/>
    <s v="ModelYCampaign"/>
    <x v="1"/>
    <x v="0"/>
    <x v="0"/>
    <n v="0.28696581196581195"/>
  </r>
  <r>
    <s v="P185"/>
    <x v="1"/>
    <s v="2025-01-11"/>
    <x v="0"/>
    <s v="Check out our latest carousel on instagram!"/>
    <n v="4523"/>
    <n v="61"/>
    <n v="157"/>
    <n v="49753"/>
    <n v="49329"/>
    <n v="71"/>
    <m/>
    <x v="2"/>
    <x v="0"/>
    <x v="0"/>
    <n v="9.5290736237010829E-2"/>
  </r>
  <r>
    <s v="P192"/>
    <x v="1"/>
    <s v="2024-11-29"/>
    <x v="5"/>
    <s v="Check out our latest video on instagram!"/>
    <n v="1176"/>
    <n v="464"/>
    <n v="394"/>
    <n v="14112"/>
    <n v="13588"/>
    <n v="272"/>
    <m/>
    <x v="2"/>
    <x v="0"/>
    <x v="0"/>
    <n v="0.1441326530612245"/>
  </r>
  <r>
    <s v="P195"/>
    <x v="1"/>
    <s v="2024-08-15"/>
    <x v="0"/>
    <s v="Check out our latest carousel on instagram!"/>
    <n v="914"/>
    <n v="464"/>
    <n v="246"/>
    <n v="11882"/>
    <n v="11500"/>
    <n v="282"/>
    <s v="SustainabilityDrive"/>
    <x v="1"/>
    <x v="4"/>
    <x v="3"/>
    <n v="0.13667732704931829"/>
  </r>
  <r>
    <s v="P196"/>
    <x v="1"/>
    <s v="2024-12-19"/>
    <x v="1"/>
    <s v="Check out our latest text on instagram!"/>
    <n v="1813"/>
    <n v="623"/>
    <n v="72"/>
    <n v="19943"/>
    <n v="18959"/>
    <n v="85"/>
    <s v="FSDUpdate"/>
    <x v="2"/>
    <x v="0"/>
    <x v="0"/>
    <n v="0.12575841147269717"/>
  </r>
  <r>
    <s v="P203"/>
    <x v="1"/>
    <s v="2024-11-21"/>
    <x v="0"/>
    <s v="Check out our latest carousel on instagram!"/>
    <n v="3773"/>
    <n v="299"/>
    <n v="38"/>
    <n v="71687"/>
    <n v="71447"/>
    <n v="286"/>
    <s v="CybertruckLaunch"/>
    <x v="1"/>
    <x v="0"/>
    <x v="0"/>
    <n v="5.7332570758993957E-2"/>
  </r>
  <r>
    <s v="P204"/>
    <x v="1"/>
    <s v="2025-01-01"/>
    <x v="0"/>
    <s v="Check out our latest carousel on instagram!"/>
    <n v="2234"/>
    <n v="653"/>
    <n v="432"/>
    <n v="11170"/>
    <n v="10569"/>
    <n v="198"/>
    <s v="FSDUpdate"/>
    <x v="1"/>
    <x v="0"/>
    <x v="0"/>
    <n v="0.29713518352730528"/>
  </r>
  <r>
    <s v="P214"/>
    <x v="1"/>
    <s v="2024-12-23"/>
    <x v="2"/>
    <s v="Check out our latest image on instagram!"/>
    <n v="521"/>
    <n v="746"/>
    <n v="315"/>
    <n v="4168"/>
    <n v="3399"/>
    <n v="282"/>
    <s v="ModelYCampaign"/>
    <x v="1"/>
    <x v="0"/>
    <x v="0"/>
    <n v="0.37955854126679461"/>
  </r>
  <r>
    <s v="P220"/>
    <x v="1"/>
    <s v="2024-06-02"/>
    <x v="4"/>
    <s v="Check out our latest story on instagram!"/>
    <n v="84"/>
    <n v="897"/>
    <n v="85"/>
    <n v="588"/>
    <n v="8"/>
    <n v="12"/>
    <m/>
    <x v="2"/>
    <x v="0"/>
    <x v="0"/>
    <n v="1.8129251700680271"/>
  </r>
  <r>
    <s v="P226"/>
    <x v="1"/>
    <s v="2024-08-07"/>
    <x v="0"/>
    <s v="Check out our latest carousel on instagram!"/>
    <n v="1741"/>
    <n v="164"/>
    <n v="318"/>
    <n v="8705"/>
    <n v="8272"/>
    <n v="121"/>
    <m/>
    <x v="0"/>
    <x v="0"/>
    <x v="0"/>
    <n v="0.25537047673750718"/>
  </r>
  <r>
    <s v="P227"/>
    <x v="1"/>
    <s v="2024-06-12"/>
    <x v="1"/>
    <s v="Check out our latest text on instagram!"/>
    <n v="246"/>
    <n v="149"/>
    <n v="130"/>
    <n v="4674"/>
    <n v="4390"/>
    <n v="217"/>
    <s v="FSDUpdate"/>
    <x v="1"/>
    <x v="0"/>
    <x v="0"/>
    <n v="0.11232349165596919"/>
  </r>
  <r>
    <s v="P228"/>
    <x v="1"/>
    <s v="2024-07-01"/>
    <x v="4"/>
    <s v="Check out our latest story on instagram!"/>
    <n v="4808"/>
    <n v="772"/>
    <n v="320"/>
    <n v="72120"/>
    <n v="71696"/>
    <n v="195"/>
    <s v="CybertruckLaunch"/>
    <x v="2"/>
    <x v="0"/>
    <x v="0"/>
    <n v="8.1808097615085965E-2"/>
  </r>
  <r>
    <s v="P229"/>
    <x v="1"/>
    <s v="2024-07-03"/>
    <x v="0"/>
    <s v="Check out our latest carousel on instagram!"/>
    <n v="4799"/>
    <n v="694"/>
    <n v="289"/>
    <n v="43191"/>
    <n v="42228"/>
    <n v="118"/>
    <m/>
    <x v="0"/>
    <x v="0"/>
    <x v="0"/>
    <n v="0.13387048227640017"/>
  </r>
  <r>
    <s v="P231"/>
    <x v="1"/>
    <s v="2025-05-01"/>
    <x v="1"/>
    <s v="Check out our latest text on instagram!"/>
    <n v="1430"/>
    <n v="376"/>
    <n v="33"/>
    <n v="21450"/>
    <n v="20509"/>
    <n v="251"/>
    <s v="CybertruckLaunch"/>
    <x v="1"/>
    <x v="0"/>
    <x v="0"/>
    <n v="8.5734265734265735E-2"/>
  </r>
  <r>
    <s v="P237"/>
    <x v="1"/>
    <s v="2024-10-22"/>
    <x v="4"/>
    <s v="Check out our latest story on instagram!"/>
    <n v="3770"/>
    <n v="917"/>
    <n v="129"/>
    <n v="71630"/>
    <n v="71322"/>
    <n v="76"/>
    <s v="CybertruckLaunch"/>
    <x v="1"/>
    <x v="0"/>
    <x v="0"/>
    <n v="6.7234398994834563E-2"/>
  </r>
  <r>
    <s v="P251"/>
    <x v="1"/>
    <s v="2025-03-27"/>
    <x v="0"/>
    <s v="Check out our latest carousel on instagram!"/>
    <n v="1377"/>
    <n v="796"/>
    <n v="387"/>
    <n v="22032"/>
    <n v="21869"/>
    <n v="189"/>
    <m/>
    <x v="1"/>
    <x v="0"/>
    <x v="0"/>
    <n v="0.11619462599854757"/>
  </r>
  <r>
    <s v="P258"/>
    <x v="1"/>
    <s v="2024-08-05"/>
    <x v="4"/>
    <s v="Check out our latest story on instagram!"/>
    <n v="3601"/>
    <n v="695"/>
    <n v="75"/>
    <n v="21606"/>
    <n v="21454"/>
    <n v="172"/>
    <s v="ModelYCampaign"/>
    <x v="2"/>
    <x v="0"/>
    <x v="0"/>
    <n v="0.2023049153013052"/>
  </r>
  <r>
    <s v="P260"/>
    <x v="1"/>
    <s v="2025-02-12"/>
    <x v="4"/>
    <s v="Check out our latest story on instagram!"/>
    <n v="4332"/>
    <n v="771"/>
    <n v="219"/>
    <n v="60648"/>
    <n v="60397"/>
    <n v="10"/>
    <s v="FSDUpdate"/>
    <x v="0"/>
    <x v="3"/>
    <x v="2"/>
    <n v="8.7752275425405618E-2"/>
  </r>
  <r>
    <s v="P261"/>
    <x v="1"/>
    <s v="2024-10-27"/>
    <x v="2"/>
    <s v="Check out our latest image on instagram!"/>
    <n v="4853"/>
    <n v="837"/>
    <n v="340"/>
    <n v="72795"/>
    <n v="72237"/>
    <n v="170"/>
    <s v="CybertruckLaunch"/>
    <x v="2"/>
    <x v="0"/>
    <x v="0"/>
    <n v="8.2835359571399134E-2"/>
  </r>
  <r>
    <s v="P263"/>
    <x v="1"/>
    <s v="2024-08-20"/>
    <x v="3"/>
    <s v="Check out our latest reel on instagram!"/>
    <n v="2603"/>
    <n v="690"/>
    <n v="205"/>
    <n v="13015"/>
    <n v="12130"/>
    <n v="20"/>
    <s v="ModelYCampaign"/>
    <x v="1"/>
    <x v="0"/>
    <x v="0"/>
    <n v="0.26876680752977333"/>
  </r>
  <r>
    <s v="P268"/>
    <x v="1"/>
    <s v="2025-04-13"/>
    <x v="3"/>
    <s v="Check out our latest reel on instagram!"/>
    <n v="4579"/>
    <n v="125"/>
    <n v="300"/>
    <n v="59527"/>
    <n v="59400"/>
    <n v="269"/>
    <s v="CybertruckLaunch"/>
    <x v="2"/>
    <x v="0"/>
    <x v="0"/>
    <n v="8.4062694239588759E-2"/>
  </r>
  <r>
    <s v="P269"/>
    <x v="1"/>
    <s v="2024-11-05"/>
    <x v="5"/>
    <s v="Check out our latest video on instagram!"/>
    <n v="4561"/>
    <n v="51"/>
    <n v="441"/>
    <n v="22805"/>
    <n v="21890"/>
    <n v="45"/>
    <s v="ModelYCampaign"/>
    <x v="0"/>
    <x v="0"/>
    <x v="0"/>
    <n v="0.22157421618066214"/>
  </r>
  <r>
    <s v="P271"/>
    <x v="1"/>
    <s v="2024-10-17"/>
    <x v="5"/>
    <s v="Check out our latest video on instagram!"/>
    <n v="3575"/>
    <n v="749"/>
    <n v="111"/>
    <n v="21450"/>
    <n v="20785"/>
    <n v="195"/>
    <s v="ModelYCampaign"/>
    <x v="2"/>
    <x v="0"/>
    <x v="0"/>
    <n v="0.20675990675990677"/>
  </r>
  <r>
    <s v="P272"/>
    <x v="1"/>
    <s v="2025-03-27"/>
    <x v="1"/>
    <s v="Check out our latest text on instagram!"/>
    <n v="4941"/>
    <n v="414"/>
    <n v="266"/>
    <n v="39528"/>
    <n v="39154"/>
    <n v="217"/>
    <s v="FSDUpdate"/>
    <x v="0"/>
    <x v="0"/>
    <x v="0"/>
    <n v="0.14220299534507186"/>
  </r>
  <r>
    <s v="P282"/>
    <x v="1"/>
    <s v="2024-10-03"/>
    <x v="5"/>
    <s v="Check out our latest video on instagram!"/>
    <n v="1488"/>
    <n v="417"/>
    <n v="168"/>
    <n v="19344"/>
    <n v="18395"/>
    <n v="30"/>
    <s v="FSDUpdate"/>
    <x v="1"/>
    <x v="0"/>
    <x v="0"/>
    <n v="0.1071650124069479"/>
  </r>
  <r>
    <s v="P287"/>
    <x v="1"/>
    <s v="2024-08-15"/>
    <x v="3"/>
    <s v="Check out our latest reel on instagram!"/>
    <n v="1164"/>
    <n v="616"/>
    <n v="324"/>
    <n v="6984"/>
    <n v="6636"/>
    <n v="82"/>
    <s v="CybertruckLaunch"/>
    <x v="2"/>
    <x v="0"/>
    <x v="0"/>
    <n v="0.30126002290950743"/>
  </r>
  <r>
    <s v="P290"/>
    <x v="1"/>
    <s v="2024-12-20"/>
    <x v="0"/>
    <s v="Check out our latest carousel on instagram!"/>
    <n v="2107"/>
    <n v="550"/>
    <n v="349"/>
    <n v="35819"/>
    <n v="35340"/>
    <n v="191"/>
    <s v="SustainabilityDrive"/>
    <x v="2"/>
    <x v="0"/>
    <x v="0"/>
    <n v="8.3921940869371006E-2"/>
  </r>
  <r>
    <s v="P001"/>
    <x v="2"/>
    <s v="2024-12-23"/>
    <x v="3"/>
    <s v="Check out our latest reel on twitter!"/>
    <n v="1461"/>
    <n v="184"/>
    <n v="344"/>
    <n v="21915"/>
    <n v="21675"/>
    <n v="15"/>
    <s v="CybertruckLaunch"/>
    <x v="1"/>
    <x v="1"/>
    <x v="0"/>
    <n v="9.0759753593429152E-2"/>
  </r>
  <r>
    <s v="P002"/>
    <x v="2"/>
    <s v="2025-04-03"/>
    <x v="1"/>
    <s v="Check out our latest text on twitter!"/>
    <n v="4054"/>
    <n v="389"/>
    <n v="493"/>
    <n v="64864"/>
    <n v="64383"/>
    <n v="117"/>
    <s v="ModelYCampaign"/>
    <x v="0"/>
    <x v="5"/>
    <x v="0"/>
    <n v="7.6097681302417369E-2"/>
  </r>
  <r>
    <s v="P007"/>
    <x v="2"/>
    <s v="2024-06-24"/>
    <x v="0"/>
    <s v="Check out our latest carousel on twitter!"/>
    <n v="3860"/>
    <n v="201"/>
    <n v="279"/>
    <n v="61760"/>
    <n v="61660"/>
    <n v="235"/>
    <s v="ModelYCampaign"/>
    <x v="0"/>
    <x v="0"/>
    <x v="0"/>
    <n v="7.0272020725388601E-2"/>
  </r>
  <r>
    <s v="P025"/>
    <x v="2"/>
    <s v="2025-04-10"/>
    <x v="0"/>
    <s v="Check out our latest carousel on twitter!"/>
    <n v="3128"/>
    <n v="211"/>
    <n v="197"/>
    <n v="59432"/>
    <n v="59182"/>
    <n v="238"/>
    <m/>
    <x v="2"/>
    <x v="0"/>
    <x v="0"/>
    <n v="5.9496567505720827E-2"/>
  </r>
  <r>
    <s v="P032"/>
    <x v="2"/>
    <s v="2024-07-31"/>
    <x v="0"/>
    <s v="Check out our latest carousel on twitter!"/>
    <n v="2278"/>
    <n v="10"/>
    <n v="321"/>
    <n v="13668"/>
    <n v="12676"/>
    <n v="275"/>
    <s v="CybertruckLaunch"/>
    <x v="2"/>
    <x v="0"/>
    <x v="0"/>
    <n v="0.19088381621305239"/>
  </r>
  <r>
    <s v="P040"/>
    <x v="2"/>
    <s v="2025-03-07"/>
    <x v="2"/>
    <s v="Check out our latest image on twitter!"/>
    <n v="4750"/>
    <n v="151"/>
    <n v="415"/>
    <n v="38000"/>
    <n v="37792"/>
    <n v="299"/>
    <s v="SustainabilityDrive"/>
    <x v="2"/>
    <x v="0"/>
    <x v="0"/>
    <n v="0.13989473684210527"/>
  </r>
  <r>
    <s v="P044"/>
    <x v="2"/>
    <s v="2025-03-02"/>
    <x v="2"/>
    <s v="Check out our latest image on twitter!"/>
    <n v="2358"/>
    <n v="784"/>
    <n v="344"/>
    <n v="35370"/>
    <n v="34475"/>
    <n v="216"/>
    <m/>
    <x v="0"/>
    <x v="0"/>
    <x v="0"/>
    <n v="9.8558100084817649E-2"/>
  </r>
  <r>
    <s v="P046"/>
    <x v="2"/>
    <s v="2025-05-02"/>
    <x v="5"/>
    <s v="Check out our latest video on twitter!"/>
    <n v="1108"/>
    <n v="177"/>
    <n v="212"/>
    <n v="8864"/>
    <n v="8710"/>
    <n v="97"/>
    <s v="SustainabilityDrive"/>
    <x v="0"/>
    <x v="0"/>
    <x v="0"/>
    <n v="0.16888537906137185"/>
  </r>
  <r>
    <s v="P047"/>
    <x v="2"/>
    <s v="2025-02-24"/>
    <x v="0"/>
    <s v="Check out our latest carousel on twitter!"/>
    <n v="2704"/>
    <n v="752"/>
    <n v="153"/>
    <n v="21632"/>
    <n v="20792"/>
    <n v="127"/>
    <m/>
    <x v="1"/>
    <x v="0"/>
    <x v="0"/>
    <n v="0.16683616863905326"/>
  </r>
  <r>
    <s v="P048"/>
    <x v="2"/>
    <s v="2025-03-11"/>
    <x v="4"/>
    <s v="Check out our latest story on twitter!"/>
    <n v="1950"/>
    <n v="295"/>
    <n v="478"/>
    <n v="37050"/>
    <n v="36272"/>
    <n v="119"/>
    <m/>
    <x v="0"/>
    <x v="0"/>
    <x v="0"/>
    <n v="7.349527665317139E-2"/>
  </r>
  <r>
    <s v="P049"/>
    <x v="2"/>
    <s v="2024-06-10"/>
    <x v="4"/>
    <s v="Check out our latest story on twitter!"/>
    <n v="2164"/>
    <n v="549"/>
    <n v="274"/>
    <n v="28132"/>
    <n v="27361"/>
    <n v="177"/>
    <s v="SustainabilityDrive"/>
    <x v="0"/>
    <x v="0"/>
    <x v="0"/>
    <n v="0.10617801791554102"/>
  </r>
  <r>
    <s v="P057"/>
    <x v="2"/>
    <s v="2024-10-21"/>
    <x v="5"/>
    <s v="Check out our latest video on twitter!"/>
    <n v="2825"/>
    <n v="535"/>
    <n v="295"/>
    <n v="45200"/>
    <n v="44739"/>
    <n v="169"/>
    <s v="CybertruckLaunch"/>
    <x v="0"/>
    <x v="0"/>
    <x v="0"/>
    <n v="8.0862831858407078E-2"/>
  </r>
  <r>
    <s v="P061"/>
    <x v="2"/>
    <s v="2024-09-05"/>
    <x v="5"/>
    <s v="Check out our latest video on twitter!"/>
    <n v="4886"/>
    <n v="983"/>
    <n v="409"/>
    <n v="43974"/>
    <n v="43239"/>
    <n v="65"/>
    <s v="CybertruckLaunch"/>
    <x v="0"/>
    <x v="0"/>
    <x v="0"/>
    <n v="0.14276618001546368"/>
  </r>
  <r>
    <s v="P062"/>
    <x v="2"/>
    <s v="2024-11-22"/>
    <x v="0"/>
    <s v="Check out our latest carousel on twitter!"/>
    <n v="53"/>
    <n v="81"/>
    <n v="379"/>
    <n v="954"/>
    <n v="7"/>
    <n v="148"/>
    <s v="FSDUpdate"/>
    <x v="0"/>
    <x v="0"/>
    <x v="0"/>
    <n v="0.53773584905660377"/>
  </r>
  <r>
    <s v="P063"/>
    <x v="2"/>
    <s v="2024-07-31"/>
    <x v="0"/>
    <s v="Check out our latest carousel on twitter!"/>
    <n v="4507"/>
    <n v="217"/>
    <n v="13"/>
    <n v="90140"/>
    <n v="89591"/>
    <n v="125"/>
    <s v="FSDUpdate"/>
    <x v="1"/>
    <x v="0"/>
    <x v="0"/>
    <n v="5.2551586421122697E-2"/>
  </r>
  <r>
    <s v="P066"/>
    <x v="2"/>
    <s v="2024-07-26"/>
    <x v="0"/>
    <s v="Check out our latest carousel on twitter!"/>
    <n v="432"/>
    <n v="171"/>
    <n v="280"/>
    <n v="3024"/>
    <n v="2285"/>
    <n v="184"/>
    <s v="CybertruckLaunch"/>
    <x v="2"/>
    <x v="0"/>
    <x v="0"/>
    <n v="0.29199735449735448"/>
  </r>
  <r>
    <s v="P069"/>
    <x v="2"/>
    <s v="2025-03-08"/>
    <x v="1"/>
    <s v="Check out our latest text on twitter!"/>
    <n v="1292"/>
    <n v="626"/>
    <n v="496"/>
    <n v="25840"/>
    <n v="24916"/>
    <n v="149"/>
    <s v="FSDUpdate"/>
    <x v="1"/>
    <x v="0"/>
    <x v="0"/>
    <n v="9.3421052631578946E-2"/>
  </r>
  <r>
    <s v="P076"/>
    <x v="2"/>
    <s v="2024-11-07"/>
    <x v="4"/>
    <s v="Check out our latest story on twitter!"/>
    <n v="1121"/>
    <n v="135"/>
    <n v="18"/>
    <n v="15694"/>
    <n v="14957"/>
    <n v="99"/>
    <s v="SustainabilityDrive"/>
    <x v="0"/>
    <x v="0"/>
    <x v="0"/>
    <n v="8.1177520071364848E-2"/>
  </r>
  <r>
    <s v="P078"/>
    <x v="2"/>
    <s v="2024-06-17"/>
    <x v="2"/>
    <s v="Check out our latest image on twitter!"/>
    <n v="954"/>
    <n v="324"/>
    <n v="288"/>
    <n v="19080"/>
    <n v="18859"/>
    <n v="21"/>
    <s v="SustainabilityDrive"/>
    <x v="1"/>
    <x v="0"/>
    <x v="0"/>
    <n v="8.2075471698113203E-2"/>
  </r>
  <r>
    <s v="P087"/>
    <x v="2"/>
    <s v="2024-06-06"/>
    <x v="5"/>
    <s v="Check out our latest video on twitter!"/>
    <n v="1436"/>
    <n v="765"/>
    <n v="496"/>
    <n v="12924"/>
    <n v="12701"/>
    <n v="197"/>
    <s v="FSDUpdate"/>
    <x v="1"/>
    <x v="0"/>
    <x v="0"/>
    <n v="0.20868152274837512"/>
  </r>
  <r>
    <s v="P089"/>
    <x v="2"/>
    <s v="2025-01-10"/>
    <x v="2"/>
    <s v="Check out our latest image on twitter!"/>
    <n v="2214"/>
    <n v="249"/>
    <n v="152"/>
    <n v="15498"/>
    <n v="14800"/>
    <n v="180"/>
    <m/>
    <x v="2"/>
    <x v="0"/>
    <x v="0"/>
    <n v="0.16873144921925409"/>
  </r>
  <r>
    <s v="P092"/>
    <x v="2"/>
    <s v="2024-10-21"/>
    <x v="4"/>
    <s v="Check out our latest story on twitter!"/>
    <n v="3801"/>
    <n v="967"/>
    <n v="401"/>
    <n v="38010"/>
    <n v="37625"/>
    <n v="236"/>
    <s v="FSDUpdate"/>
    <x v="1"/>
    <x v="0"/>
    <x v="0"/>
    <n v="0.13599052880820836"/>
  </r>
  <r>
    <s v="P096"/>
    <x v="2"/>
    <s v="2024-09-10"/>
    <x v="2"/>
    <s v="Check out our latest image on twitter!"/>
    <n v="1238"/>
    <n v="366"/>
    <n v="444"/>
    <n v="19808"/>
    <n v="19334"/>
    <n v="123"/>
    <m/>
    <x v="1"/>
    <x v="0"/>
    <x v="0"/>
    <n v="0.10339256865912763"/>
  </r>
  <r>
    <s v="P098"/>
    <x v="2"/>
    <s v="2024-06-10"/>
    <x v="4"/>
    <s v="Check out our latest story on twitter!"/>
    <n v="1575"/>
    <n v="771"/>
    <n v="486"/>
    <n v="25200"/>
    <n v="24826"/>
    <n v="17"/>
    <s v="SustainabilityDrive"/>
    <x v="1"/>
    <x v="0"/>
    <x v="0"/>
    <n v="0.11238095238095239"/>
  </r>
  <r>
    <s v="P102"/>
    <x v="2"/>
    <s v="2024-09-18"/>
    <x v="3"/>
    <s v="Check out our latest reel on twitter!"/>
    <n v="1000"/>
    <n v="978"/>
    <n v="162"/>
    <n v="6000"/>
    <n v="5221"/>
    <n v="223"/>
    <s v="ModelYCampaign"/>
    <x v="2"/>
    <x v="0"/>
    <x v="0"/>
    <n v="0.35666666666666669"/>
  </r>
  <r>
    <s v="P108"/>
    <x v="2"/>
    <s v="2025-03-25"/>
    <x v="5"/>
    <s v="Check out our latest video on twitter!"/>
    <n v="4050"/>
    <n v="871"/>
    <n v="347"/>
    <n v="52650"/>
    <n v="51755"/>
    <n v="209"/>
    <s v="ModelYCampaign"/>
    <x v="0"/>
    <x v="0"/>
    <x v="0"/>
    <n v="0.10005698005698006"/>
  </r>
  <r>
    <s v="P109"/>
    <x v="2"/>
    <s v="2024-08-08"/>
    <x v="4"/>
    <s v="Check out our latest story on twitter!"/>
    <n v="3649"/>
    <n v="215"/>
    <n v="413"/>
    <n v="25543"/>
    <n v="24963"/>
    <n v="167"/>
    <s v="FSDUpdate"/>
    <x v="1"/>
    <x v="0"/>
    <x v="0"/>
    <n v="0.16744313510550835"/>
  </r>
  <r>
    <s v="P112"/>
    <x v="2"/>
    <s v="2024-10-05"/>
    <x v="4"/>
    <s v="Check out our latest story on twitter!"/>
    <n v="1957"/>
    <n v="877"/>
    <n v="238"/>
    <n v="17613"/>
    <n v="16865"/>
    <n v="297"/>
    <s v="FSDUpdate"/>
    <x v="1"/>
    <x v="0"/>
    <x v="0"/>
    <n v="0.17441662408448305"/>
  </r>
  <r>
    <s v="P113"/>
    <x v="2"/>
    <s v="2024-10-02"/>
    <x v="0"/>
    <s v="Check out our latest carousel on twitter!"/>
    <n v="4419"/>
    <n v="236"/>
    <n v="369"/>
    <n v="44190"/>
    <n v="43582"/>
    <n v="10"/>
    <s v="CybertruckLaunch"/>
    <x v="2"/>
    <x v="0"/>
    <x v="0"/>
    <n v="0.11369088028965829"/>
  </r>
  <r>
    <s v="P114"/>
    <x v="2"/>
    <s v="2024-11-14"/>
    <x v="4"/>
    <s v="Check out our latest story on twitter!"/>
    <n v="4000"/>
    <n v="689"/>
    <n v="488"/>
    <n v="40000"/>
    <n v="39569"/>
    <n v="44"/>
    <s v="CybertruckLaunch"/>
    <x v="1"/>
    <x v="0"/>
    <x v="0"/>
    <n v="0.12942500000000001"/>
  </r>
  <r>
    <s v="P115"/>
    <x v="2"/>
    <s v="2025-05-11"/>
    <x v="2"/>
    <s v="Check out our latest image on twitter!"/>
    <n v="2493"/>
    <n v="97"/>
    <n v="44"/>
    <n v="42381"/>
    <n v="41991"/>
    <n v="242"/>
    <s v="SustainabilityDrive"/>
    <x v="0"/>
    <x v="1"/>
    <x v="0"/>
    <n v="6.2150491965739366E-2"/>
  </r>
  <r>
    <s v="P117"/>
    <x v="2"/>
    <s v="2024-11-04"/>
    <x v="2"/>
    <s v="Check out our latest image on twitter!"/>
    <n v="1606"/>
    <n v="451"/>
    <n v="405"/>
    <n v="20878"/>
    <n v="20190"/>
    <n v="219"/>
    <s v="SustainabilityDrive"/>
    <x v="2"/>
    <x v="0"/>
    <x v="0"/>
    <n v="0.11792317271769326"/>
  </r>
  <r>
    <s v="P125"/>
    <x v="2"/>
    <s v="2024-09-08"/>
    <x v="0"/>
    <s v="Check out our latest carousel on twitter!"/>
    <n v="3811"/>
    <n v="866"/>
    <n v="216"/>
    <n v="34299"/>
    <n v="34088"/>
    <n v="233"/>
    <s v="SustainabilityDrive"/>
    <x v="0"/>
    <x v="0"/>
    <x v="0"/>
    <n v="0.14265722032712325"/>
  </r>
  <r>
    <s v="P128"/>
    <x v="2"/>
    <s v="2025-01-10"/>
    <x v="2"/>
    <s v="Check out our latest image on twitter!"/>
    <n v="3092"/>
    <n v="106"/>
    <n v="291"/>
    <n v="27828"/>
    <n v="27217"/>
    <n v="102"/>
    <m/>
    <x v="1"/>
    <x v="0"/>
    <x v="0"/>
    <n v="0.12537731780940059"/>
  </r>
  <r>
    <s v="P129"/>
    <x v="2"/>
    <s v="2024-07-21"/>
    <x v="1"/>
    <s v="Check out our latest text on twitter!"/>
    <n v="2147"/>
    <n v="430"/>
    <n v="393"/>
    <n v="17176"/>
    <n v="16483"/>
    <n v="170"/>
    <m/>
    <x v="0"/>
    <x v="0"/>
    <x v="0"/>
    <n v="0.17291569632044715"/>
  </r>
  <r>
    <s v="P134"/>
    <x v="2"/>
    <s v="2025-04-24"/>
    <x v="3"/>
    <s v="Check out our latest reel on twitter!"/>
    <n v="3731"/>
    <n v="115"/>
    <n v="135"/>
    <n v="55965"/>
    <n v="55436"/>
    <n v="103"/>
    <s v="CybertruckLaunch"/>
    <x v="0"/>
    <x v="0"/>
    <x v="0"/>
    <n v="7.1133744304476013E-2"/>
  </r>
  <r>
    <s v="P138"/>
    <x v="2"/>
    <s v="2025-03-29"/>
    <x v="2"/>
    <s v="Check out our latest image on twitter!"/>
    <n v="305"/>
    <n v="187"/>
    <n v="243"/>
    <n v="4575"/>
    <n v="3704"/>
    <n v="234"/>
    <s v="FSDUpdate"/>
    <x v="1"/>
    <x v="0"/>
    <x v="0"/>
    <n v="0.16065573770491803"/>
  </r>
  <r>
    <s v="P141"/>
    <x v="2"/>
    <s v="2024-08-31"/>
    <x v="2"/>
    <s v="Check out our latest image on twitter!"/>
    <n v="3170"/>
    <n v="857"/>
    <n v="379"/>
    <n v="19020"/>
    <n v="18559"/>
    <n v="240"/>
    <m/>
    <x v="1"/>
    <x v="0"/>
    <x v="0"/>
    <n v="0.2316508937960042"/>
  </r>
  <r>
    <s v="P149"/>
    <x v="2"/>
    <s v="2024-06-16"/>
    <x v="5"/>
    <s v="Check out our latest video on twitter!"/>
    <n v="1702"/>
    <n v="750"/>
    <n v="179"/>
    <n v="34040"/>
    <n v="33174"/>
    <n v="76"/>
    <s v="CybertruckLaunch"/>
    <x v="2"/>
    <x v="0"/>
    <x v="0"/>
    <n v="7.7291421856639245E-2"/>
  </r>
  <r>
    <s v="P153"/>
    <x v="2"/>
    <s v="2025-01-01"/>
    <x v="5"/>
    <s v="Check out our latest video on twitter!"/>
    <n v="754"/>
    <n v="197"/>
    <n v="257"/>
    <n v="6786"/>
    <n v="6221"/>
    <n v="212"/>
    <s v="FSDUpdate"/>
    <x v="0"/>
    <x v="0"/>
    <x v="0"/>
    <n v="0.17801355732390214"/>
  </r>
  <r>
    <s v="P160"/>
    <x v="2"/>
    <s v="2024-08-24"/>
    <x v="5"/>
    <s v="Check out our latest video on twitter!"/>
    <n v="1082"/>
    <n v="209"/>
    <n v="484"/>
    <n v="19476"/>
    <n v="18654"/>
    <n v="20"/>
    <m/>
    <x v="0"/>
    <x v="0"/>
    <x v="0"/>
    <n v="9.1137810638734856E-2"/>
  </r>
  <r>
    <s v="P161"/>
    <x v="2"/>
    <s v="2025-02-19"/>
    <x v="1"/>
    <s v="Check out our latest text on twitter!"/>
    <n v="4671"/>
    <n v="876"/>
    <n v="366"/>
    <n v="51381"/>
    <n v="50565"/>
    <n v="245"/>
    <s v="SustainabilityDrive"/>
    <x v="0"/>
    <x v="0"/>
    <x v="0"/>
    <n v="0.11508145034156594"/>
  </r>
  <r>
    <s v="P165"/>
    <x v="2"/>
    <s v="2024-12-11"/>
    <x v="1"/>
    <s v="Check out our latest text on twitter!"/>
    <n v="3239"/>
    <n v="43"/>
    <n v="211"/>
    <n v="22673"/>
    <n v="22171"/>
    <n v="230"/>
    <s v="ModelYCampaign"/>
    <x v="0"/>
    <x v="0"/>
    <x v="0"/>
    <n v="0.15405989502933004"/>
  </r>
  <r>
    <s v="P166"/>
    <x v="2"/>
    <s v="2025-02-16"/>
    <x v="3"/>
    <s v="Check out our latest reel on twitter!"/>
    <n v="1076"/>
    <n v="313"/>
    <n v="306"/>
    <n v="11836"/>
    <n v="11596"/>
    <n v="104"/>
    <s v="CybertruckLaunch"/>
    <x v="1"/>
    <x v="0"/>
    <x v="0"/>
    <n v="0.14320716458262928"/>
  </r>
  <r>
    <s v="P170"/>
    <x v="2"/>
    <s v="2025-04-28"/>
    <x v="1"/>
    <s v="Check out our latest text on twitter!"/>
    <n v="3577"/>
    <n v="596"/>
    <n v="493"/>
    <n v="67963"/>
    <n v="67839"/>
    <n v="53"/>
    <s v="FSDUpdate"/>
    <x v="0"/>
    <x v="0"/>
    <x v="0"/>
    <n v="6.8655003457763777E-2"/>
  </r>
  <r>
    <s v="P173"/>
    <x v="2"/>
    <s v="2024-12-05"/>
    <x v="5"/>
    <s v="Check out our latest video on twitter!"/>
    <n v="1330"/>
    <n v="925"/>
    <n v="35"/>
    <n v="15960"/>
    <n v="15379"/>
    <n v="229"/>
    <s v="FSDUpdate"/>
    <x v="1"/>
    <x v="0"/>
    <x v="0"/>
    <n v="0.14348370927318296"/>
  </r>
  <r>
    <s v="P184"/>
    <x v="2"/>
    <s v="2024-07-28"/>
    <x v="2"/>
    <s v="Check out our latest image on twitter!"/>
    <n v="3215"/>
    <n v="960"/>
    <n v="202"/>
    <n v="32150"/>
    <n v="31404"/>
    <n v="251"/>
    <s v="CybertruckLaunch"/>
    <x v="2"/>
    <x v="0"/>
    <x v="0"/>
    <n v="0.13614307931570763"/>
  </r>
  <r>
    <s v="P187"/>
    <x v="2"/>
    <s v="2024-12-22"/>
    <x v="3"/>
    <s v="Check out our latest reel on twitter!"/>
    <n v="1644"/>
    <n v="546"/>
    <n v="150"/>
    <n v="27948"/>
    <n v="27184"/>
    <n v="300"/>
    <s v="FSDUpdate"/>
    <x v="2"/>
    <x v="0"/>
    <x v="0"/>
    <n v="8.3726921425504502E-2"/>
  </r>
  <r>
    <s v="P193"/>
    <x v="2"/>
    <s v="2024-09-11"/>
    <x v="2"/>
    <s v="Check out our latest image on twitter!"/>
    <n v="4858"/>
    <n v="317"/>
    <n v="129"/>
    <n v="53438"/>
    <n v="52687"/>
    <n v="223"/>
    <s v="FSDUpdate"/>
    <x v="2"/>
    <x v="0"/>
    <x v="0"/>
    <n v="9.9255211647142488E-2"/>
  </r>
  <r>
    <s v="P197"/>
    <x v="2"/>
    <s v="2024-10-22"/>
    <x v="3"/>
    <s v="Check out our latest reel on twitter!"/>
    <n v="4782"/>
    <n v="721"/>
    <n v="82"/>
    <n v="86076"/>
    <n v="85339"/>
    <n v="19"/>
    <s v="CybertruckLaunch"/>
    <x v="2"/>
    <x v="0"/>
    <x v="0"/>
    <n v="6.4884520656164318E-2"/>
  </r>
  <r>
    <s v="P198"/>
    <x v="2"/>
    <s v="2024-09-14"/>
    <x v="2"/>
    <s v="Check out our latest image on twitter!"/>
    <n v="1048"/>
    <n v="374"/>
    <n v="450"/>
    <n v="9432"/>
    <n v="8882"/>
    <n v="158"/>
    <s v="FSDUpdate"/>
    <x v="0"/>
    <x v="0"/>
    <x v="0"/>
    <n v="0.19847328244274809"/>
  </r>
  <r>
    <s v="P201"/>
    <x v="2"/>
    <s v="2025-01-15"/>
    <x v="3"/>
    <s v="Check out our latest reel on twitter!"/>
    <n v="802"/>
    <n v="262"/>
    <n v="244"/>
    <n v="14436"/>
    <n v="14280"/>
    <n v="49"/>
    <s v="CybertruckLaunch"/>
    <x v="2"/>
    <x v="0"/>
    <x v="0"/>
    <n v="9.0606816292601824E-2"/>
  </r>
  <r>
    <s v="P205"/>
    <x v="2"/>
    <s v="2025-04-24"/>
    <x v="5"/>
    <s v="Check out our latest video on twitter!"/>
    <n v="3820"/>
    <n v="697"/>
    <n v="268"/>
    <n v="45840"/>
    <n v="45631"/>
    <n v="171"/>
    <s v="SustainabilityDrive"/>
    <x v="0"/>
    <x v="2"/>
    <x v="0"/>
    <n v="0.1043848167539267"/>
  </r>
  <r>
    <s v="P206"/>
    <x v="2"/>
    <s v="2024-06-24"/>
    <x v="1"/>
    <s v="Check out our latest text on twitter!"/>
    <n v="941"/>
    <n v="121"/>
    <n v="458"/>
    <n v="14115"/>
    <n v="13838"/>
    <n v="87"/>
    <s v="CybertruckLaunch"/>
    <x v="2"/>
    <x v="0"/>
    <x v="0"/>
    <n v="0.10768685795253277"/>
  </r>
  <r>
    <s v="P207"/>
    <x v="2"/>
    <s v="2024-12-29"/>
    <x v="0"/>
    <s v="Check out our latest carousel on twitter!"/>
    <n v="4274"/>
    <n v="340"/>
    <n v="281"/>
    <n v="34192"/>
    <n v="33446"/>
    <n v="129"/>
    <s v="FSDUpdate"/>
    <x v="0"/>
    <x v="2"/>
    <x v="0"/>
    <n v="0.14316214319138981"/>
  </r>
  <r>
    <s v="P209"/>
    <x v="2"/>
    <s v="2025-03-19"/>
    <x v="5"/>
    <s v="Check out our latest video on twitter!"/>
    <n v="3160"/>
    <n v="204"/>
    <n v="297"/>
    <n v="44240"/>
    <n v="43666"/>
    <n v="49"/>
    <s v="SustainabilityDrive"/>
    <x v="1"/>
    <x v="1"/>
    <x v="0"/>
    <n v="8.2753164556962022E-2"/>
  </r>
  <r>
    <s v="P211"/>
    <x v="2"/>
    <s v="2024-07-18"/>
    <x v="0"/>
    <s v="Check out our latest carousel on twitter!"/>
    <n v="2120"/>
    <n v="38"/>
    <n v="212"/>
    <n v="12720"/>
    <n v="12564"/>
    <n v="21"/>
    <s v="SustainabilityDrive"/>
    <x v="1"/>
    <x v="0"/>
    <x v="0"/>
    <n v="0.18632075471698112"/>
  </r>
  <r>
    <s v="P219"/>
    <x v="2"/>
    <s v="2025-01-28"/>
    <x v="3"/>
    <s v="Check out our latest reel on twitter!"/>
    <n v="1188"/>
    <n v="470"/>
    <n v="174"/>
    <n v="7128"/>
    <n v="6145"/>
    <n v="270"/>
    <s v="SustainabilityDrive"/>
    <x v="0"/>
    <x v="0"/>
    <x v="0"/>
    <n v="0.25701459034792368"/>
  </r>
  <r>
    <s v="P223"/>
    <x v="2"/>
    <s v="2024-11-12"/>
    <x v="2"/>
    <s v="Check out our latest image on twitter!"/>
    <n v="3338"/>
    <n v="277"/>
    <n v="118"/>
    <n v="60084"/>
    <n v="59842"/>
    <n v="252"/>
    <m/>
    <x v="0"/>
    <x v="0"/>
    <x v="0"/>
    <n v="6.2129685107516146E-2"/>
  </r>
  <r>
    <s v="P225"/>
    <x v="2"/>
    <s v="2024-06-20"/>
    <x v="0"/>
    <s v="Check out our latest carousel on twitter!"/>
    <n v="4672"/>
    <n v="325"/>
    <n v="32"/>
    <n v="88768"/>
    <n v="87833"/>
    <n v="118"/>
    <m/>
    <x v="2"/>
    <x v="0"/>
    <x v="0"/>
    <n v="5.6653298485940883E-2"/>
  </r>
  <r>
    <s v="P232"/>
    <x v="2"/>
    <s v="2025-04-29"/>
    <x v="4"/>
    <s v="Check out our latest story on twitter!"/>
    <n v="249"/>
    <n v="592"/>
    <n v="230"/>
    <n v="1494"/>
    <n v="1044"/>
    <n v="201"/>
    <s v="SustainabilityDrive"/>
    <x v="2"/>
    <x v="0"/>
    <x v="0"/>
    <n v="0.7168674698795181"/>
  </r>
  <r>
    <s v="P238"/>
    <x v="2"/>
    <s v="2024-07-16"/>
    <x v="1"/>
    <s v="Check out our latest text on twitter!"/>
    <n v="4725"/>
    <n v="400"/>
    <n v="362"/>
    <n v="75600"/>
    <n v="74927"/>
    <n v="43"/>
    <s v="SustainabilityDrive"/>
    <x v="1"/>
    <x v="0"/>
    <x v="0"/>
    <n v="7.2579365079365077E-2"/>
  </r>
  <r>
    <s v="P240"/>
    <x v="2"/>
    <s v="2024-08-26"/>
    <x v="0"/>
    <s v="Check out our latest carousel on twitter!"/>
    <n v="929"/>
    <n v="192"/>
    <n v="322"/>
    <n v="16722"/>
    <n v="15996"/>
    <n v="145"/>
    <s v="FSDUpdate"/>
    <x v="2"/>
    <x v="4"/>
    <x v="3"/>
    <n v="8.6293505561535699E-2"/>
  </r>
  <r>
    <s v="P243"/>
    <x v="2"/>
    <s v="2025-03-06"/>
    <x v="2"/>
    <s v="Check out our latest image on twitter!"/>
    <n v="3592"/>
    <n v="911"/>
    <n v="375"/>
    <n v="50288"/>
    <n v="49490"/>
    <n v="32"/>
    <s v="SustainabilityDrive"/>
    <x v="1"/>
    <x v="0"/>
    <x v="0"/>
    <n v="9.7001272669424113E-2"/>
  </r>
  <r>
    <s v="P249"/>
    <x v="2"/>
    <s v="2024-07-18"/>
    <x v="2"/>
    <s v="Check out our latest image on twitter!"/>
    <n v="827"/>
    <n v="77"/>
    <n v="402"/>
    <n v="14886"/>
    <n v="14129"/>
    <n v="254"/>
    <s v="ModelYCampaign"/>
    <x v="2"/>
    <x v="0"/>
    <x v="0"/>
    <n v="8.7733440816874911E-2"/>
  </r>
  <r>
    <s v="P253"/>
    <x v="2"/>
    <s v="2024-08-03"/>
    <x v="3"/>
    <s v="Check out our latest reel on twitter!"/>
    <n v="3791"/>
    <n v="593"/>
    <n v="228"/>
    <n v="53074"/>
    <n v="52613"/>
    <n v="205"/>
    <m/>
    <x v="2"/>
    <x v="0"/>
    <x v="0"/>
    <n v="8.6897539284772202E-2"/>
  </r>
  <r>
    <s v="P254"/>
    <x v="2"/>
    <s v="2025-01-14"/>
    <x v="2"/>
    <s v="Check out our latest image on twitter!"/>
    <n v="2692"/>
    <n v="115"/>
    <n v="64"/>
    <n v="21536"/>
    <n v="21120"/>
    <n v="224"/>
    <s v="ModelYCampaign"/>
    <x v="1"/>
    <x v="0"/>
    <x v="0"/>
    <n v="0.13331166419019316"/>
  </r>
  <r>
    <s v="P264"/>
    <x v="2"/>
    <s v="2025-01-30"/>
    <x v="2"/>
    <s v="Check out our latest image on twitter!"/>
    <n v="59"/>
    <n v="163"/>
    <n v="93"/>
    <n v="590"/>
    <n v="475"/>
    <n v="293"/>
    <s v="ModelYCampaign"/>
    <x v="0"/>
    <x v="0"/>
    <x v="0"/>
    <n v="0.53389830508474578"/>
  </r>
  <r>
    <s v="P265"/>
    <x v="2"/>
    <s v="2025-02-20"/>
    <x v="0"/>
    <s v="Check out our latest carousel on twitter!"/>
    <n v="1877"/>
    <n v="745"/>
    <n v="225"/>
    <n v="11262"/>
    <n v="10967"/>
    <n v="41"/>
    <s v="SustainabilityDrive"/>
    <x v="2"/>
    <x v="0"/>
    <x v="0"/>
    <n v="0.25279701651571657"/>
  </r>
  <r>
    <s v="P267"/>
    <x v="2"/>
    <s v="2024-10-04"/>
    <x v="3"/>
    <s v="Check out our latest reel on twitter!"/>
    <n v="4187"/>
    <n v="66"/>
    <n v="31"/>
    <n v="66992"/>
    <n v="66614"/>
    <n v="62"/>
    <m/>
    <x v="1"/>
    <x v="0"/>
    <x v="0"/>
    <n v="6.3947934081681396E-2"/>
  </r>
  <r>
    <s v="P274"/>
    <x v="2"/>
    <s v="2025-01-01"/>
    <x v="0"/>
    <s v="Check out our latest carousel on twitter!"/>
    <n v="3535"/>
    <n v="494"/>
    <n v="152"/>
    <n v="53025"/>
    <n v="52791"/>
    <n v="44"/>
    <s v="SustainabilityDrive"/>
    <x v="0"/>
    <x v="0"/>
    <x v="0"/>
    <n v="7.8849599245638849E-2"/>
  </r>
  <r>
    <s v="P276"/>
    <x v="2"/>
    <s v="2024-06-07"/>
    <x v="0"/>
    <s v="Check out our latest carousel on twitter!"/>
    <n v="1556"/>
    <n v="195"/>
    <n v="131"/>
    <n v="9336"/>
    <n v="8875"/>
    <n v="137"/>
    <s v="ModelYCampaign"/>
    <x v="0"/>
    <x v="0"/>
    <x v="0"/>
    <n v="0.2015852613538989"/>
  </r>
  <r>
    <s v="P278"/>
    <x v="2"/>
    <s v="2024-11-26"/>
    <x v="1"/>
    <s v="Check out our latest text on twitter!"/>
    <n v="4516"/>
    <n v="836"/>
    <n v="169"/>
    <n v="49676"/>
    <n v="49257"/>
    <n v="282"/>
    <s v="SustainabilityDrive"/>
    <x v="2"/>
    <x v="0"/>
    <x v="0"/>
    <n v="0.11114018842096787"/>
  </r>
  <r>
    <s v="P283"/>
    <x v="2"/>
    <s v="2025-05-09"/>
    <x v="3"/>
    <s v="Check out our latest reel on twitter!"/>
    <n v="3367"/>
    <n v="302"/>
    <n v="57"/>
    <n v="63973"/>
    <n v="63789"/>
    <n v="157"/>
    <s v="ModelYCampaign"/>
    <x v="1"/>
    <x v="0"/>
    <x v="0"/>
    <n v="5.8243321401216137E-2"/>
  </r>
  <r>
    <s v="P284"/>
    <x v="2"/>
    <s v="2024-09-17"/>
    <x v="1"/>
    <s v="Check out our latest text on twitter!"/>
    <n v="571"/>
    <n v="190"/>
    <n v="352"/>
    <n v="9707"/>
    <n v="9418"/>
    <n v="231"/>
    <s v="SustainabilityDrive"/>
    <x v="0"/>
    <x v="0"/>
    <x v="0"/>
    <n v="0.11465952405480581"/>
  </r>
  <r>
    <s v="P295"/>
    <x v="2"/>
    <s v="2025-05-06"/>
    <x v="2"/>
    <s v="Check out our latest image on twitter!"/>
    <n v="1952"/>
    <n v="344"/>
    <n v="287"/>
    <n v="15616"/>
    <n v="15403"/>
    <n v="235"/>
    <s v="ModelYCampaign"/>
    <x v="1"/>
    <x v="4"/>
    <x v="3"/>
    <n v="0.16540727459016394"/>
  </r>
  <r>
    <s v="P296"/>
    <x v="2"/>
    <s v="2025-02-11"/>
    <x v="5"/>
    <s v="Check out our latest video on twitter!"/>
    <n v="3440"/>
    <n v="13"/>
    <n v="20"/>
    <n v="58480"/>
    <n v="58146"/>
    <n v="210"/>
    <s v="SustainabilityDrive"/>
    <x v="0"/>
    <x v="2"/>
    <x v="0"/>
    <n v="5.9387824897400819E-2"/>
  </r>
  <r>
    <s v="P297"/>
    <x v="2"/>
    <s v="2024-12-24"/>
    <x v="1"/>
    <s v="Check out our latest text on twitter!"/>
    <n v="2166"/>
    <n v="354"/>
    <n v="117"/>
    <n v="10830"/>
    <n v="10245"/>
    <n v="24"/>
    <s v="SustainabilityDrive"/>
    <x v="2"/>
    <x v="0"/>
    <x v="0"/>
    <n v="0.24349030470914126"/>
  </r>
  <r>
    <s v="P300"/>
    <x v="2"/>
    <s v="2024-08-31"/>
    <x v="0"/>
    <s v="Check out our latest carousel on twitter!"/>
    <n v="4494"/>
    <n v="717"/>
    <n v="45"/>
    <n v="62916"/>
    <n v="62688"/>
    <n v="191"/>
    <s v="CybertruckLaunch"/>
    <x v="0"/>
    <x v="3"/>
    <x v="2"/>
    <n v="8.3539958039290485E-2"/>
  </r>
  <r>
    <s v="P003"/>
    <x v="3"/>
    <s v="2025-05-12"/>
    <x v="3"/>
    <s v="Check out our latest reel on youtube!"/>
    <n v="2795"/>
    <n v="105"/>
    <n v="49"/>
    <n v="53105"/>
    <n v="52307"/>
    <n v="204"/>
    <s v="FSDUpdate"/>
    <x v="0"/>
    <x v="0"/>
    <x v="0"/>
    <n v="5.5531494209584788E-2"/>
  </r>
  <r>
    <s v="P005"/>
    <x v="3"/>
    <s v="2024-06-26"/>
    <x v="3"/>
    <s v="Check out our latest reel on youtube!"/>
    <n v="3557"/>
    <n v="687"/>
    <n v="424"/>
    <n v="71140"/>
    <n v="70701"/>
    <n v="224"/>
    <s v="CybertruckLaunch"/>
    <x v="2"/>
    <x v="4"/>
    <x v="0"/>
    <n v="6.5617093055946027E-2"/>
  </r>
  <r>
    <s v="P008"/>
    <x v="3"/>
    <s v="2024-07-13"/>
    <x v="2"/>
    <s v="Check out our latest image on youtube!"/>
    <n v="3929"/>
    <n v="262"/>
    <n v="278"/>
    <n v="43219"/>
    <n v="42841"/>
    <n v="39"/>
    <s v="SustainabilityDrive"/>
    <x v="2"/>
    <x v="0"/>
    <x v="0"/>
    <n v="0.10340359564080613"/>
  </r>
  <r>
    <s v="P013"/>
    <x v="3"/>
    <s v="2024-11-18"/>
    <x v="0"/>
    <s v="Check out our latest carousel on youtube!"/>
    <n v="1171"/>
    <n v="286"/>
    <n v="231"/>
    <n v="22249"/>
    <n v="21282"/>
    <n v="114"/>
    <s v="CybertruckLaunch"/>
    <x v="2"/>
    <x v="0"/>
    <x v="0"/>
    <n v="7.5868578363072495E-2"/>
  </r>
  <r>
    <s v="P026"/>
    <x v="3"/>
    <s v="2025-04-05"/>
    <x v="3"/>
    <s v="Check out our latest reel on youtube!"/>
    <n v="3009"/>
    <n v="413"/>
    <n v="358"/>
    <n v="42126"/>
    <n v="41309"/>
    <n v="211"/>
    <s v="ModelYCampaign"/>
    <x v="1"/>
    <x v="0"/>
    <x v="0"/>
    <n v="8.9730807577268201E-2"/>
  </r>
  <r>
    <s v="P027"/>
    <x v="3"/>
    <s v="2024-09-17"/>
    <x v="1"/>
    <s v="Check out our latest text on youtube!"/>
    <n v="2076"/>
    <n v="195"/>
    <n v="104"/>
    <n v="33216"/>
    <n v="32244"/>
    <n v="51"/>
    <s v="SustainabilityDrive"/>
    <x v="1"/>
    <x v="0"/>
    <x v="0"/>
    <n v="7.1501685934489398E-2"/>
  </r>
  <r>
    <s v="P038"/>
    <x v="3"/>
    <s v="2025-02-17"/>
    <x v="3"/>
    <s v="Check out our latest reel on youtube!"/>
    <n v="3138"/>
    <n v="123"/>
    <n v="291"/>
    <n v="28242"/>
    <n v="27550"/>
    <n v="87"/>
    <s v="SustainabilityDrive"/>
    <x v="0"/>
    <x v="0"/>
    <x v="0"/>
    <n v="0.12577012959422137"/>
  </r>
  <r>
    <s v="P042"/>
    <x v="3"/>
    <s v="2025-03-05"/>
    <x v="3"/>
    <s v="Check out our latest reel on youtube!"/>
    <n v="1543"/>
    <n v="820"/>
    <n v="333"/>
    <n v="12344"/>
    <n v="11496"/>
    <n v="241"/>
    <m/>
    <x v="2"/>
    <x v="0"/>
    <x v="0"/>
    <n v="0.21840570317563188"/>
  </r>
  <r>
    <s v="P050"/>
    <x v="3"/>
    <s v="2024-07-03"/>
    <x v="4"/>
    <s v="Check out our latest story on youtube!"/>
    <n v="2754"/>
    <n v="130"/>
    <n v="90"/>
    <n v="22032"/>
    <n v="21288"/>
    <n v="112"/>
    <s v="FSDUpdate"/>
    <x v="0"/>
    <x v="0"/>
    <x v="0"/>
    <n v="0.13498547567175018"/>
  </r>
  <r>
    <s v="P053"/>
    <x v="3"/>
    <s v="2025-02-24"/>
    <x v="0"/>
    <s v="Check out our latest carousel on youtube!"/>
    <n v="804"/>
    <n v="639"/>
    <n v="43"/>
    <n v="4020"/>
    <n v="3144"/>
    <n v="11"/>
    <m/>
    <x v="2"/>
    <x v="5"/>
    <x v="0"/>
    <n v="0.36965174129353234"/>
  </r>
  <r>
    <s v="P054"/>
    <x v="3"/>
    <s v="2025-03-13"/>
    <x v="0"/>
    <s v="Check out our latest carousel on youtube!"/>
    <n v="1686"/>
    <n v="904"/>
    <n v="472"/>
    <n v="18546"/>
    <n v="18171"/>
    <n v="52"/>
    <s v="ModelYCampaign"/>
    <x v="1"/>
    <x v="0"/>
    <x v="0"/>
    <n v="0.16510298716704411"/>
  </r>
  <r>
    <s v="P071"/>
    <x v="3"/>
    <s v="2024-09-02"/>
    <x v="0"/>
    <s v="Check out our latest carousel on youtube!"/>
    <n v="2551"/>
    <n v="915"/>
    <n v="205"/>
    <n v="30612"/>
    <n v="30360"/>
    <n v="227"/>
    <s v="ModelYCampaign"/>
    <x v="0"/>
    <x v="0"/>
    <x v="0"/>
    <n v="0.1199202926956749"/>
  </r>
  <r>
    <s v="P072"/>
    <x v="3"/>
    <s v="2025-03-03"/>
    <x v="3"/>
    <s v="Check out our latest reel on youtube!"/>
    <n v="296"/>
    <n v="60"/>
    <n v="141"/>
    <n v="5624"/>
    <n v="5239"/>
    <n v="88"/>
    <s v="ModelYCampaign"/>
    <x v="2"/>
    <x v="0"/>
    <x v="0"/>
    <n v="8.837126600284495E-2"/>
  </r>
  <r>
    <s v="P074"/>
    <x v="3"/>
    <s v="2024-10-28"/>
    <x v="3"/>
    <s v="Check out our latest reel on youtube!"/>
    <n v="1855"/>
    <n v="200"/>
    <n v="174"/>
    <n v="16695"/>
    <n v="16330"/>
    <n v="123"/>
    <s v="FSDUpdate"/>
    <x v="0"/>
    <x v="0"/>
    <x v="0"/>
    <n v="0.13351302785265048"/>
  </r>
  <r>
    <s v="P083"/>
    <x v="3"/>
    <s v="2024-10-15"/>
    <x v="5"/>
    <s v="Check out our latest video on youtube!"/>
    <n v="1094"/>
    <n v="472"/>
    <n v="21"/>
    <n v="9846"/>
    <n v="9609"/>
    <n v="112"/>
    <m/>
    <x v="2"/>
    <x v="0"/>
    <x v="0"/>
    <n v="0.16118220597196831"/>
  </r>
  <r>
    <s v="P086"/>
    <x v="3"/>
    <s v="2025-01-27"/>
    <x v="1"/>
    <s v="Check out our latest text on youtube!"/>
    <n v="3428"/>
    <n v="305"/>
    <n v="85"/>
    <n v="58276"/>
    <n v="58052"/>
    <n v="242"/>
    <s v="SustainabilityDrive"/>
    <x v="2"/>
    <x v="5"/>
    <x v="0"/>
    <n v="6.5515821264328367E-2"/>
  </r>
  <r>
    <s v="P099"/>
    <x v="3"/>
    <s v="2024-07-02"/>
    <x v="0"/>
    <s v="Check out our latest carousel on youtube!"/>
    <n v="4171"/>
    <n v="548"/>
    <n v="86"/>
    <n v="66736"/>
    <n v="66634"/>
    <n v="173"/>
    <s v="FSDUpdate"/>
    <x v="1"/>
    <x v="0"/>
    <x v="0"/>
    <n v="7.2000119875329657E-2"/>
  </r>
  <r>
    <s v="P100"/>
    <x v="3"/>
    <s v="2025-02-10"/>
    <x v="5"/>
    <s v="Check out our latest video on youtube!"/>
    <n v="1766"/>
    <n v="92"/>
    <n v="424"/>
    <n v="24724"/>
    <n v="24333"/>
    <n v="52"/>
    <m/>
    <x v="2"/>
    <x v="0"/>
    <x v="0"/>
    <n v="9.2298980747451867E-2"/>
  </r>
  <r>
    <s v="P101"/>
    <x v="3"/>
    <s v="2024-10-18"/>
    <x v="5"/>
    <s v="Check out our latest video on youtube!"/>
    <n v="4450"/>
    <n v="983"/>
    <n v="143"/>
    <n v="75650"/>
    <n v="75008"/>
    <n v="12"/>
    <s v="FSDUpdate"/>
    <x v="1"/>
    <x v="0"/>
    <x v="0"/>
    <n v="7.3707865168539333E-2"/>
  </r>
  <r>
    <s v="P104"/>
    <x v="3"/>
    <s v="2025-03-23"/>
    <x v="4"/>
    <s v="Check out our latest story on youtube!"/>
    <n v="3655"/>
    <n v="568"/>
    <n v="286"/>
    <n v="32895"/>
    <n v="32015"/>
    <n v="199"/>
    <s v="FSDUpdate"/>
    <x v="0"/>
    <x v="0"/>
    <x v="0"/>
    <n v="0.13707250341997265"/>
  </r>
  <r>
    <s v="P107"/>
    <x v="3"/>
    <s v="2024-06-21"/>
    <x v="2"/>
    <s v="Check out our latest image on youtube!"/>
    <n v="4832"/>
    <n v="893"/>
    <n v="10"/>
    <n v="91808"/>
    <n v="91296"/>
    <n v="182"/>
    <m/>
    <x v="0"/>
    <x v="0"/>
    <x v="0"/>
    <n v="6.2467323109097243E-2"/>
  </r>
  <r>
    <s v="P111"/>
    <x v="3"/>
    <s v="2024-11-23"/>
    <x v="2"/>
    <s v="Check out our latest image on youtube!"/>
    <n v="2719"/>
    <n v="17"/>
    <n v="285"/>
    <n v="40785"/>
    <n v="40281"/>
    <n v="40"/>
    <s v="ModelYCampaign"/>
    <x v="0"/>
    <x v="0"/>
    <x v="0"/>
    <n v="7.4071349760941527E-2"/>
  </r>
  <r>
    <s v="P116"/>
    <x v="3"/>
    <s v="2025-03-18"/>
    <x v="3"/>
    <s v="Check out our latest reel on youtube!"/>
    <n v="3704"/>
    <n v="186"/>
    <n v="458"/>
    <n v="25928"/>
    <n v="25081"/>
    <n v="131"/>
    <m/>
    <x v="0"/>
    <x v="0"/>
    <x v="0"/>
    <n v="0.16769515581610614"/>
  </r>
  <r>
    <s v="P124"/>
    <x v="3"/>
    <s v="2025-04-06"/>
    <x v="0"/>
    <s v="Check out our latest carousel on youtube!"/>
    <n v="736"/>
    <n v="771"/>
    <n v="225"/>
    <n v="5152"/>
    <n v="4706"/>
    <n v="19"/>
    <s v="CybertruckLaunch"/>
    <x v="2"/>
    <x v="0"/>
    <x v="0"/>
    <n v="0.33618012422360249"/>
  </r>
  <r>
    <s v="P130"/>
    <x v="3"/>
    <s v="2024-09-29"/>
    <x v="3"/>
    <s v="Check out our latest reel on youtube!"/>
    <n v="2936"/>
    <n v="439"/>
    <n v="44"/>
    <n v="38168"/>
    <n v="37571"/>
    <n v="22"/>
    <s v="SustainabilityDrive"/>
    <x v="2"/>
    <x v="0"/>
    <x v="0"/>
    <n v="8.9577656675749323E-2"/>
  </r>
  <r>
    <s v="P139"/>
    <x v="3"/>
    <s v="2024-10-29"/>
    <x v="1"/>
    <s v="Check out our latest text on youtube!"/>
    <n v="2746"/>
    <n v="156"/>
    <n v="203"/>
    <n v="32952"/>
    <n v="32147"/>
    <n v="147"/>
    <s v="CybertruckLaunch"/>
    <x v="2"/>
    <x v="0"/>
    <x v="0"/>
    <n v="9.422796795338674E-2"/>
  </r>
  <r>
    <s v="P142"/>
    <x v="3"/>
    <s v="2025-03-25"/>
    <x v="4"/>
    <s v="Check out our latest story on youtube!"/>
    <n v="2070"/>
    <n v="275"/>
    <n v="386"/>
    <n v="39330"/>
    <n v="38627"/>
    <n v="114"/>
    <s v="SustainabilityDrive"/>
    <x v="1"/>
    <x v="0"/>
    <x v="0"/>
    <n v="6.9438087973557078E-2"/>
  </r>
  <r>
    <s v="P143"/>
    <x v="3"/>
    <s v="2024-10-02"/>
    <x v="0"/>
    <s v="Check out our latest carousel on youtube!"/>
    <n v="80"/>
    <n v="362"/>
    <n v="80"/>
    <n v="1040"/>
    <n v="349"/>
    <n v="117"/>
    <s v="FSDUpdate"/>
    <x v="0"/>
    <x v="0"/>
    <x v="0"/>
    <n v="0.50192307692307692"/>
  </r>
  <r>
    <s v="P144"/>
    <x v="3"/>
    <s v="2024-10-28"/>
    <x v="4"/>
    <s v="Check out our latest story on youtube!"/>
    <n v="4929"/>
    <n v="749"/>
    <n v="452"/>
    <n v="93651"/>
    <n v="92810"/>
    <n v="66"/>
    <s v="SustainabilityDrive"/>
    <x v="2"/>
    <x v="0"/>
    <x v="0"/>
    <n v="6.5455787978772245E-2"/>
  </r>
  <r>
    <s v="P146"/>
    <x v="3"/>
    <s v="2024-06-05"/>
    <x v="3"/>
    <s v="Check out our latest reel on youtube!"/>
    <n v="3065"/>
    <n v="772"/>
    <n v="142"/>
    <n v="18390"/>
    <n v="17875"/>
    <n v="200"/>
    <m/>
    <x v="2"/>
    <x v="1"/>
    <x v="0"/>
    <n v="0.21636759108210984"/>
  </r>
  <r>
    <s v="P150"/>
    <x v="3"/>
    <s v="2024-08-22"/>
    <x v="0"/>
    <s v="Check out our latest carousel on youtube!"/>
    <n v="4295"/>
    <n v="853"/>
    <n v="325"/>
    <n v="85900"/>
    <n v="85788"/>
    <n v="290"/>
    <s v="SustainabilityDrive"/>
    <x v="0"/>
    <x v="0"/>
    <x v="0"/>
    <n v="6.3713620488940623E-2"/>
  </r>
  <r>
    <s v="P155"/>
    <x v="3"/>
    <s v="2024-12-21"/>
    <x v="2"/>
    <s v="Check out our latest image on youtube!"/>
    <n v="2283"/>
    <n v="210"/>
    <n v="130"/>
    <n v="22830"/>
    <n v="22617"/>
    <n v="143"/>
    <s v="ModelYCampaign"/>
    <x v="1"/>
    <x v="0"/>
    <x v="0"/>
    <n v="0.11489268506351293"/>
  </r>
  <r>
    <s v="P157"/>
    <x v="3"/>
    <s v="2024-07-23"/>
    <x v="4"/>
    <s v="Check out our latest story on youtube!"/>
    <n v="4775"/>
    <n v="173"/>
    <n v="206"/>
    <n v="47750"/>
    <n v="47544"/>
    <n v="187"/>
    <s v="ModelYCampaign"/>
    <x v="1"/>
    <x v="0"/>
    <x v="0"/>
    <n v="0.10793717277486911"/>
  </r>
  <r>
    <s v="P164"/>
    <x v="3"/>
    <s v="2025-02-27"/>
    <x v="1"/>
    <s v="Check out our latest text on youtube!"/>
    <n v="4934"/>
    <n v="971"/>
    <n v="156"/>
    <n v="39472"/>
    <n v="39025"/>
    <n v="169"/>
    <s v="SustainabilityDrive"/>
    <x v="0"/>
    <x v="1"/>
    <x v="0"/>
    <n v="0.15355188488042157"/>
  </r>
  <r>
    <s v="P169"/>
    <x v="3"/>
    <s v="2024-12-03"/>
    <x v="5"/>
    <s v="Check out our latest video on youtube!"/>
    <n v="3809"/>
    <n v="273"/>
    <n v="200"/>
    <n v="34281"/>
    <n v="33534"/>
    <n v="83"/>
    <s v="CybertruckLaunch"/>
    <x v="2"/>
    <x v="0"/>
    <x v="0"/>
    <n v="0.12490884163239112"/>
  </r>
  <r>
    <s v="P171"/>
    <x v="3"/>
    <s v="2024-12-31"/>
    <x v="5"/>
    <s v="Check out our latest video on youtube!"/>
    <n v="1018"/>
    <n v="447"/>
    <n v="332"/>
    <n v="18324"/>
    <n v="18164"/>
    <n v="38"/>
    <s v="ModelYCampaign"/>
    <x v="1"/>
    <x v="0"/>
    <x v="0"/>
    <n v="9.8068107400130972E-2"/>
  </r>
  <r>
    <s v="P180"/>
    <x v="3"/>
    <s v="2024-12-03"/>
    <x v="1"/>
    <s v="Check out our latest text on youtube!"/>
    <n v="3711"/>
    <n v="352"/>
    <n v="290"/>
    <n v="48243"/>
    <n v="47579"/>
    <n v="11"/>
    <s v="CybertruckLaunch"/>
    <x v="0"/>
    <x v="0"/>
    <x v="0"/>
    <n v="9.023070704558174E-2"/>
  </r>
  <r>
    <s v="P181"/>
    <x v="3"/>
    <s v="2025-03-21"/>
    <x v="2"/>
    <s v="Check out our latest image on youtube!"/>
    <n v="606"/>
    <n v="789"/>
    <n v="470"/>
    <n v="7878"/>
    <n v="7389"/>
    <n v="239"/>
    <s v="FSDUpdate"/>
    <x v="2"/>
    <x v="0"/>
    <x v="0"/>
    <n v="0.23673521198273673"/>
  </r>
  <r>
    <s v="P188"/>
    <x v="3"/>
    <s v="2024-06-06"/>
    <x v="3"/>
    <s v="Check out our latest reel on youtube!"/>
    <n v="2728"/>
    <n v="533"/>
    <n v="215"/>
    <n v="40920"/>
    <n v="40816"/>
    <n v="137"/>
    <s v="ModelYCampaign"/>
    <x v="1"/>
    <x v="0"/>
    <x v="0"/>
    <n v="8.4946236559139784E-2"/>
  </r>
  <r>
    <s v="P190"/>
    <x v="3"/>
    <s v="2024-10-04"/>
    <x v="1"/>
    <s v="Check out our latest text on youtube!"/>
    <n v="1963"/>
    <n v="213"/>
    <n v="19"/>
    <n v="39260"/>
    <n v="38771"/>
    <n v="145"/>
    <m/>
    <x v="1"/>
    <x v="0"/>
    <x v="0"/>
    <n v="5.5909322465613857E-2"/>
  </r>
  <r>
    <s v="P191"/>
    <x v="3"/>
    <s v="2024-12-03"/>
    <x v="4"/>
    <s v="Check out our latest story on youtube!"/>
    <n v="4285"/>
    <n v="886"/>
    <n v="376"/>
    <n v="55705"/>
    <n v="55556"/>
    <n v="51"/>
    <s v="FSDUpdate"/>
    <x v="1"/>
    <x v="0"/>
    <x v="0"/>
    <n v="9.9578134817341346E-2"/>
  </r>
  <r>
    <s v="P194"/>
    <x v="3"/>
    <s v="2024-10-02"/>
    <x v="4"/>
    <s v="Check out our latest story on youtube!"/>
    <n v="4350"/>
    <n v="771"/>
    <n v="7"/>
    <n v="60900"/>
    <n v="60592"/>
    <n v="195"/>
    <s v="CybertruckLaunch"/>
    <x v="2"/>
    <x v="0"/>
    <x v="0"/>
    <n v="8.4203612479474554E-2"/>
  </r>
  <r>
    <s v="P199"/>
    <x v="3"/>
    <s v="2024-11-30"/>
    <x v="0"/>
    <s v="Check out our latest carousel on youtube!"/>
    <n v="2509"/>
    <n v="324"/>
    <n v="171"/>
    <n v="35126"/>
    <n v="34685"/>
    <n v="277"/>
    <s v="ModelYCampaign"/>
    <x v="0"/>
    <x v="0"/>
    <x v="0"/>
    <n v="8.5520696919660646E-2"/>
  </r>
  <r>
    <s v="P208"/>
    <x v="3"/>
    <s v="2024-06-24"/>
    <x v="5"/>
    <s v="Check out our latest video on youtube!"/>
    <n v="2949"/>
    <n v="476"/>
    <n v="403"/>
    <n v="44235"/>
    <n v="43705"/>
    <n v="135"/>
    <s v="ModelYCampaign"/>
    <x v="0"/>
    <x v="0"/>
    <x v="0"/>
    <n v="8.6537809426924378E-2"/>
  </r>
  <r>
    <s v="P210"/>
    <x v="3"/>
    <s v="2025-02-19"/>
    <x v="2"/>
    <s v="Check out our latest image on youtube!"/>
    <n v="257"/>
    <n v="966"/>
    <n v="398"/>
    <n v="3341"/>
    <n v="2753"/>
    <n v="287"/>
    <s v="CybertruckLaunch"/>
    <x v="1"/>
    <x v="0"/>
    <x v="0"/>
    <n v="0.48518407662376534"/>
  </r>
  <r>
    <s v="P212"/>
    <x v="3"/>
    <s v="2025-03-03"/>
    <x v="5"/>
    <s v="Check out our latest video on youtube!"/>
    <n v="3874"/>
    <n v="884"/>
    <n v="19"/>
    <n v="38740"/>
    <n v="38552"/>
    <n v="219"/>
    <s v="ModelYCampaign"/>
    <x v="0"/>
    <x v="0"/>
    <x v="0"/>
    <n v="0.123309241094476"/>
  </r>
  <r>
    <s v="P216"/>
    <x v="3"/>
    <s v="2024-07-29"/>
    <x v="4"/>
    <s v="Check out our latest story on youtube!"/>
    <n v="1509"/>
    <n v="88"/>
    <n v="163"/>
    <n v="30180"/>
    <n v="29689"/>
    <n v="119"/>
    <s v="ModelYCampaign"/>
    <x v="2"/>
    <x v="0"/>
    <x v="0"/>
    <n v="5.8316766070245198E-2"/>
  </r>
  <r>
    <s v="P239"/>
    <x v="3"/>
    <s v="2025-02-24"/>
    <x v="1"/>
    <s v="Check out our latest text on youtube!"/>
    <n v="4188"/>
    <n v="942"/>
    <n v="118"/>
    <n v="20940"/>
    <n v="20471"/>
    <n v="102"/>
    <m/>
    <x v="1"/>
    <x v="0"/>
    <x v="0"/>
    <n v="0.25062082139446035"/>
  </r>
  <r>
    <s v="P244"/>
    <x v="3"/>
    <s v="2024-10-25"/>
    <x v="5"/>
    <s v="Check out our latest video on youtube!"/>
    <n v="4661"/>
    <n v="935"/>
    <n v="433"/>
    <n v="23305"/>
    <n v="22583"/>
    <n v="63"/>
    <s v="FSDUpdate"/>
    <x v="1"/>
    <x v="0"/>
    <x v="0"/>
    <n v="0.25869984981763572"/>
  </r>
  <r>
    <s v="P256"/>
    <x v="3"/>
    <s v="2024-09-18"/>
    <x v="0"/>
    <s v="Check out our latest carousel on youtube!"/>
    <n v="2143"/>
    <n v="12"/>
    <n v="204"/>
    <n v="40717"/>
    <n v="40125"/>
    <n v="248"/>
    <s v="ModelYCampaign"/>
    <x v="2"/>
    <x v="0"/>
    <x v="0"/>
    <n v="5.7936488444630008E-2"/>
  </r>
  <r>
    <s v="P262"/>
    <x v="3"/>
    <s v="2025-01-18"/>
    <x v="2"/>
    <s v="Check out our latest image on youtube!"/>
    <n v="1206"/>
    <n v="238"/>
    <n v="36"/>
    <n v="9648"/>
    <n v="9417"/>
    <n v="237"/>
    <m/>
    <x v="0"/>
    <x v="0"/>
    <x v="0"/>
    <n v="0.15339966832504145"/>
  </r>
  <r>
    <s v="P270"/>
    <x v="3"/>
    <s v="2025-01-15"/>
    <x v="3"/>
    <s v="Check out our latest reel on youtube!"/>
    <n v="3774"/>
    <n v="239"/>
    <n v="39"/>
    <n v="60384"/>
    <n v="59490"/>
    <n v="241"/>
    <s v="FSDUpdate"/>
    <x v="0"/>
    <x v="0"/>
    <x v="0"/>
    <n v="6.7103868574456813E-2"/>
  </r>
  <r>
    <s v="P273"/>
    <x v="3"/>
    <s v="2024-10-12"/>
    <x v="4"/>
    <s v="Check out our latest story on youtube!"/>
    <n v="3641"/>
    <n v="226"/>
    <n v="46"/>
    <n v="40051"/>
    <n v="39319"/>
    <n v="296"/>
    <s v="SustainabilityDrive"/>
    <x v="2"/>
    <x v="0"/>
    <x v="0"/>
    <n v="9.7700431949264685E-2"/>
  </r>
  <r>
    <s v="P279"/>
    <x v="3"/>
    <s v="2024-09-02"/>
    <x v="2"/>
    <s v="Check out our latest image on youtube!"/>
    <n v="4905"/>
    <n v="845"/>
    <n v="129"/>
    <n v="98100"/>
    <n v="97772"/>
    <n v="279"/>
    <s v="ModelYCampaign"/>
    <x v="0"/>
    <x v="0"/>
    <x v="0"/>
    <n v="5.9928644240570844E-2"/>
  </r>
  <r>
    <s v="P280"/>
    <x v="3"/>
    <s v="2024-10-21"/>
    <x v="5"/>
    <s v="Check out our latest video on youtube!"/>
    <n v="4275"/>
    <n v="680"/>
    <n v="385"/>
    <n v="64125"/>
    <n v="63650"/>
    <n v="104"/>
    <s v="SustainabilityDrive"/>
    <x v="2"/>
    <x v="4"/>
    <x v="3"/>
    <n v="8.3274853801169585E-2"/>
  </r>
  <r>
    <s v="P281"/>
    <x v="3"/>
    <s v="2025-03-22"/>
    <x v="2"/>
    <s v="Check out our latest image on youtube!"/>
    <n v="3166"/>
    <n v="90"/>
    <n v="341"/>
    <n v="56988"/>
    <n v="56125"/>
    <n v="135"/>
    <s v="ModelYCampaign"/>
    <x v="2"/>
    <x v="0"/>
    <x v="0"/>
    <n v="6.3118551273952411E-2"/>
  </r>
  <r>
    <s v="P285"/>
    <x v="3"/>
    <s v="2024-07-18"/>
    <x v="1"/>
    <s v="Check out our latest text on youtube!"/>
    <n v="4021"/>
    <n v="794"/>
    <n v="77"/>
    <n v="36189"/>
    <n v="35505"/>
    <n v="174"/>
    <m/>
    <x v="2"/>
    <x v="0"/>
    <x v="0"/>
    <n v="0.13517919809886983"/>
  </r>
  <r>
    <s v="P286"/>
    <x v="3"/>
    <s v="2024-09-25"/>
    <x v="5"/>
    <s v="Check out our latest video on youtube!"/>
    <n v="3389"/>
    <n v="344"/>
    <n v="229"/>
    <n v="20334"/>
    <n v="19443"/>
    <n v="228"/>
    <s v="FSDUpdate"/>
    <x v="1"/>
    <x v="0"/>
    <x v="0"/>
    <n v="0.19484607062063539"/>
  </r>
  <r>
    <s v="P288"/>
    <x v="3"/>
    <s v="2025-04-17"/>
    <x v="0"/>
    <s v="Check out our latest carousel on youtube!"/>
    <n v="4780"/>
    <n v="691"/>
    <n v="380"/>
    <n v="86040"/>
    <n v="85743"/>
    <n v="262"/>
    <s v="FSDUpdate"/>
    <x v="1"/>
    <x v="0"/>
    <x v="0"/>
    <n v="6.800325430032543E-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9">
  <r>
    <s v="2024-06-03"/>
    <x v="0"/>
    <n v="1312"/>
    <n v="310"/>
    <n v="42654"/>
    <n v="4.9800000000000004"/>
    <n v="9566"/>
    <n v="2.3491348994232664E-2"/>
  </r>
  <r>
    <s v="2024-06-03"/>
    <x v="1"/>
    <n v="584"/>
    <n v="169"/>
    <n v="146834"/>
    <n v="8.31"/>
    <n v="26752"/>
    <n v="2.826320879360366E-3"/>
  </r>
  <r>
    <s v="2024-06-03"/>
    <x v="2"/>
    <n v="1535"/>
    <n v="445"/>
    <n v="395536"/>
    <n v="4.1100000000000003"/>
    <n v="30671"/>
    <n v="2.7557542170624167E-3"/>
  </r>
  <r>
    <s v="2024-06-10"/>
    <x v="3"/>
    <n v="656"/>
    <n v="139"/>
    <n v="49157"/>
    <n v="9.0500000000000007"/>
    <n v="9920"/>
    <n v="1.0517322049758936E-2"/>
  </r>
  <r>
    <s v="2024-06-10"/>
    <x v="0"/>
    <n v="1697"/>
    <n v="414"/>
    <n v="316555"/>
    <n v="2.37"/>
    <n v="7924"/>
    <n v="4.0530081660374974E-3"/>
  </r>
  <r>
    <s v="2024-06-10"/>
    <x v="1"/>
    <n v="436"/>
    <n v="250"/>
    <n v="254347"/>
    <n v="4.01"/>
    <n v="8912"/>
    <n v="7.3128442639386348E-4"/>
  </r>
  <r>
    <s v="2024-06-10"/>
    <x v="2"/>
    <n v="1197"/>
    <n v="203"/>
    <n v="413878"/>
    <n v="3.16"/>
    <n v="21205"/>
    <n v="2.4016739232334168E-3"/>
  </r>
  <r>
    <s v="2024-06-17"/>
    <x v="3"/>
    <n v="1048"/>
    <n v="155"/>
    <n v="456946"/>
    <n v="2.46"/>
    <n v="11329"/>
    <n v="1.9542790614208243E-3"/>
  </r>
  <r>
    <s v="2024-06-17"/>
    <x v="0"/>
    <n v="1753"/>
    <n v="371"/>
    <n v="169496"/>
    <n v="8.11"/>
    <n v="46670"/>
    <n v="8.1535847453627231E-3"/>
  </r>
  <r>
    <s v="2024-06-17"/>
    <x v="1"/>
    <n v="1335"/>
    <n v="40"/>
    <n v="122732"/>
    <n v="8.19"/>
    <n v="22482"/>
    <n v="1.0551445425805821E-2"/>
  </r>
  <r>
    <s v="2024-06-17"/>
    <x v="2"/>
    <n v="403"/>
    <n v="66"/>
    <n v="382851"/>
    <n v="3.49"/>
    <n v="24313"/>
    <n v="8.80238003818718E-4"/>
  </r>
  <r>
    <s v="2024-06-24"/>
    <x v="3"/>
    <n v="911"/>
    <n v="282"/>
    <n v="35664"/>
    <n v="6.92"/>
    <n v="18050"/>
    <n v="1.7636832660385824E-2"/>
  </r>
  <r>
    <s v="2024-06-24"/>
    <x v="0"/>
    <n v="1779"/>
    <n v="109"/>
    <n v="26295"/>
    <n v="9.1199999999999992"/>
    <n v="30635"/>
    <n v="6.3510173036698994E-2"/>
  </r>
  <r>
    <s v="2024-06-24"/>
    <x v="1"/>
    <n v="1238"/>
    <n v="403"/>
    <n v="298421"/>
    <n v="3.5"/>
    <n v="31280"/>
    <n v="2.798060458211721E-3"/>
  </r>
  <r>
    <s v="2024-06-24"/>
    <x v="2"/>
    <n v="308"/>
    <n v="431"/>
    <n v="426184"/>
    <n v="2.62"/>
    <n v="1783"/>
    <n v="-2.8860773750305035E-4"/>
  </r>
  <r>
    <s v="2024-07-01"/>
    <x v="3"/>
    <n v="226"/>
    <n v="445"/>
    <n v="419447"/>
    <n v="9.36"/>
    <n v="9566"/>
    <n v="-5.2211602419375983E-4"/>
  </r>
  <r>
    <s v="2024-07-01"/>
    <x v="0"/>
    <n v="505"/>
    <n v="441"/>
    <n v="220020"/>
    <n v="4.4800000000000004"/>
    <n v="42307"/>
    <n v="2.9088264703208797E-4"/>
  </r>
  <r>
    <s v="2024-07-01"/>
    <x v="1"/>
    <n v="1420"/>
    <n v="63"/>
    <n v="315305"/>
    <n v="6.19"/>
    <n v="5914"/>
    <n v="4.3037693661692649E-3"/>
  </r>
  <r>
    <s v="2024-07-01"/>
    <x v="2"/>
    <n v="144"/>
    <n v="53"/>
    <n v="113678"/>
    <n v="8.7200000000000006"/>
    <n v="30060"/>
    <n v="8.0050669434719116E-4"/>
  </r>
  <r>
    <s v="2024-07-08"/>
    <x v="3"/>
    <n v="1757"/>
    <n v="85"/>
    <n v="58223"/>
    <n v="8.74"/>
    <n v="22728"/>
    <n v="2.8717173625543171E-2"/>
  </r>
  <r>
    <s v="2024-07-08"/>
    <x v="0"/>
    <n v="350"/>
    <n v="41"/>
    <n v="251694"/>
    <n v="1.91"/>
    <n v="38610"/>
    <n v="1.2276812319721568E-3"/>
  </r>
  <r>
    <s v="2024-07-08"/>
    <x v="1"/>
    <n v="987"/>
    <n v="440"/>
    <n v="389810"/>
    <n v="4.66"/>
    <n v="2932"/>
    <n v="1.40324773607655E-3"/>
  </r>
  <r>
    <s v="2024-07-08"/>
    <x v="2"/>
    <n v="883"/>
    <n v="369"/>
    <n v="233694"/>
    <n v="2.88"/>
    <n v="15071"/>
    <n v="2.1994574101175039E-3"/>
  </r>
  <r>
    <s v="2024-07-15"/>
    <x v="3"/>
    <n v="1960"/>
    <n v="115"/>
    <n v="154169"/>
    <n v="3.74"/>
    <n v="10740"/>
    <n v="1.1967386439556591E-2"/>
  </r>
  <r>
    <s v="2024-07-15"/>
    <x v="0"/>
    <n v="170"/>
    <n v="334"/>
    <n v="334626"/>
    <n v="6.44"/>
    <n v="43420"/>
    <n v="-4.9009939454794306E-4"/>
  </r>
  <r>
    <s v="2024-07-15"/>
    <x v="1"/>
    <n v="704"/>
    <n v="275"/>
    <n v="226002"/>
    <n v="8.56"/>
    <n v="32393"/>
    <n v="1.8982132901478749E-3"/>
  </r>
  <r>
    <s v="2024-07-15"/>
    <x v="2"/>
    <n v="224"/>
    <n v="64"/>
    <n v="156683"/>
    <n v="4.5599999999999996"/>
    <n v="28474"/>
    <n v="1.0211701333265254E-3"/>
  </r>
  <r>
    <s v="2024-07-22"/>
    <x v="3"/>
    <n v="508"/>
    <n v="349"/>
    <n v="473812"/>
    <n v="7.88"/>
    <n v="17328"/>
    <n v="3.3557613568250698E-4"/>
  </r>
  <r>
    <s v="2024-07-22"/>
    <x v="0"/>
    <n v="1391"/>
    <n v="430"/>
    <n v="295032"/>
    <n v="7.86"/>
    <n v="26067"/>
    <n v="3.2572737872501967E-3"/>
  </r>
  <r>
    <s v="2024-07-22"/>
    <x v="1"/>
    <n v="1701"/>
    <n v="385"/>
    <n v="198278"/>
    <n v="5.34"/>
    <n v="32763"/>
    <n v="6.6371458255580548E-3"/>
  </r>
  <r>
    <s v="2024-07-22"/>
    <x v="2"/>
    <n v="804"/>
    <n v="487"/>
    <n v="306564"/>
    <n v="5.52"/>
    <n v="26452"/>
    <n v="1.0340418313957282E-3"/>
  </r>
  <r>
    <s v="2024-07-29"/>
    <x v="3"/>
    <n v="653"/>
    <n v="112"/>
    <n v="23664"/>
    <n v="4.05"/>
    <n v="15353"/>
    <n v="2.2861730899256253E-2"/>
  </r>
  <r>
    <s v="2024-07-29"/>
    <x v="0"/>
    <n v="160"/>
    <n v="478"/>
    <n v="435034"/>
    <n v="7.73"/>
    <n v="4839"/>
    <n v="-7.3097734889686784E-4"/>
  </r>
  <r>
    <s v="2024-07-29"/>
    <x v="1"/>
    <n v="1756"/>
    <n v="261"/>
    <n v="287574"/>
    <n v="4.3600000000000003"/>
    <n v="39272"/>
    <n v="5.1986619096302169E-3"/>
  </r>
  <r>
    <s v="2024-07-29"/>
    <x v="2"/>
    <n v="576"/>
    <n v="101"/>
    <n v="62499"/>
    <n v="3.48"/>
    <n v="16804"/>
    <n v="7.600121601945631E-3"/>
  </r>
  <r>
    <s v="2024-08-05"/>
    <x v="3"/>
    <n v="645"/>
    <n v="293"/>
    <n v="437968"/>
    <n v="7.83"/>
    <n v="49303"/>
    <n v="8.0371168669857163E-4"/>
  </r>
  <r>
    <s v="2024-08-05"/>
    <x v="0"/>
    <n v="214"/>
    <n v="411"/>
    <n v="125034"/>
    <n v="6.11"/>
    <n v="26455"/>
    <n v="-1.5755714445670778E-3"/>
  </r>
  <r>
    <s v="2024-08-05"/>
    <x v="1"/>
    <n v="826"/>
    <n v="498"/>
    <n v="449994"/>
    <n v="9.43"/>
    <n v="12384"/>
    <n v="7.2889860753698943E-4"/>
  </r>
  <r>
    <s v="2024-08-05"/>
    <x v="2"/>
    <n v="460"/>
    <n v="141"/>
    <n v="320650"/>
    <n v="4.04"/>
    <n v="49372"/>
    <n v="9.9485420240137223E-4"/>
  </r>
  <r>
    <s v="2024-08-12"/>
    <x v="3"/>
    <n v="1528"/>
    <n v="203"/>
    <n v="489188"/>
    <n v="6.23"/>
    <n v="47101"/>
    <n v="2.7085701202809553E-3"/>
  </r>
  <r>
    <s v="2024-08-12"/>
    <x v="0"/>
    <n v="1534"/>
    <n v="200"/>
    <n v="307612"/>
    <n v="6.01"/>
    <n v="37903"/>
    <n v="4.3366318609156986E-3"/>
  </r>
  <r>
    <s v="2024-08-12"/>
    <x v="1"/>
    <n v="485"/>
    <n v="448"/>
    <n v="434883"/>
    <n v="8.5500000000000007"/>
    <n v="33258"/>
    <n v="8.5080354946042954E-5"/>
  </r>
  <r>
    <s v="2024-08-12"/>
    <x v="2"/>
    <n v="1210"/>
    <n v="178"/>
    <n v="102042"/>
    <n v="5.42"/>
    <n v="6915"/>
    <n v="1.011348268360087E-2"/>
  </r>
  <r>
    <s v="2024-08-19"/>
    <x v="3"/>
    <n v="215"/>
    <n v="139"/>
    <n v="325444"/>
    <n v="3.25"/>
    <n v="35501"/>
    <n v="2.335271198731579E-4"/>
  </r>
  <r>
    <s v="2024-08-19"/>
    <x v="0"/>
    <n v="1078"/>
    <n v="20"/>
    <n v="183924"/>
    <n v="8.84"/>
    <n v="14203"/>
    <n v="5.7523759813836147E-3"/>
  </r>
  <r>
    <s v="2024-08-19"/>
    <x v="1"/>
    <n v="1751"/>
    <n v="86"/>
    <n v="188655"/>
    <n v="7.24"/>
    <n v="22206"/>
    <n v="8.825634093981077E-3"/>
  </r>
  <r>
    <s v="2024-08-19"/>
    <x v="2"/>
    <n v="221"/>
    <n v="31"/>
    <n v="87443"/>
    <n v="6.19"/>
    <n v="10283"/>
    <n v="2.1728440241071327E-3"/>
  </r>
  <r>
    <s v="2024-08-26"/>
    <x v="3"/>
    <n v="1685"/>
    <n v="76"/>
    <n v="453799"/>
    <n v="5.71"/>
    <n v="24913"/>
    <n v="3.5456226214689766E-3"/>
  </r>
  <r>
    <s v="2024-08-26"/>
    <x v="0"/>
    <n v="248"/>
    <n v="211"/>
    <n v="379380"/>
    <n v="9.0399999999999991"/>
    <n v="26925"/>
    <n v="9.7527544941747058E-5"/>
  </r>
  <r>
    <s v="2024-08-26"/>
    <x v="1"/>
    <n v="1300"/>
    <n v="71"/>
    <n v="186454"/>
    <n v="3.91"/>
    <n v="9942"/>
    <n v="6.5914381026955706E-3"/>
  </r>
  <r>
    <s v="2024-08-26"/>
    <x v="2"/>
    <n v="422"/>
    <n v="394"/>
    <n v="239044"/>
    <n v="7.83"/>
    <n v="32929"/>
    <n v="1.1713324743561855E-4"/>
  </r>
  <r>
    <s v="2024-09-02"/>
    <x v="3"/>
    <n v="1429"/>
    <n v="182"/>
    <n v="101332"/>
    <n v="7.16"/>
    <n v="37829"/>
    <n v="1.2306082974775983E-2"/>
  </r>
  <r>
    <s v="2024-09-02"/>
    <x v="0"/>
    <n v="1520"/>
    <n v="475"/>
    <n v="496982"/>
    <n v="6.41"/>
    <n v="24384"/>
    <n v="2.1026918479944948E-3"/>
  </r>
  <r>
    <s v="2024-09-02"/>
    <x v="1"/>
    <n v="557"/>
    <n v="360"/>
    <n v="318779"/>
    <n v="8.02"/>
    <n v="25797"/>
    <n v="6.1798299135137512E-4"/>
  </r>
  <r>
    <s v="2024-09-02"/>
    <x v="2"/>
    <n v="728"/>
    <n v="395"/>
    <n v="370971"/>
    <n v="3.86"/>
    <n v="12646"/>
    <n v="8.9764429025449434E-4"/>
  </r>
  <r>
    <s v="2024-09-09"/>
    <x v="3"/>
    <n v="1592"/>
    <n v="20"/>
    <n v="378054"/>
    <n v="9.09"/>
    <n v="26663"/>
    <n v="4.1581361392816901E-3"/>
  </r>
  <r>
    <s v="2024-09-09"/>
    <x v="0"/>
    <n v="1842"/>
    <n v="414"/>
    <n v="307524"/>
    <n v="1.76"/>
    <n v="40478"/>
    <n v="4.6435400163889647E-3"/>
  </r>
  <r>
    <s v="2024-09-09"/>
    <x v="1"/>
    <n v="751"/>
    <n v="491"/>
    <n v="434047"/>
    <n v="9.24"/>
    <n v="15476"/>
    <n v="5.990134708914012E-4"/>
  </r>
  <r>
    <s v="2024-09-09"/>
    <x v="2"/>
    <n v="1409"/>
    <n v="309"/>
    <n v="64583"/>
    <n v="8.99"/>
    <n v="10217"/>
    <n v="1.7032345973398571E-2"/>
  </r>
  <r>
    <s v="2024-09-16"/>
    <x v="3"/>
    <n v="778"/>
    <n v="401"/>
    <n v="50793"/>
    <n v="3.4"/>
    <n v="21939"/>
    <n v="7.4222825979957871E-3"/>
  </r>
  <r>
    <s v="2024-09-16"/>
    <x v="0"/>
    <n v="443"/>
    <n v="345"/>
    <n v="474162"/>
    <n v="9.1999999999999993"/>
    <n v="47462"/>
    <n v="2.0668041724136477E-4"/>
  </r>
  <r>
    <s v="2024-09-16"/>
    <x v="1"/>
    <n v="1472"/>
    <n v="347"/>
    <n v="392355"/>
    <n v="8.59"/>
    <n v="30270"/>
    <n v="2.8673012960201858E-3"/>
  </r>
  <r>
    <s v="2024-09-16"/>
    <x v="2"/>
    <n v="123"/>
    <n v="155"/>
    <n v="119934"/>
    <n v="3.5"/>
    <n v="5442"/>
    <n v="-2.6681341404439108E-4"/>
  </r>
  <r>
    <s v="2024-09-23"/>
    <x v="3"/>
    <n v="817"/>
    <n v="151"/>
    <n v="422625"/>
    <n v="2.36"/>
    <n v="1083"/>
    <n v="1.5758651286601596E-3"/>
  </r>
  <r>
    <s v="2024-09-23"/>
    <x v="0"/>
    <n v="198"/>
    <n v="217"/>
    <n v="239753"/>
    <n v="7.36"/>
    <n v="11901"/>
    <n v="-7.9248226299566635E-5"/>
  </r>
  <r>
    <s v="2024-09-23"/>
    <x v="1"/>
    <n v="1911"/>
    <n v="231"/>
    <n v="268516"/>
    <n v="8.5500000000000007"/>
    <n v="24018"/>
    <n v="6.2566104068286429E-3"/>
  </r>
  <r>
    <s v="2024-09-23"/>
    <x v="2"/>
    <n v="1218"/>
    <n v="212"/>
    <n v="63177"/>
    <n v="8.1300000000000008"/>
    <n v="38883"/>
    <n v="1.592351646960128E-2"/>
  </r>
  <r>
    <s v="2024-09-30"/>
    <x v="3"/>
    <n v="1433"/>
    <n v="408"/>
    <n v="370269"/>
    <n v="3.3"/>
    <n v="30575"/>
    <n v="2.7682576721248606E-3"/>
  </r>
  <r>
    <s v="2024-09-30"/>
    <x v="0"/>
    <n v="250"/>
    <n v="429"/>
    <n v="453423"/>
    <n v="1.77"/>
    <n v="2315"/>
    <n v="-3.9477485703195471E-4"/>
  </r>
  <r>
    <s v="2024-09-30"/>
    <x v="1"/>
    <n v="752"/>
    <n v="153"/>
    <n v="64906"/>
    <n v="2.09"/>
    <n v="12148"/>
    <n v="9.2287307798970819E-3"/>
  </r>
  <r>
    <s v="2024-09-30"/>
    <x v="2"/>
    <n v="1918"/>
    <n v="212"/>
    <n v="94360"/>
    <n v="7.36"/>
    <n v="36851"/>
    <n v="1.8079694785926241E-2"/>
  </r>
  <r>
    <s v="2024-10-07"/>
    <x v="3"/>
    <n v="1939"/>
    <n v="67"/>
    <n v="187183"/>
    <n v="6.25"/>
    <n v="41215"/>
    <n v="1.0000908202133741E-2"/>
  </r>
  <r>
    <s v="2024-10-07"/>
    <x v="0"/>
    <n v="1929"/>
    <n v="267"/>
    <n v="379363"/>
    <n v="1.75"/>
    <n v="43836"/>
    <n v="4.3810281972675247E-3"/>
  </r>
  <r>
    <s v="2024-10-07"/>
    <x v="1"/>
    <n v="437"/>
    <n v="330"/>
    <n v="476486"/>
    <n v="4.97"/>
    <n v="4509"/>
    <n v="2.2456063766826309E-4"/>
  </r>
  <r>
    <s v="2024-10-07"/>
    <x v="2"/>
    <n v="307"/>
    <n v="189"/>
    <n v="117767"/>
    <n v="9.3000000000000007"/>
    <n v="27822"/>
    <n v="1.0019784829366461E-3"/>
  </r>
  <r>
    <s v="2024-10-14"/>
    <x v="3"/>
    <n v="1527"/>
    <n v="303"/>
    <n v="388555"/>
    <n v="8.9"/>
    <n v="36397"/>
    <n v="3.1501331857780751E-3"/>
  </r>
  <r>
    <s v="2024-10-14"/>
    <x v="0"/>
    <n v="643"/>
    <n v="358"/>
    <n v="157599"/>
    <n v="3.88"/>
    <n v="7285"/>
    <n v="1.8083871090552605E-3"/>
  </r>
  <r>
    <s v="2024-10-14"/>
    <x v="1"/>
    <n v="201"/>
    <n v="221"/>
    <n v="309772"/>
    <n v="5.9"/>
    <n v="33174"/>
    <n v="-6.456361452939582E-5"/>
  </r>
  <r>
    <s v="2024-10-14"/>
    <x v="2"/>
    <n v="414"/>
    <n v="47"/>
    <n v="199178"/>
    <n v="1.53"/>
    <n v="6742"/>
    <n v="1.8425729749269497E-3"/>
  </r>
  <r>
    <s v="2024-10-21"/>
    <x v="3"/>
    <n v="703"/>
    <n v="441"/>
    <n v="357089"/>
    <n v="6.5"/>
    <n v="32478"/>
    <n v="7.3371064356504961E-4"/>
  </r>
  <r>
    <s v="2024-10-21"/>
    <x v="0"/>
    <n v="508"/>
    <n v="69"/>
    <n v="23492"/>
    <n v="3.16"/>
    <n v="42824"/>
    <n v="1.8687212668142345E-2"/>
  </r>
  <r>
    <s v="2024-10-21"/>
    <x v="1"/>
    <n v="697"/>
    <n v="61"/>
    <n v="258287"/>
    <n v="8.25"/>
    <n v="21208"/>
    <n v="2.4623771231227277E-3"/>
  </r>
  <r>
    <s v="2024-10-21"/>
    <x v="2"/>
    <n v="1707"/>
    <n v="223"/>
    <n v="256910"/>
    <n v="5.41"/>
    <n v="44321"/>
    <n v="5.7763419096181542E-3"/>
  </r>
  <r>
    <s v="2024-10-28"/>
    <x v="3"/>
    <n v="642"/>
    <n v="66"/>
    <n v="346522"/>
    <n v="5.85"/>
    <n v="13116"/>
    <n v="1.6622321237901201E-3"/>
  </r>
  <r>
    <s v="2024-10-28"/>
    <x v="0"/>
    <n v="859"/>
    <n v="473"/>
    <n v="209987"/>
    <n v="4.46"/>
    <n v="30214"/>
    <n v="1.8382090319876945E-3"/>
  </r>
  <r>
    <s v="2024-10-28"/>
    <x v="1"/>
    <n v="191"/>
    <n v="154"/>
    <n v="240550"/>
    <n v="5.22"/>
    <n v="15827"/>
    <n v="1.5381417584701726E-4"/>
  </r>
  <r>
    <s v="2024-10-28"/>
    <x v="2"/>
    <n v="1814"/>
    <n v="157"/>
    <n v="305827"/>
    <n v="1.99"/>
    <n v="46643"/>
    <n v="5.4180958515762179E-3"/>
  </r>
  <r>
    <s v="2024-11-04"/>
    <x v="3"/>
    <n v="1466"/>
    <n v="69"/>
    <n v="54935"/>
    <n v="6.85"/>
    <n v="36484"/>
    <n v="2.5430053699827069E-2"/>
  </r>
  <r>
    <s v="2024-11-04"/>
    <x v="0"/>
    <n v="947"/>
    <n v="407"/>
    <n v="319186"/>
    <n v="3.32"/>
    <n v="4996"/>
    <n v="1.6918035252172713E-3"/>
  </r>
  <r>
    <s v="2024-11-04"/>
    <x v="1"/>
    <n v="1821"/>
    <n v="218"/>
    <n v="439080"/>
    <n v="5.68"/>
    <n v="36095"/>
    <n v="3.6508153411678964E-3"/>
  </r>
  <r>
    <s v="2024-11-04"/>
    <x v="2"/>
    <n v="1507"/>
    <n v="463"/>
    <n v="258944"/>
    <n v="6.08"/>
    <n v="16443"/>
    <n v="4.0317597627286209E-3"/>
  </r>
  <r>
    <s v="2024-11-11"/>
    <x v="3"/>
    <n v="1075"/>
    <n v="173"/>
    <n v="51395"/>
    <n v="4.66"/>
    <n v="47812"/>
    <n v="1.7550345364335054E-2"/>
  </r>
  <r>
    <s v="2024-11-11"/>
    <x v="0"/>
    <n v="171"/>
    <n v="277"/>
    <n v="309483"/>
    <n v="8.6999999999999993"/>
    <n v="38452"/>
    <n v="-3.4250669665215861E-4"/>
  </r>
  <r>
    <s v="2024-11-11"/>
    <x v="1"/>
    <n v="1487"/>
    <n v="337"/>
    <n v="87305"/>
    <n v="2.46"/>
    <n v="30428"/>
    <n v="1.3172212358971423E-2"/>
  </r>
  <r>
    <s v="2024-11-11"/>
    <x v="2"/>
    <n v="454"/>
    <n v="105"/>
    <n v="121091"/>
    <n v="7.97"/>
    <n v="9269"/>
    <n v="2.8821299683708945E-3"/>
  </r>
  <r>
    <s v="2024-11-18"/>
    <x v="3"/>
    <n v="187"/>
    <n v="236"/>
    <n v="51087"/>
    <n v="9.41"/>
    <n v="29533"/>
    <n v="-9.5914811987394058E-4"/>
  </r>
  <r>
    <s v="2024-11-18"/>
    <x v="0"/>
    <n v="513"/>
    <n v="441"/>
    <n v="338847"/>
    <n v="2.68"/>
    <n v="39997"/>
    <n v="2.1248528096751631E-4"/>
  </r>
  <r>
    <s v="2024-11-18"/>
    <x v="1"/>
    <n v="628"/>
    <n v="183"/>
    <n v="487523"/>
    <n v="7.32"/>
    <n v="5391"/>
    <n v="9.1277744844858602E-4"/>
  </r>
  <r>
    <s v="2024-11-18"/>
    <x v="2"/>
    <n v="278"/>
    <n v="218"/>
    <n v="301695"/>
    <n v="4.68"/>
    <n v="22373"/>
    <n v="1.9887634863023914E-4"/>
  </r>
  <r>
    <s v="2024-11-25"/>
    <x v="3"/>
    <n v="1854"/>
    <n v="161"/>
    <n v="282466"/>
    <n v="5.17"/>
    <n v="1810"/>
    <n v="5.9936417126309005E-3"/>
  </r>
  <r>
    <s v="2024-11-25"/>
    <x v="0"/>
    <n v="1710"/>
    <n v="378"/>
    <n v="336661"/>
    <n v="6.2"/>
    <n v="28498"/>
    <n v="3.9565022381564839E-3"/>
  </r>
  <r>
    <s v="2024-11-25"/>
    <x v="1"/>
    <n v="330"/>
    <n v="232"/>
    <n v="88455"/>
    <n v="2.69"/>
    <n v="39530"/>
    <n v="1.1079079758069075E-3"/>
  </r>
  <r>
    <s v="2024-11-25"/>
    <x v="2"/>
    <n v="1293"/>
    <n v="408"/>
    <n v="62535"/>
    <n v="8.9"/>
    <n v="37876"/>
    <n v="1.4152074838090669E-2"/>
  </r>
  <r>
    <s v="2024-12-02"/>
    <x v="3"/>
    <n v="1696"/>
    <n v="71"/>
    <n v="421957"/>
    <n v="3.79"/>
    <n v="36103"/>
    <n v="3.8511033114748661E-3"/>
  </r>
  <r>
    <s v="2024-12-02"/>
    <x v="0"/>
    <n v="1902"/>
    <n v="196"/>
    <n v="470269"/>
    <n v="4.79"/>
    <n v="26103"/>
    <n v="3.6277109484146308E-3"/>
  </r>
  <r>
    <s v="2024-12-02"/>
    <x v="1"/>
    <n v="1441"/>
    <n v="268"/>
    <n v="309904"/>
    <n v="6.37"/>
    <n v="3455"/>
    <n v="3.7850431101244257E-3"/>
  </r>
  <r>
    <s v="2024-12-02"/>
    <x v="2"/>
    <n v="452"/>
    <n v="161"/>
    <n v="221274"/>
    <n v="2.65"/>
    <n v="40888"/>
    <n v="1.3151115811166245E-3"/>
  </r>
  <r>
    <s v="2024-12-09"/>
    <x v="3"/>
    <n v="1494"/>
    <n v="375"/>
    <n v="220616"/>
    <n v="1.81"/>
    <n v="22724"/>
    <n v="5.0721615839286359E-3"/>
  </r>
  <r>
    <s v="2024-12-09"/>
    <x v="0"/>
    <n v="1514"/>
    <n v="141"/>
    <n v="35842"/>
    <n v="7.47"/>
    <n v="18601"/>
    <n v="3.8307014117515761E-2"/>
  </r>
  <r>
    <s v="2024-12-09"/>
    <x v="1"/>
    <n v="1937"/>
    <n v="210"/>
    <n v="20607"/>
    <n v="4.2"/>
    <n v="20861"/>
    <n v="8.3806473528412681E-2"/>
  </r>
  <r>
    <s v="2024-12-09"/>
    <x v="2"/>
    <n v="736"/>
    <n v="163"/>
    <n v="451894"/>
    <n v="5.43"/>
    <n v="46625"/>
    <n v="1.2679964770499277E-3"/>
  </r>
  <r>
    <s v="2024-12-16"/>
    <x v="3"/>
    <n v="1502"/>
    <n v="70"/>
    <n v="465553"/>
    <n v="3.32"/>
    <n v="20692"/>
    <n v="3.0759118725472716E-3"/>
  </r>
  <r>
    <s v="2024-12-16"/>
    <x v="0"/>
    <n v="1623"/>
    <n v="246"/>
    <n v="415815"/>
    <n v="8.11"/>
    <n v="18656"/>
    <n v="3.311568846722701E-3"/>
  </r>
  <r>
    <s v="2024-12-16"/>
    <x v="1"/>
    <n v="1592"/>
    <n v="233"/>
    <n v="327183"/>
    <n v="6.66"/>
    <n v="13316"/>
    <n v="4.1536387893013997E-3"/>
  </r>
  <r>
    <s v="2024-12-16"/>
    <x v="2"/>
    <n v="1004"/>
    <n v="128"/>
    <n v="488901"/>
    <n v="8.09"/>
    <n v="49558"/>
    <n v="1.7917737946946315E-3"/>
  </r>
  <r>
    <s v="2024-12-23"/>
    <x v="3"/>
    <n v="1092"/>
    <n v="408"/>
    <n v="280795"/>
    <n v="8.44"/>
    <n v="4683"/>
    <n v="2.4359408109118751E-3"/>
  </r>
  <r>
    <s v="2024-12-23"/>
    <x v="0"/>
    <n v="1155"/>
    <n v="425"/>
    <n v="93347"/>
    <n v="2.02"/>
    <n v="47502"/>
    <n v="7.8202834584935772E-3"/>
  </r>
  <r>
    <s v="2024-12-23"/>
    <x v="1"/>
    <n v="1137"/>
    <n v="226"/>
    <n v="81119"/>
    <n v="7.74"/>
    <n v="35359"/>
    <n v="1.1230414576116569E-2"/>
  </r>
  <r>
    <s v="2024-12-23"/>
    <x v="2"/>
    <n v="1900"/>
    <n v="311"/>
    <n v="25177"/>
    <n v="2.89"/>
    <n v="14154"/>
    <n v="6.3113158835445049E-2"/>
  </r>
  <r>
    <s v="2024-12-30"/>
    <x v="3"/>
    <n v="1814"/>
    <n v="49"/>
    <n v="140804"/>
    <n v="1.76"/>
    <n v="4313"/>
    <n v="1.253515525127127E-2"/>
  </r>
  <r>
    <s v="2024-12-30"/>
    <x v="0"/>
    <n v="1980"/>
    <n v="204"/>
    <n v="379431"/>
    <n v="3.09"/>
    <n v="25140"/>
    <n v="4.6806929323118035E-3"/>
  </r>
  <r>
    <s v="2024-12-30"/>
    <x v="1"/>
    <n v="1786"/>
    <n v="257"/>
    <n v="274831"/>
    <n v="4.68"/>
    <n v="9118"/>
    <n v="5.5634189738421064E-3"/>
  </r>
  <r>
    <s v="2024-12-30"/>
    <x v="2"/>
    <n v="1495"/>
    <n v="35"/>
    <n v="136845"/>
    <n v="4.4800000000000004"/>
    <n v="39931"/>
    <n v="1.0669005078738719E-2"/>
  </r>
  <r>
    <s v="2025-01-06"/>
    <x v="3"/>
    <n v="1013"/>
    <n v="110"/>
    <n v="466382"/>
    <n v="5.3"/>
    <n v="37132"/>
    <n v="1.9361810704529763E-3"/>
  </r>
  <r>
    <s v="2025-01-06"/>
    <x v="0"/>
    <n v="816"/>
    <n v="196"/>
    <n v="95728"/>
    <n v="8.1999999999999993"/>
    <n v="17951"/>
    <n v="6.4766839378238338E-3"/>
  </r>
  <r>
    <s v="2025-01-06"/>
    <x v="1"/>
    <n v="1633"/>
    <n v="445"/>
    <n v="371156"/>
    <n v="2.2200000000000002"/>
    <n v="2798"/>
    <n v="3.2008104408927781E-3"/>
  </r>
  <r>
    <s v="2025-01-06"/>
    <x v="2"/>
    <n v="891"/>
    <n v="45"/>
    <n v="95410"/>
    <n v="8.33"/>
    <n v="15045"/>
    <n v="8.8669950738916262E-3"/>
  </r>
  <r>
    <s v="2025-01-13"/>
    <x v="3"/>
    <n v="1855"/>
    <n v="133"/>
    <n v="349413"/>
    <n v="3.3"/>
    <n v="14548"/>
    <n v="4.9282654051223049E-3"/>
  </r>
  <r>
    <s v="2025-01-13"/>
    <x v="0"/>
    <n v="651"/>
    <n v="353"/>
    <n v="224699"/>
    <n v="5.61"/>
    <n v="45708"/>
    <n v="1.3262186302564765E-3"/>
  </r>
  <r>
    <s v="2025-01-13"/>
    <x v="1"/>
    <n v="118"/>
    <n v="262"/>
    <n v="487896"/>
    <n v="2.56"/>
    <n v="12350"/>
    <n v="-2.9514486693885583E-4"/>
  </r>
  <r>
    <s v="2025-01-13"/>
    <x v="2"/>
    <n v="1331"/>
    <n v="430"/>
    <n v="14437"/>
    <n v="3.29"/>
    <n v="40868"/>
    <n v="6.2409087760615087E-2"/>
  </r>
  <r>
    <s v="2025-01-20"/>
    <x v="3"/>
    <n v="1748"/>
    <n v="176"/>
    <n v="383681"/>
    <n v="9.24"/>
    <n v="43122"/>
    <n v="4.0971536250166149E-3"/>
  </r>
  <r>
    <s v="2025-01-20"/>
    <x v="0"/>
    <n v="663"/>
    <n v="236"/>
    <n v="479490"/>
    <n v="4.51"/>
    <n v="23853"/>
    <n v="8.9052952094934197E-4"/>
  </r>
  <r>
    <s v="2025-01-20"/>
    <x v="1"/>
    <n v="1040"/>
    <n v="149"/>
    <n v="124404"/>
    <n v="5.23"/>
    <n v="45380"/>
    <n v="7.1621491270377159E-3"/>
  </r>
  <r>
    <s v="2025-01-20"/>
    <x v="2"/>
    <n v="1166"/>
    <n v="442"/>
    <n v="336949"/>
    <n v="4.68"/>
    <n v="7705"/>
    <n v="2.1486931256659019E-3"/>
  </r>
  <r>
    <s v="2025-01-27"/>
    <x v="3"/>
    <n v="115"/>
    <n v="281"/>
    <n v="357265"/>
    <n v="9.23"/>
    <n v="25525"/>
    <n v="-4.6464109274628077E-4"/>
  </r>
  <r>
    <s v="2025-01-27"/>
    <x v="0"/>
    <n v="1249"/>
    <n v="351"/>
    <n v="321307"/>
    <n v="6.37"/>
    <n v="20560"/>
    <n v="2.7948348464241365E-3"/>
  </r>
  <r>
    <s v="2025-01-27"/>
    <x v="1"/>
    <n v="1501"/>
    <n v="75"/>
    <n v="262569"/>
    <n v="2.0099999999999998"/>
    <n v="19119"/>
    <n v="5.4309533874905263E-3"/>
  </r>
  <r>
    <s v="2025-01-27"/>
    <x v="2"/>
    <n v="1411"/>
    <n v="186"/>
    <n v="461669"/>
    <n v="3.72"/>
    <n v="43999"/>
    <n v="2.6534161921203288E-3"/>
  </r>
  <r>
    <s v="2025-02-03"/>
    <x v="3"/>
    <n v="1556"/>
    <n v="476"/>
    <n v="351556"/>
    <n v="3.89"/>
    <n v="10825"/>
    <n v="3.0720567989168156E-3"/>
  </r>
  <r>
    <s v="2025-02-03"/>
    <x v="0"/>
    <n v="1159"/>
    <n v="411"/>
    <n v="135987"/>
    <n v="8.6999999999999993"/>
    <n v="40323"/>
    <n v="5.5005257855530306E-3"/>
  </r>
  <r>
    <s v="2025-02-03"/>
    <x v="1"/>
    <n v="927"/>
    <n v="358"/>
    <n v="177554"/>
    <n v="6.95"/>
    <n v="48270"/>
    <n v="3.2046588643454949E-3"/>
  </r>
  <r>
    <s v="2025-02-03"/>
    <x v="2"/>
    <n v="152"/>
    <n v="355"/>
    <n v="270766"/>
    <n v="9.48"/>
    <n v="18001"/>
    <n v="-7.4972485467156139E-4"/>
  </r>
  <r>
    <s v="2025-02-10"/>
    <x v="3"/>
    <n v="1957"/>
    <n v="234"/>
    <n v="222126"/>
    <n v="4.6100000000000003"/>
    <n v="3314"/>
    <n v="7.7568587198256845E-3"/>
  </r>
  <r>
    <s v="2025-02-10"/>
    <x v="0"/>
    <n v="1294"/>
    <n v="382"/>
    <n v="309914"/>
    <n v="8.0299999999999994"/>
    <n v="23489"/>
    <n v="2.9427518601934728E-3"/>
  </r>
  <r>
    <s v="2025-02-10"/>
    <x v="1"/>
    <n v="1587"/>
    <n v="385"/>
    <n v="126582"/>
    <n v="6.99"/>
    <n v="42832"/>
    <n v="9.4958208908059605E-3"/>
  </r>
  <r>
    <s v="2025-02-10"/>
    <x v="2"/>
    <n v="1707"/>
    <n v="263"/>
    <n v="485280"/>
    <n v="9.0299999999999994"/>
    <n v="24494"/>
    <n v="2.9756017144741179E-3"/>
  </r>
  <r>
    <s v="2025-02-17"/>
    <x v="3"/>
    <n v="1138"/>
    <n v="173"/>
    <n v="453243"/>
    <n v="2.86"/>
    <n v="44097"/>
    <n v="2.1291007252180398E-3"/>
  </r>
  <r>
    <s v="2025-02-17"/>
    <x v="0"/>
    <n v="1895"/>
    <n v="305"/>
    <n v="104967"/>
    <n v="3.85"/>
    <n v="31853"/>
    <n v="1.5147617822744291E-2"/>
  </r>
  <r>
    <s v="2025-02-17"/>
    <x v="1"/>
    <n v="362"/>
    <n v="399"/>
    <n v="145608"/>
    <n v="7.3"/>
    <n v="37636"/>
    <n v="-2.5410691720235154E-4"/>
  </r>
  <r>
    <s v="2025-02-17"/>
    <x v="2"/>
    <n v="1662"/>
    <n v="487"/>
    <n v="105980"/>
    <n v="9.08"/>
    <n v="22996"/>
    <n v="1.1086997546706926E-2"/>
  </r>
  <r>
    <s v="2025-02-24"/>
    <x v="3"/>
    <n v="1440"/>
    <n v="65"/>
    <n v="126524"/>
    <n v="4.34"/>
    <n v="49772"/>
    <n v="1.0867503398564699E-2"/>
  </r>
  <r>
    <s v="2025-02-24"/>
    <x v="0"/>
    <n v="1884"/>
    <n v="177"/>
    <n v="230448"/>
    <n v="7.8"/>
    <n v="22713"/>
    <n v="7.4073109768798169E-3"/>
  </r>
  <r>
    <s v="2025-02-24"/>
    <x v="1"/>
    <n v="861"/>
    <n v="153"/>
    <n v="317007"/>
    <n v="3.85"/>
    <n v="8718"/>
    <n v="2.2333891680625349E-3"/>
  </r>
  <r>
    <s v="2025-02-24"/>
    <x v="2"/>
    <n v="1063"/>
    <n v="47"/>
    <n v="464239"/>
    <n v="6.58"/>
    <n v="39031"/>
    <n v="2.1885278918832756E-3"/>
  </r>
  <r>
    <s v="2025-03-03"/>
    <x v="3"/>
    <n v="1371"/>
    <n v="56"/>
    <n v="257579"/>
    <n v="8.6199999999999992"/>
    <n v="33799"/>
    <n v="5.1052298518124532E-3"/>
  </r>
  <r>
    <s v="2025-03-03"/>
    <x v="0"/>
    <n v="345"/>
    <n v="464"/>
    <n v="366881"/>
    <n v="4.55"/>
    <n v="20553"/>
    <n v="-3.2435585380545735E-4"/>
  </r>
  <r>
    <s v="2025-03-03"/>
    <x v="1"/>
    <n v="946"/>
    <n v="47"/>
    <n v="466575"/>
    <n v="8.33"/>
    <n v="10002"/>
    <n v="1.9268070513850934E-3"/>
  </r>
  <r>
    <s v="2025-03-03"/>
    <x v="2"/>
    <n v="510"/>
    <n v="195"/>
    <n v="224534"/>
    <n v="9.4"/>
    <n v="30987"/>
    <n v="1.4029055733207443E-3"/>
  </r>
  <r>
    <s v="2025-03-10"/>
    <x v="3"/>
    <n v="393"/>
    <n v="181"/>
    <n v="462142"/>
    <n v="7.23"/>
    <n v="6296"/>
    <n v="4.5873346287504706E-4"/>
  </r>
  <r>
    <s v="2025-03-10"/>
    <x v="0"/>
    <n v="1098"/>
    <n v="190"/>
    <n v="340842"/>
    <n v="9.39"/>
    <n v="21539"/>
    <n v="2.6639909400836752E-3"/>
  </r>
  <r>
    <s v="2025-03-10"/>
    <x v="1"/>
    <n v="1399"/>
    <n v="49"/>
    <n v="12471"/>
    <n v="5.12"/>
    <n v="14722"/>
    <n v="0.10825114265095021"/>
  </r>
  <r>
    <s v="2025-03-10"/>
    <x v="2"/>
    <n v="1658"/>
    <n v="416"/>
    <n v="98397"/>
    <n v="6.11"/>
    <n v="11383"/>
    <n v="1.2622336046830695E-2"/>
  </r>
  <r>
    <s v="2025-03-17"/>
    <x v="3"/>
    <n v="1102"/>
    <n v="422"/>
    <n v="410330"/>
    <n v="7.74"/>
    <n v="9480"/>
    <n v="1.6572027392586454E-3"/>
  </r>
  <r>
    <s v="2025-03-17"/>
    <x v="0"/>
    <n v="1358"/>
    <n v="242"/>
    <n v="342129"/>
    <n v="4.9400000000000004"/>
    <n v="29116"/>
    <n v="3.2619275185675578E-3"/>
  </r>
  <r>
    <s v="2025-03-17"/>
    <x v="1"/>
    <n v="1077"/>
    <n v="216"/>
    <n v="12447"/>
    <n v="1.8"/>
    <n v="14068"/>
    <n v="6.9173294769824048E-2"/>
  </r>
  <r>
    <s v="2025-03-17"/>
    <x v="2"/>
    <n v="1596"/>
    <n v="211"/>
    <n v="17380"/>
    <n v="8.64"/>
    <n v="35801"/>
    <n v="7.9689298043728429E-2"/>
  </r>
  <r>
    <s v="2025-03-24"/>
    <x v="3"/>
    <n v="490"/>
    <n v="29"/>
    <n v="364810"/>
    <n v="1.53"/>
    <n v="49077"/>
    <n v="1.2636715002329981E-3"/>
  </r>
  <r>
    <s v="2025-03-24"/>
    <x v="0"/>
    <n v="609"/>
    <n v="135"/>
    <n v="373606"/>
    <n v="8.52"/>
    <n v="21453"/>
    <n v="1.268716241173857E-3"/>
  </r>
  <r>
    <s v="2025-03-24"/>
    <x v="1"/>
    <n v="364"/>
    <n v="72"/>
    <n v="211090"/>
    <n v="5.53"/>
    <n v="21061"/>
    <n v="1.3832962243592781E-3"/>
  </r>
  <r>
    <s v="2025-03-24"/>
    <x v="2"/>
    <n v="442"/>
    <n v="53"/>
    <n v="441931"/>
    <n v="1.87"/>
    <n v="20059"/>
    <n v="8.8022790888170322E-4"/>
  </r>
  <r>
    <s v="2025-03-31"/>
    <x v="3"/>
    <n v="1033"/>
    <n v="392"/>
    <n v="282780"/>
    <n v="6.27"/>
    <n v="23140"/>
    <n v="2.2667798288422093E-3"/>
  </r>
  <r>
    <s v="2025-03-31"/>
    <x v="0"/>
    <n v="988"/>
    <n v="474"/>
    <n v="370070"/>
    <n v="9.4600000000000009"/>
    <n v="23461"/>
    <n v="1.3889264193260734E-3"/>
  </r>
  <r>
    <s v="2025-03-31"/>
    <x v="1"/>
    <n v="1946"/>
    <n v="270"/>
    <n v="198350"/>
    <n v="7.5"/>
    <n v="11805"/>
    <n v="8.4497101083942528E-3"/>
  </r>
  <r>
    <s v="2025-03-31"/>
    <x v="2"/>
    <n v="1957"/>
    <n v="490"/>
    <n v="435726"/>
    <n v="4.7300000000000004"/>
    <n v="15969"/>
    <n v="3.3667947287974553E-3"/>
  </r>
  <r>
    <s v="2025-04-07"/>
    <x v="3"/>
    <n v="559"/>
    <n v="392"/>
    <n v="78789"/>
    <n v="3.19"/>
    <n v="2436"/>
    <n v="2.1195852212872357E-3"/>
  </r>
  <r>
    <s v="2025-04-07"/>
    <x v="0"/>
    <n v="1307"/>
    <n v="278"/>
    <n v="98596"/>
    <n v="2.4900000000000002"/>
    <n v="47603"/>
    <n v="1.0436528865268368E-2"/>
  </r>
  <r>
    <s v="2025-04-07"/>
    <x v="1"/>
    <n v="1432"/>
    <n v="425"/>
    <n v="29589"/>
    <n v="4.5"/>
    <n v="42964"/>
    <n v="3.4032917638311531E-2"/>
  </r>
  <r>
    <s v="2025-04-07"/>
    <x v="2"/>
    <n v="623"/>
    <n v="414"/>
    <n v="290354"/>
    <n v="6.49"/>
    <n v="39923"/>
    <n v="7.1981098934404211E-4"/>
  </r>
  <r>
    <s v="2025-04-14"/>
    <x v="3"/>
    <n v="198"/>
    <n v="358"/>
    <n v="66682"/>
    <n v="6.73"/>
    <n v="2293"/>
    <n v="-2.3994481269308059E-3"/>
  </r>
  <r>
    <s v="2025-04-14"/>
    <x v="0"/>
    <n v="198"/>
    <n v="373"/>
    <n v="70707"/>
    <n v="4.83"/>
    <n v="25920"/>
    <n v="-2.4750024750024749E-3"/>
  </r>
  <r>
    <s v="2025-04-14"/>
    <x v="1"/>
    <n v="353"/>
    <n v="300"/>
    <n v="142507"/>
    <n v="5.3"/>
    <n v="11035"/>
    <n v="3.7191155522184875E-4"/>
  </r>
  <r>
    <s v="2025-04-14"/>
    <x v="2"/>
    <n v="520"/>
    <n v="375"/>
    <n v="369525"/>
    <n v="6.54"/>
    <n v="20733"/>
    <n v="3.9239564305527366E-4"/>
  </r>
  <r>
    <s v="2025-04-21"/>
    <x v="3"/>
    <n v="961"/>
    <n v="358"/>
    <n v="62942"/>
    <n v="6.8"/>
    <n v="18693"/>
    <n v="9.5802484827301332E-3"/>
  </r>
  <r>
    <s v="2025-04-21"/>
    <x v="0"/>
    <n v="1375"/>
    <n v="330"/>
    <n v="377382"/>
    <n v="2.6"/>
    <n v="7875"/>
    <n v="2.7690774864725927E-3"/>
  </r>
  <r>
    <s v="2025-04-21"/>
    <x v="1"/>
    <n v="1147"/>
    <n v="388"/>
    <n v="333851"/>
    <n v="2.44"/>
    <n v="8471"/>
    <n v="2.2734693021737242E-3"/>
  </r>
  <r>
    <s v="2025-04-21"/>
    <x v="2"/>
    <n v="1707"/>
    <n v="74"/>
    <n v="270958"/>
    <n v="3.09"/>
    <n v="14090"/>
    <n v="6.0267642955734836E-3"/>
  </r>
  <r>
    <s v="2025-04-28"/>
    <x v="3"/>
    <n v="1693"/>
    <n v="154"/>
    <n v="445944"/>
    <n v="5.69"/>
    <n v="14216"/>
    <n v="3.4511059684624078E-3"/>
  </r>
  <r>
    <s v="2025-04-28"/>
    <x v="0"/>
    <n v="833"/>
    <n v="380"/>
    <n v="224830"/>
    <n v="3.86"/>
    <n v="3582"/>
    <n v="2.014855668727483E-3"/>
  </r>
  <r>
    <s v="2025-04-28"/>
    <x v="1"/>
    <n v="1222"/>
    <n v="274"/>
    <n v="487289"/>
    <n v="3.16"/>
    <n v="32500"/>
    <n v="1.9454574184929272E-3"/>
  </r>
  <r>
    <s v="2025-04-28"/>
    <x v="2"/>
    <n v="777"/>
    <n v="140"/>
    <n v="11435"/>
    <n v="1.6"/>
    <n v="6832"/>
    <n v="5.5706165282028861E-2"/>
  </r>
  <r>
    <s v="2025-05-05"/>
    <x v="3"/>
    <n v="1957"/>
    <n v="76"/>
    <n v="447902"/>
    <n v="6.09"/>
    <n v="33381"/>
    <n v="4.1995793722733989E-3"/>
  </r>
  <r>
    <s v="2025-05-05"/>
    <x v="0"/>
    <n v="405"/>
    <n v="66"/>
    <n v="418696"/>
    <n v="5.59"/>
    <n v="48419"/>
    <n v="8.0965664826031301E-4"/>
  </r>
  <r>
    <s v="2025-05-05"/>
    <x v="1"/>
    <n v="1581"/>
    <n v="71"/>
    <n v="484364"/>
    <n v="3.55"/>
    <n v="16149"/>
    <n v="3.1174901520344203E-3"/>
  </r>
  <r>
    <s v="2025-05-05"/>
    <x v="2"/>
    <n v="1035"/>
    <n v="171"/>
    <n v="148477"/>
    <n v="5.21"/>
    <n v="7541"/>
    <n v="5.8190830903102836E-3"/>
  </r>
  <r>
    <s v="2025-05-12"/>
    <x v="3"/>
    <n v="1765"/>
    <n v="109"/>
    <n v="468301"/>
    <n v="1.82"/>
    <n v="20042"/>
    <n v="3.5361871958419907E-3"/>
  </r>
  <r>
    <s v="2025-05-12"/>
    <x v="0"/>
    <n v="837"/>
    <n v="430"/>
    <n v="364820"/>
    <n v="4"/>
    <n v="49400"/>
    <n v="1.1156186612576065E-3"/>
  </r>
  <r>
    <s v="2025-05-12"/>
    <x v="1"/>
    <n v="337"/>
    <n v="68"/>
    <n v="456298"/>
    <n v="7.57"/>
    <n v="4007"/>
    <n v="5.8952701962314107E-4"/>
  </r>
  <r>
    <s v="2025-05-12"/>
    <x v="2"/>
    <n v="119"/>
    <n v="456"/>
    <n v="82558"/>
    <n v="6.81"/>
    <n v="12174"/>
    <n v="-4.0819787301048958E-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x v="0"/>
    <s v="2024-12-23"/>
    <s v="Reel"/>
    <s v="Check out our latest reel on twitter!"/>
    <n v="1461"/>
    <n v="184"/>
    <n v="344"/>
    <n v="21915"/>
    <n v="21675"/>
    <n v="15"/>
    <s v="CybertruckLaunch"/>
    <s v="#FutureOfDriving"/>
    <s v="#AnytimeIsTeslaTime"/>
    <m/>
    <n v="9.0759753593429152E-2"/>
    <n v="1989"/>
  </r>
  <r>
    <x v="0"/>
    <s v="2025-04-03"/>
    <s v="Text"/>
    <s v="Check out our latest text on twitter!"/>
    <n v="4054"/>
    <n v="389"/>
    <n v="493"/>
    <n v="64864"/>
    <n v="64383"/>
    <n v="117"/>
    <s v="ModelYCampaign"/>
    <s v="#TeslaCoInnovation"/>
    <s v="#BetterWithTesla"/>
    <m/>
    <n v="7.6097681302417369E-2"/>
    <n v="4936"/>
  </r>
  <r>
    <x v="1"/>
    <s v="2025-05-12"/>
    <s v="Reel"/>
    <s v="Check out our latest reel on youtube!"/>
    <n v="2795"/>
    <n v="105"/>
    <n v="49"/>
    <n v="53105"/>
    <n v="52307"/>
    <n v="204"/>
    <s v="FSDUpdate"/>
    <s v="#TeslaCoInnovation"/>
    <m/>
    <m/>
    <n v="5.5531494209584788E-2"/>
    <n v="2949"/>
  </r>
  <r>
    <x v="2"/>
    <s v="2024-08-12"/>
    <s v="Story"/>
    <s v="Check out our latest story on instagram!"/>
    <n v="2404"/>
    <n v="363"/>
    <n v="138"/>
    <n v="19232"/>
    <n v="18636"/>
    <n v="128"/>
    <s v="SustainabilityDrive"/>
    <s v="#EVRevolution"/>
    <m/>
    <m/>
    <n v="0.15105033277870217"/>
    <n v="2905"/>
  </r>
  <r>
    <x v="1"/>
    <s v="2024-06-26"/>
    <s v="Reel"/>
    <s v="Check out our latest reel on youtube!"/>
    <n v="3557"/>
    <n v="687"/>
    <n v="424"/>
    <n v="71140"/>
    <n v="70701"/>
    <n v="224"/>
    <s v="CybertruckLaunch"/>
    <s v="#EVRevolution"/>
    <s v="#TeslaCoInnovation"/>
    <m/>
    <n v="6.5617093055946027E-2"/>
    <n v="4668"/>
  </r>
  <r>
    <x v="3"/>
    <s v="2024-10-31"/>
    <s v="Carousel"/>
    <s v="Check out our latest carousel on facebook!"/>
    <n v="2945"/>
    <n v="930"/>
    <n v="355"/>
    <n v="23560"/>
    <n v="23275"/>
    <n v="256"/>
    <s v="ModelYCampaign"/>
    <s v="#TeslaCoInnovation"/>
    <m/>
    <m/>
    <n v="0.17954159592529711"/>
    <n v="4230"/>
  </r>
  <r>
    <x v="0"/>
    <s v="2024-06-24"/>
    <s v="Carousel"/>
    <s v="Check out our latest carousel on twitter!"/>
    <n v="3860"/>
    <n v="201"/>
    <n v="279"/>
    <n v="61760"/>
    <n v="61660"/>
    <n v="235"/>
    <s v="ModelYCampaign"/>
    <s v="#TeslaCoInnovation"/>
    <m/>
    <m/>
    <n v="7.0272020725388601E-2"/>
    <n v="4340"/>
  </r>
  <r>
    <x v="1"/>
    <s v="2024-07-13"/>
    <s v="Image"/>
    <s v="Check out our latest image on youtube!"/>
    <n v="3929"/>
    <n v="262"/>
    <n v="278"/>
    <n v="43219"/>
    <n v="42841"/>
    <n v="39"/>
    <s v="SustainabilityDrive"/>
    <s v="#EVRevolution"/>
    <m/>
    <m/>
    <n v="0.10340359564080613"/>
    <n v="4469"/>
  </r>
  <r>
    <x v="3"/>
    <s v="2024-08-30"/>
    <s v="Text"/>
    <s v="Check out our latest text on facebook!"/>
    <n v="3784"/>
    <n v="808"/>
    <n v="404"/>
    <n v="56760"/>
    <n v="56343"/>
    <n v="131"/>
    <s v="ModelYCampaign"/>
    <s v="#TeslaCoInnovation"/>
    <m/>
    <m/>
    <n v="8.8019732205778717E-2"/>
    <n v="4996"/>
  </r>
  <r>
    <x v="3"/>
    <s v="2025-03-11"/>
    <s v="Image"/>
    <s v="Check out our latest image on facebook!"/>
    <n v="4241"/>
    <n v="902"/>
    <n v="47"/>
    <n v="72097"/>
    <n v="71598"/>
    <n v="167"/>
    <s v="ModelYCampaign"/>
    <s v="#TeslaCoInnovation"/>
    <m/>
    <m/>
    <n v="7.198635172059864E-2"/>
    <n v="5190"/>
  </r>
  <r>
    <x v="2"/>
    <s v="2025-02-02"/>
    <s v="Story"/>
    <s v="Check out our latest story on instagram!"/>
    <n v="1792"/>
    <n v="614"/>
    <n v="497"/>
    <n v="25088"/>
    <n v="24675"/>
    <n v="65"/>
    <s v="SustainabilityDrive"/>
    <s v="#FutureOfDriving"/>
    <m/>
    <m/>
    <n v="0.11571269132653061"/>
    <n v="2903"/>
  </r>
  <r>
    <x v="3"/>
    <s v="2024-07-21"/>
    <s v="Reel"/>
    <s v="Check out our latest reel on facebook!"/>
    <n v="1946"/>
    <n v="686"/>
    <n v="377"/>
    <n v="23352"/>
    <n v="22982"/>
    <n v="213"/>
    <s v="FSDUpdate"/>
    <s v="#FutureOfDriving"/>
    <m/>
    <m/>
    <n v="0.12885405960945528"/>
    <n v="3009"/>
  </r>
  <r>
    <x v="1"/>
    <s v="2024-11-18"/>
    <s v="Carousel"/>
    <s v="Check out our latest carousel on youtube!"/>
    <n v="1171"/>
    <n v="286"/>
    <n v="231"/>
    <n v="22249"/>
    <n v="21282"/>
    <n v="114"/>
    <s v="CybertruckLaunch"/>
    <s v="#EVRevolution"/>
    <m/>
    <m/>
    <n v="7.5868578363072495E-2"/>
    <n v="1688"/>
  </r>
  <r>
    <x v="3"/>
    <s v="2025-02-16"/>
    <s v="Story"/>
    <s v="Check out our latest story on facebook!"/>
    <n v="4242"/>
    <n v="555"/>
    <n v="131"/>
    <n v="33936"/>
    <n v="33802"/>
    <n v="265"/>
    <m/>
    <s v="#FutureOfDriving"/>
    <m/>
    <m/>
    <n v="0.14521452145214522"/>
    <n v="4928"/>
  </r>
  <r>
    <x v="3"/>
    <s v="2024-10-24"/>
    <s v="Video"/>
    <s v="Check out our latest video on facebook!"/>
    <n v="3888"/>
    <n v="604"/>
    <n v="128"/>
    <n v="77760"/>
    <n v="77167"/>
    <n v="20"/>
    <s v="CybertruckLaunch"/>
    <s v="#FutureOfDriving"/>
    <m/>
    <m/>
    <n v="5.941358024691358E-2"/>
    <n v="4620"/>
  </r>
  <r>
    <x v="3"/>
    <s v="2024-08-26"/>
    <s v="Text"/>
    <s v="Check out our latest text on facebook!"/>
    <n v="3452"/>
    <n v="377"/>
    <n v="360"/>
    <n v="55232"/>
    <n v="55075"/>
    <n v="87"/>
    <s v="FSDUpdate"/>
    <s v="#FutureOfDriving"/>
    <m/>
    <m/>
    <n v="7.5843713789107758E-2"/>
    <n v="4189"/>
  </r>
  <r>
    <x v="3"/>
    <s v="2025-05-05"/>
    <s v="Text"/>
    <s v="Check out our latest text on facebook!"/>
    <n v="4441"/>
    <n v="511"/>
    <n v="70"/>
    <n v="53292"/>
    <n v="53082"/>
    <n v="159"/>
    <s v="SustainabilityDrive"/>
    <s v="#EVRevolution"/>
    <m/>
    <m/>
    <n v="9.4235532537716729E-2"/>
    <n v="5022"/>
  </r>
  <r>
    <x v="2"/>
    <s v="2024-08-19"/>
    <s v="Reel"/>
    <s v="Check out our latest reel on instagram!"/>
    <n v="3000"/>
    <n v="382"/>
    <n v="325"/>
    <n v="36000"/>
    <n v="35819"/>
    <n v="19"/>
    <s v="CybertruckLaunch"/>
    <s v="#FutureOfDriving"/>
    <m/>
    <m/>
    <n v="0.10297222222222223"/>
    <n v="3707"/>
  </r>
  <r>
    <x v="2"/>
    <s v="2024-06-23"/>
    <s v="Video"/>
    <s v="Check out our latest video on instagram!"/>
    <n v="1071"/>
    <n v="519"/>
    <n v="22"/>
    <n v="16065"/>
    <n v="15865"/>
    <n v="103"/>
    <s v="SustainabilityDrive"/>
    <s v="#TeslaCoInnovation"/>
    <m/>
    <m/>
    <n v="0.10034235916588857"/>
    <n v="1612"/>
  </r>
  <r>
    <x v="2"/>
    <s v="2024-09-09"/>
    <s v="Carousel"/>
    <s v="Check out our latest carousel on instagram!"/>
    <n v="4054"/>
    <n v="488"/>
    <n v="373"/>
    <n v="77026"/>
    <n v="76881"/>
    <n v="25"/>
    <s v="CybertruckLaunch"/>
    <s v="#TeslaCoInnovation"/>
    <m/>
    <m/>
    <n v="6.3809622724794221E-2"/>
    <n v="4915"/>
  </r>
  <r>
    <x v="2"/>
    <s v="2025-01-04"/>
    <s v="Reel"/>
    <s v="Check out our latest reel on instagram!"/>
    <n v="4838"/>
    <n v="640"/>
    <n v="128"/>
    <n v="72570"/>
    <n v="72396"/>
    <n v="83"/>
    <s v="SustainabilityDrive"/>
    <s v="#FutureOfDriving"/>
    <m/>
    <m/>
    <n v="7.7249552156538517E-2"/>
    <n v="5606"/>
  </r>
  <r>
    <x v="3"/>
    <s v="2025-02-27"/>
    <s v="Text"/>
    <s v="Check out our latest text on facebook!"/>
    <n v="1570"/>
    <n v="187"/>
    <n v="260"/>
    <n v="25120"/>
    <n v="24613"/>
    <n v="133"/>
    <s v="SustainabilityDrive"/>
    <s v="#TeslaCoInnovation"/>
    <m/>
    <m/>
    <n v="8.0294585987261149E-2"/>
    <n v="2017"/>
  </r>
  <r>
    <x v="3"/>
    <s v="2024-11-06"/>
    <s v="Video"/>
    <s v="Check out our latest video on facebook!"/>
    <n v="1606"/>
    <n v="547"/>
    <n v="316"/>
    <n v="32120"/>
    <n v="31736"/>
    <n v="225"/>
    <s v="ModelYCampaign"/>
    <s v="#TeslaCoInnovation"/>
    <s v="#AnytimeIsTeslaTime"/>
    <m/>
    <n v="7.6867995018679955E-2"/>
    <n v="2469"/>
  </r>
  <r>
    <x v="3"/>
    <s v="2025-01-23"/>
    <s v="Video"/>
    <s v="Check out our latest video on facebook!"/>
    <n v="3961"/>
    <n v="761"/>
    <n v="131"/>
    <n v="67337"/>
    <n v="66615"/>
    <n v="161"/>
    <s v="FSDUpdate"/>
    <s v="#FutureOfDriving"/>
    <m/>
    <m/>
    <n v="7.2070332803659209E-2"/>
    <n v="4853"/>
  </r>
  <r>
    <x v="0"/>
    <s v="2025-04-10"/>
    <s v="Carousel"/>
    <s v="Check out our latest carousel on twitter!"/>
    <n v="3128"/>
    <n v="211"/>
    <n v="197"/>
    <n v="59432"/>
    <n v="59182"/>
    <n v="238"/>
    <m/>
    <s v="#EVRevolution"/>
    <m/>
    <m/>
    <n v="5.9496567505720827E-2"/>
    <n v="3536"/>
  </r>
  <r>
    <x v="1"/>
    <s v="2025-04-05"/>
    <s v="Reel"/>
    <s v="Check out our latest reel on youtube!"/>
    <n v="3009"/>
    <n v="413"/>
    <n v="358"/>
    <n v="42126"/>
    <n v="41309"/>
    <n v="211"/>
    <s v="ModelYCampaign"/>
    <s v="#FutureOfDriving"/>
    <m/>
    <m/>
    <n v="8.9730807577268201E-2"/>
    <n v="3780"/>
  </r>
  <r>
    <x v="1"/>
    <s v="2024-09-17"/>
    <s v="Text"/>
    <s v="Check out our latest text on youtube!"/>
    <n v="2076"/>
    <n v="195"/>
    <n v="104"/>
    <n v="33216"/>
    <n v="32244"/>
    <n v="51"/>
    <s v="SustainabilityDrive"/>
    <s v="#FutureOfDriving"/>
    <m/>
    <m/>
    <n v="7.1501685934489398E-2"/>
    <n v="2375"/>
  </r>
  <r>
    <x v="2"/>
    <s v="2025-03-04"/>
    <s v="Video"/>
    <s v="Check out our latest video on instagram!"/>
    <n v="432"/>
    <n v="624"/>
    <n v="123"/>
    <n v="6912"/>
    <n v="6259"/>
    <n v="79"/>
    <s v="SustainabilityDrive"/>
    <s v="#FutureOfDriving"/>
    <m/>
    <m/>
    <n v="0.17057291666666666"/>
    <n v="1179"/>
  </r>
  <r>
    <x v="2"/>
    <s v="2025-01-31"/>
    <s v="Carousel"/>
    <s v="Check out our latest carousel on instagram!"/>
    <n v="2566"/>
    <n v="118"/>
    <n v="37"/>
    <n v="12830"/>
    <n v="12264"/>
    <n v="221"/>
    <s v="FSDUpdate"/>
    <s v="#FutureOfDriving"/>
    <m/>
    <m/>
    <n v="0.21208106001558846"/>
    <n v="2721"/>
  </r>
  <r>
    <x v="2"/>
    <s v="2025-02-25"/>
    <s v="Video"/>
    <s v="Check out our latest video on instagram!"/>
    <n v="3095"/>
    <n v="39"/>
    <n v="78"/>
    <n v="55710"/>
    <n v="54808"/>
    <n v="93"/>
    <m/>
    <s v="#EVRevolution"/>
    <m/>
    <m/>
    <n v="5.7655717106444085E-2"/>
    <n v="3212"/>
  </r>
  <r>
    <x v="2"/>
    <s v="2024-12-16"/>
    <s v="Text"/>
    <s v="Check out our latest text on instagram!"/>
    <n v="438"/>
    <n v="153"/>
    <n v="275"/>
    <n v="3066"/>
    <n v="2701"/>
    <n v="282"/>
    <s v="ModelYCampaign"/>
    <s v="#TeslaCoInnovation"/>
    <m/>
    <m/>
    <n v="0.28245270711024134"/>
    <n v="866"/>
  </r>
  <r>
    <x v="0"/>
    <s v="2024-07-31"/>
    <s v="Carousel"/>
    <s v="Check out our latest carousel on twitter!"/>
    <n v="2278"/>
    <n v="10"/>
    <n v="321"/>
    <n v="13668"/>
    <n v="12676"/>
    <n v="275"/>
    <s v="CybertruckLaunch"/>
    <s v="#EVRevolution"/>
    <m/>
    <m/>
    <n v="0.19088381621305239"/>
    <n v="2609"/>
  </r>
  <r>
    <x v="3"/>
    <s v="2024-08-21"/>
    <s v="Image"/>
    <s v="Check out our latest image on facebook!"/>
    <n v="1407"/>
    <n v="400"/>
    <n v="351"/>
    <n v="16884"/>
    <n v="15954"/>
    <n v="113"/>
    <s v="CybertruckLaunch"/>
    <s v="#TeslaCoInnovation"/>
    <m/>
    <m/>
    <n v="0.12781331438047855"/>
    <n v="2158"/>
  </r>
  <r>
    <x v="3"/>
    <s v="2025-03-26"/>
    <s v="Text"/>
    <s v="Check out our latest text on facebook!"/>
    <n v="1652"/>
    <n v="89"/>
    <n v="357"/>
    <n v="29736"/>
    <n v="28771"/>
    <n v="215"/>
    <s v="FSDUpdate"/>
    <s v="#TeslaCoInnovation"/>
    <m/>
    <m/>
    <n v="7.055421038471886E-2"/>
    <n v="2098"/>
  </r>
  <r>
    <x v="2"/>
    <s v="2024-11-30"/>
    <s v="Video"/>
    <s v="Check out our latest video on instagram!"/>
    <n v="3775"/>
    <n v="16"/>
    <n v="239"/>
    <n v="33975"/>
    <n v="33310"/>
    <n v="271"/>
    <s v="ModelYCampaign"/>
    <s v="#FutureOfDriving"/>
    <m/>
    <m/>
    <n v="0.11861662987490802"/>
    <n v="4030"/>
  </r>
  <r>
    <x v="2"/>
    <s v="2025-04-19"/>
    <s v="Story"/>
    <s v="Check out our latest story on instagram!"/>
    <n v="4518"/>
    <n v="285"/>
    <n v="383"/>
    <n v="67770"/>
    <n v="67621"/>
    <n v="31"/>
    <s v="ModelYCampaign"/>
    <s v="#EVRevolution"/>
    <m/>
    <m/>
    <n v="7.6523535487678915E-2"/>
    <n v="5186"/>
  </r>
  <r>
    <x v="3"/>
    <s v="2025-01-06"/>
    <s v="Carousel"/>
    <s v="Check out our latest carousel on facebook!"/>
    <n v="3024"/>
    <n v="925"/>
    <n v="350"/>
    <n v="24192"/>
    <n v="23518"/>
    <n v="36"/>
    <s v="ModelYCampaign"/>
    <s v="#EVRevolution"/>
    <m/>
    <m/>
    <n v="0.17770337301587302"/>
    <n v="4299"/>
  </r>
  <r>
    <x v="1"/>
    <s v="2025-02-17"/>
    <s v="Reel"/>
    <s v="Check out our latest reel on youtube!"/>
    <n v="3138"/>
    <n v="123"/>
    <n v="291"/>
    <n v="28242"/>
    <n v="27550"/>
    <n v="87"/>
    <s v="SustainabilityDrive"/>
    <s v="#TeslaCoInnovation"/>
    <m/>
    <m/>
    <n v="0.12577012959422137"/>
    <n v="3552"/>
  </r>
  <r>
    <x v="3"/>
    <s v="2024-11-25"/>
    <s v="Image"/>
    <s v="Check out our latest image on facebook!"/>
    <n v="3564"/>
    <n v="629"/>
    <n v="177"/>
    <n v="60588"/>
    <n v="59627"/>
    <n v="92"/>
    <m/>
    <s v="#TeslaCoInnovation"/>
    <m/>
    <m/>
    <n v="7.2126493695121141E-2"/>
    <n v="4370"/>
  </r>
  <r>
    <x v="0"/>
    <s v="2025-03-07"/>
    <s v="Image"/>
    <s v="Check out our latest image on twitter!"/>
    <n v="4750"/>
    <n v="151"/>
    <n v="415"/>
    <n v="38000"/>
    <n v="37792"/>
    <n v="299"/>
    <s v="SustainabilityDrive"/>
    <s v="#EVRevolution"/>
    <m/>
    <m/>
    <n v="0.13989473684210527"/>
    <n v="5316"/>
  </r>
  <r>
    <x v="2"/>
    <s v="2025-03-08"/>
    <s v="Reel"/>
    <s v="Check out our latest reel on instagram!"/>
    <n v="456"/>
    <n v="629"/>
    <n v="428"/>
    <n v="8208"/>
    <n v="7377"/>
    <n v="205"/>
    <s v="SustainabilityDrive"/>
    <s v="#FutureOfDriving"/>
    <m/>
    <m/>
    <n v="0.18433235867446393"/>
    <n v="1513"/>
  </r>
  <r>
    <x v="1"/>
    <s v="2025-03-05"/>
    <s v="Reel"/>
    <s v="Check out our latest reel on youtube!"/>
    <n v="1543"/>
    <n v="820"/>
    <n v="333"/>
    <n v="12344"/>
    <n v="11496"/>
    <n v="241"/>
    <m/>
    <s v="#EVRevolution"/>
    <m/>
    <m/>
    <n v="0.21840570317563188"/>
    <n v="2696"/>
  </r>
  <r>
    <x v="2"/>
    <s v="2024-12-14"/>
    <s v="Carousel"/>
    <s v="Check out our latest carousel on instagram!"/>
    <n v="2174"/>
    <n v="658"/>
    <n v="15"/>
    <n v="13044"/>
    <n v="12206"/>
    <n v="137"/>
    <s v="FSDUpdate"/>
    <s v="#TeslaCoInnovation"/>
    <m/>
    <m/>
    <n v="0.21826126954921804"/>
    <n v="2847"/>
  </r>
  <r>
    <x v="0"/>
    <s v="2025-03-02"/>
    <s v="Image"/>
    <s v="Check out our latest image on twitter!"/>
    <n v="2358"/>
    <n v="784"/>
    <n v="344"/>
    <n v="35370"/>
    <n v="34475"/>
    <n v="216"/>
    <m/>
    <s v="#TeslaCoInnovation"/>
    <m/>
    <m/>
    <n v="9.8558100084817649E-2"/>
    <n v="3486"/>
  </r>
  <r>
    <x v="3"/>
    <s v="2024-11-01"/>
    <s v="Video"/>
    <s v="Check out our latest video on facebook!"/>
    <n v="3371"/>
    <n v="106"/>
    <n v="327"/>
    <n v="50565"/>
    <n v="49816"/>
    <n v="176"/>
    <s v="CybertruckLaunch"/>
    <s v="#FutureOfDriving"/>
    <m/>
    <m/>
    <n v="7.5229902106199939E-2"/>
    <n v="3804"/>
  </r>
  <r>
    <x v="0"/>
    <s v="2025-05-02"/>
    <s v="Video"/>
    <s v="Check out our latest video on twitter!"/>
    <n v="1108"/>
    <n v="177"/>
    <n v="212"/>
    <n v="8864"/>
    <n v="8710"/>
    <n v="97"/>
    <s v="SustainabilityDrive"/>
    <s v="#TeslaCoInnovation"/>
    <m/>
    <m/>
    <n v="0.16888537906137185"/>
    <n v="1497"/>
  </r>
  <r>
    <x v="0"/>
    <s v="2025-02-24"/>
    <s v="Carousel"/>
    <s v="Check out our latest carousel on twitter!"/>
    <n v="2704"/>
    <n v="752"/>
    <n v="153"/>
    <n v="21632"/>
    <n v="20792"/>
    <n v="127"/>
    <m/>
    <s v="#FutureOfDriving"/>
    <m/>
    <m/>
    <n v="0.16683616863905326"/>
    <n v="3609"/>
  </r>
  <r>
    <x v="0"/>
    <s v="2025-03-11"/>
    <s v="Story"/>
    <s v="Check out our latest story on twitter!"/>
    <n v="1950"/>
    <n v="295"/>
    <n v="478"/>
    <n v="37050"/>
    <n v="36272"/>
    <n v="119"/>
    <m/>
    <s v="#TeslaCoInnovation"/>
    <m/>
    <m/>
    <n v="7.349527665317139E-2"/>
    <n v="2723"/>
  </r>
  <r>
    <x v="0"/>
    <s v="2024-06-10"/>
    <s v="Story"/>
    <s v="Check out our latest story on twitter!"/>
    <n v="2164"/>
    <n v="549"/>
    <n v="274"/>
    <n v="28132"/>
    <n v="27361"/>
    <n v="177"/>
    <s v="SustainabilityDrive"/>
    <s v="#TeslaCoInnovation"/>
    <m/>
    <m/>
    <n v="0.10617801791554102"/>
    <n v="2987"/>
  </r>
  <r>
    <x v="1"/>
    <s v="2024-07-03"/>
    <s v="Story"/>
    <s v="Check out our latest story on youtube!"/>
    <n v="2754"/>
    <n v="130"/>
    <n v="90"/>
    <n v="22032"/>
    <n v="21288"/>
    <n v="112"/>
    <s v="FSDUpdate"/>
    <s v="#TeslaCoInnovation"/>
    <m/>
    <m/>
    <n v="0.13498547567175018"/>
    <n v="2974"/>
  </r>
  <r>
    <x v="3"/>
    <s v="2024-06-13"/>
    <s v="Carousel"/>
    <s v="Check out our latest carousel on facebook!"/>
    <n v="2200"/>
    <n v="504"/>
    <n v="239"/>
    <n v="37400"/>
    <n v="36938"/>
    <n v="225"/>
    <s v="ModelYCampaign"/>
    <s v="#FutureOfDriving"/>
    <m/>
    <m/>
    <n v="7.8689839572192513E-2"/>
    <n v="2943"/>
  </r>
  <r>
    <x v="3"/>
    <s v="2025-01-03"/>
    <s v="Image"/>
    <s v="Check out our latest image on facebook!"/>
    <n v="947"/>
    <n v="338"/>
    <n v="350"/>
    <n v="10417"/>
    <n v="9730"/>
    <n v="34"/>
    <s v="SustainabilityDrive"/>
    <s v="#TeslaCoInnovation"/>
    <m/>
    <m/>
    <n v="0.1569549774407219"/>
    <n v="1635"/>
  </r>
  <r>
    <x v="1"/>
    <s v="2025-02-24"/>
    <s v="Carousel"/>
    <s v="Check out our latest carousel on youtube!"/>
    <n v="804"/>
    <n v="639"/>
    <n v="43"/>
    <n v="4020"/>
    <n v="3144"/>
    <n v="11"/>
    <m/>
    <s v="#EVRevolution"/>
    <s v="#BetterWithTesla"/>
    <m/>
    <n v="0.36965174129353234"/>
    <n v="1486"/>
  </r>
  <r>
    <x v="1"/>
    <s v="2025-03-13"/>
    <s v="Carousel"/>
    <s v="Check out our latest carousel on youtube!"/>
    <n v="1686"/>
    <n v="904"/>
    <n v="472"/>
    <n v="18546"/>
    <n v="18171"/>
    <n v="52"/>
    <s v="ModelYCampaign"/>
    <s v="#FutureOfDriving"/>
    <m/>
    <m/>
    <n v="0.16510298716704411"/>
    <n v="3062"/>
  </r>
  <r>
    <x v="3"/>
    <s v="2024-06-17"/>
    <s v="Image"/>
    <s v="Check out our latest image on facebook!"/>
    <n v="1226"/>
    <n v="119"/>
    <n v="7"/>
    <n v="14712"/>
    <n v="14049"/>
    <n v="123"/>
    <s v="SustainabilityDrive"/>
    <s v="#EVRevolution"/>
    <m/>
    <m/>
    <n v="9.1897770527460579E-2"/>
    <n v="1352"/>
  </r>
  <r>
    <x v="3"/>
    <s v="2024-12-18"/>
    <s v="Carousel"/>
    <s v="Check out our latest carousel on facebook!"/>
    <n v="2946"/>
    <n v="498"/>
    <n v="367"/>
    <n v="29460"/>
    <n v="28527"/>
    <n v="60"/>
    <s v="FSDUpdate"/>
    <s v="#FutureOfDriving"/>
    <m/>
    <m/>
    <n v="0.12936184657162253"/>
    <n v="3811"/>
  </r>
  <r>
    <x v="0"/>
    <s v="2024-10-21"/>
    <s v="Video"/>
    <s v="Check out our latest video on twitter!"/>
    <n v="2825"/>
    <n v="535"/>
    <n v="295"/>
    <n v="45200"/>
    <n v="44739"/>
    <n v="169"/>
    <s v="CybertruckLaunch"/>
    <s v="#TeslaCoInnovation"/>
    <m/>
    <m/>
    <n v="8.0862831858407078E-2"/>
    <n v="3655"/>
  </r>
  <r>
    <x v="2"/>
    <s v="2025-04-15"/>
    <s v="Reel"/>
    <s v="Check out our latest reel on instagram!"/>
    <n v="103"/>
    <n v="770"/>
    <n v="19"/>
    <n v="1030"/>
    <n v="410"/>
    <n v="262"/>
    <s v="SustainabilityDrive"/>
    <s v="#TeslaCoInnovation"/>
    <m/>
    <m/>
    <n v="0.86601941747572819"/>
    <n v="892"/>
  </r>
  <r>
    <x v="2"/>
    <s v="2024-06-22"/>
    <s v="Text"/>
    <s v="Check out our latest text on instagram!"/>
    <n v="2180"/>
    <n v="263"/>
    <n v="387"/>
    <n v="30520"/>
    <n v="30059"/>
    <n v="174"/>
    <m/>
    <s v="#EVRevolution"/>
    <m/>
    <m/>
    <n v="9.2726081258191345E-2"/>
    <n v="2830"/>
  </r>
  <r>
    <x v="2"/>
    <s v="2025-01-28"/>
    <s v="Video"/>
    <s v="Check out our latest video on instagram!"/>
    <n v="904"/>
    <n v="973"/>
    <n v="63"/>
    <n v="11752"/>
    <n v="11580"/>
    <n v="84"/>
    <s v="FSDUpdate"/>
    <s v="#EVRevolution"/>
    <s v="#TeslaCoInnovation"/>
    <s v="#AnytimeIsTeslaTime"/>
    <n v="0.1650782845473111"/>
    <n v="1940"/>
  </r>
  <r>
    <x v="0"/>
    <s v="2024-09-05"/>
    <s v="Video"/>
    <s v="Check out our latest video on twitter!"/>
    <n v="4886"/>
    <n v="983"/>
    <n v="409"/>
    <n v="43974"/>
    <n v="43239"/>
    <n v="65"/>
    <s v="CybertruckLaunch"/>
    <s v="#TeslaCoInnovation"/>
    <m/>
    <m/>
    <n v="0.14276618001546368"/>
    <n v="6278"/>
  </r>
  <r>
    <x v="0"/>
    <s v="2024-11-22"/>
    <s v="Carousel"/>
    <s v="Check out our latest carousel on twitter!"/>
    <n v="53"/>
    <n v="81"/>
    <n v="379"/>
    <n v="954"/>
    <n v="7"/>
    <n v="148"/>
    <s v="FSDUpdate"/>
    <s v="#TeslaCoInnovation"/>
    <m/>
    <m/>
    <n v="0.53773584905660377"/>
    <n v="513"/>
  </r>
  <r>
    <x v="0"/>
    <s v="2024-07-31"/>
    <s v="Carousel"/>
    <s v="Check out our latest carousel on twitter!"/>
    <n v="4507"/>
    <n v="217"/>
    <n v="13"/>
    <n v="90140"/>
    <n v="89591"/>
    <n v="125"/>
    <s v="FSDUpdate"/>
    <s v="#FutureOfDriving"/>
    <m/>
    <m/>
    <n v="5.2551586421122697E-2"/>
    <n v="4737"/>
  </r>
  <r>
    <x v="3"/>
    <s v="2024-08-17"/>
    <s v="Image"/>
    <s v="Check out our latest image on facebook!"/>
    <n v="2878"/>
    <n v="248"/>
    <n v="416"/>
    <n v="43170"/>
    <n v="42667"/>
    <n v="75"/>
    <s v="FSDUpdate"/>
    <s v="#FutureOfDriving"/>
    <m/>
    <m/>
    <n v="8.2047718322909427E-2"/>
    <n v="3542"/>
  </r>
  <r>
    <x v="2"/>
    <s v="2025-03-28"/>
    <s v="Story"/>
    <s v="Check out our latest story on instagram!"/>
    <n v="1881"/>
    <n v="501"/>
    <n v="99"/>
    <n v="20691"/>
    <n v="19987"/>
    <n v="289"/>
    <m/>
    <s v="#EVRevolution"/>
    <m/>
    <m/>
    <n v="0.11990720603160794"/>
    <n v="2481"/>
  </r>
  <r>
    <x v="0"/>
    <s v="2024-07-26"/>
    <s v="Carousel"/>
    <s v="Check out our latest carousel on twitter!"/>
    <n v="432"/>
    <n v="171"/>
    <n v="280"/>
    <n v="3024"/>
    <n v="2285"/>
    <n v="184"/>
    <s v="CybertruckLaunch"/>
    <s v="#EVRevolution"/>
    <m/>
    <m/>
    <n v="0.29199735449735448"/>
    <n v="883"/>
  </r>
  <r>
    <x v="3"/>
    <s v="2025-03-29"/>
    <s v="Carousel"/>
    <s v="Check out our latest carousel on facebook!"/>
    <n v="4712"/>
    <n v="568"/>
    <n v="127"/>
    <n v="84816"/>
    <n v="84691"/>
    <n v="100"/>
    <s v="FSDUpdate"/>
    <s v="#EVRevolution"/>
    <m/>
    <m/>
    <n v="6.3749764195434822E-2"/>
    <n v="5407"/>
  </r>
  <r>
    <x v="2"/>
    <s v="2024-12-08"/>
    <s v="Story"/>
    <s v="Check out our latest story on instagram!"/>
    <n v="2610"/>
    <n v="126"/>
    <n v="288"/>
    <n v="15660"/>
    <n v="15145"/>
    <n v="73"/>
    <m/>
    <s v="#EVRevolution"/>
    <m/>
    <m/>
    <n v="0.19310344827586207"/>
    <n v="3024"/>
  </r>
  <r>
    <x v="0"/>
    <s v="2025-03-08"/>
    <s v="Text"/>
    <s v="Check out our latest text on twitter!"/>
    <n v="1292"/>
    <n v="626"/>
    <n v="496"/>
    <n v="25840"/>
    <n v="24916"/>
    <n v="149"/>
    <s v="FSDUpdate"/>
    <s v="#FutureOfDriving"/>
    <m/>
    <m/>
    <n v="9.3421052631578946E-2"/>
    <n v="2414"/>
  </r>
  <r>
    <x v="3"/>
    <s v="2025-04-02"/>
    <s v="Video"/>
    <s v="Check out our latest video on facebook!"/>
    <n v="199"/>
    <n v="772"/>
    <n v="400"/>
    <n v="3582"/>
    <n v="2988"/>
    <n v="43"/>
    <m/>
    <s v="#TeslaCoInnovation"/>
    <m/>
    <m/>
    <n v="0.38274706867671693"/>
    <n v="1371"/>
  </r>
  <r>
    <x v="1"/>
    <s v="2024-09-02"/>
    <s v="Carousel"/>
    <s v="Check out our latest carousel on youtube!"/>
    <n v="2551"/>
    <n v="915"/>
    <n v="205"/>
    <n v="30612"/>
    <n v="30360"/>
    <n v="227"/>
    <s v="ModelYCampaign"/>
    <s v="#TeslaCoInnovation"/>
    <m/>
    <m/>
    <n v="0.1199202926956749"/>
    <n v="3671"/>
  </r>
  <r>
    <x v="1"/>
    <s v="2025-03-03"/>
    <s v="Reel"/>
    <s v="Check out our latest reel on youtube!"/>
    <n v="296"/>
    <n v="60"/>
    <n v="141"/>
    <n v="5624"/>
    <n v="5239"/>
    <n v="88"/>
    <s v="ModelYCampaign"/>
    <s v="#EVRevolution"/>
    <m/>
    <m/>
    <n v="8.837126600284495E-2"/>
    <n v="497"/>
  </r>
  <r>
    <x v="3"/>
    <s v="2024-10-18"/>
    <s v="Story"/>
    <s v="Check out our latest story on facebook!"/>
    <n v="4126"/>
    <n v="426"/>
    <n v="486"/>
    <n v="78394"/>
    <n v="77798"/>
    <n v="88"/>
    <s v="SustainabilityDrive"/>
    <s v="#FutureOfDriving"/>
    <m/>
    <m/>
    <n v="6.4265122330790625E-2"/>
    <n v="5038"/>
  </r>
  <r>
    <x v="1"/>
    <s v="2024-10-28"/>
    <s v="Reel"/>
    <s v="Check out our latest reel on youtube!"/>
    <n v="1855"/>
    <n v="200"/>
    <n v="174"/>
    <n v="16695"/>
    <n v="16330"/>
    <n v="123"/>
    <s v="FSDUpdate"/>
    <s v="#TeslaCoInnovation"/>
    <m/>
    <m/>
    <n v="0.13351302785265048"/>
    <n v="2229"/>
  </r>
  <r>
    <x v="2"/>
    <s v="2024-08-01"/>
    <s v="Reel"/>
    <s v="Check out our latest reel on instagram!"/>
    <n v="1674"/>
    <n v="929"/>
    <n v="37"/>
    <n v="21762"/>
    <n v="20998"/>
    <n v="255"/>
    <s v="SustainabilityDrive"/>
    <s v="#TeslaCoInnovation"/>
    <m/>
    <m/>
    <n v="0.12131237937689551"/>
    <n v="2640"/>
  </r>
  <r>
    <x v="0"/>
    <s v="2024-11-07"/>
    <s v="Story"/>
    <s v="Check out our latest story on twitter!"/>
    <n v="1121"/>
    <n v="135"/>
    <n v="18"/>
    <n v="15694"/>
    <n v="14957"/>
    <n v="99"/>
    <s v="SustainabilityDrive"/>
    <s v="#TeslaCoInnovation"/>
    <m/>
    <m/>
    <n v="8.1177520071364848E-2"/>
    <n v="1274"/>
  </r>
  <r>
    <x v="3"/>
    <s v="2025-03-04"/>
    <s v="Story"/>
    <s v="Check out our latest story on facebook!"/>
    <n v="1249"/>
    <n v="116"/>
    <n v="420"/>
    <n v="8743"/>
    <n v="8538"/>
    <n v="63"/>
    <m/>
    <s v="#TeslaCoInnovation"/>
    <m/>
    <m/>
    <n v="0.20416333066453163"/>
    <n v="1785"/>
  </r>
  <r>
    <x v="0"/>
    <s v="2024-06-17"/>
    <s v="Image"/>
    <s v="Check out our latest image on twitter!"/>
    <n v="954"/>
    <n v="324"/>
    <n v="288"/>
    <n v="19080"/>
    <n v="18859"/>
    <n v="21"/>
    <s v="SustainabilityDrive"/>
    <s v="#FutureOfDriving"/>
    <m/>
    <m/>
    <n v="8.2075471698113203E-2"/>
    <n v="1566"/>
  </r>
  <r>
    <x v="2"/>
    <s v="2024-10-09"/>
    <s v="Carousel"/>
    <s v="Check out our latest carousel on instagram!"/>
    <n v="3068"/>
    <n v="137"/>
    <n v="329"/>
    <n v="39884"/>
    <n v="39404"/>
    <n v="266"/>
    <s v="ModelYCampaign"/>
    <s v="#EVRevolution"/>
    <m/>
    <m/>
    <n v="8.860696018453515E-2"/>
    <n v="3534"/>
  </r>
  <r>
    <x v="2"/>
    <s v="2024-06-13"/>
    <s v="Story"/>
    <s v="Check out our latest story on instagram!"/>
    <n v="2103"/>
    <n v="892"/>
    <n v="103"/>
    <n v="39957"/>
    <n v="39466"/>
    <n v="28"/>
    <m/>
    <s v="#FutureOfDriving"/>
    <m/>
    <m/>
    <n v="7.7533348349475686E-2"/>
    <n v="3098"/>
  </r>
  <r>
    <x v="2"/>
    <s v="2024-10-19"/>
    <s v="Story"/>
    <s v="Check out our latest story on instagram!"/>
    <n v="1816"/>
    <n v="29"/>
    <n v="41"/>
    <n v="19976"/>
    <n v="19262"/>
    <n v="283"/>
    <s v="FSDUpdate"/>
    <s v="#TeslaCoInnovation"/>
    <m/>
    <m/>
    <n v="9.4413295955146179E-2"/>
    <n v="1886"/>
  </r>
  <r>
    <x v="2"/>
    <s v="2024-07-24"/>
    <s v="Image"/>
    <s v="Check out our latest image on instagram!"/>
    <n v="725"/>
    <n v="88"/>
    <n v="428"/>
    <n v="14500"/>
    <n v="13637"/>
    <n v="200"/>
    <s v="FSDUpdate"/>
    <s v="#FutureOfDriving"/>
    <s v="#TeslaCoInnovation"/>
    <s v="#AnytimeIsTeslaTime"/>
    <n v="8.558620689655172E-2"/>
    <n v="1241"/>
  </r>
  <r>
    <x v="1"/>
    <s v="2024-10-15"/>
    <s v="Video"/>
    <s v="Check out our latest video on youtube!"/>
    <n v="1094"/>
    <n v="472"/>
    <n v="21"/>
    <n v="9846"/>
    <n v="9609"/>
    <n v="112"/>
    <m/>
    <s v="#EVRevolution"/>
    <m/>
    <m/>
    <n v="0.16118220597196831"/>
    <n v="1587"/>
  </r>
  <r>
    <x v="3"/>
    <s v="2024-12-09"/>
    <s v="Image"/>
    <s v="Check out our latest image on facebook!"/>
    <n v="1841"/>
    <n v="851"/>
    <n v="342"/>
    <n v="34979"/>
    <n v="34154"/>
    <n v="255"/>
    <s v="SustainabilityDrive"/>
    <s v="#FutureOfDriving"/>
    <m/>
    <m/>
    <n v="8.6737756939878216E-2"/>
    <n v="3034"/>
  </r>
  <r>
    <x v="2"/>
    <s v="2025-04-19"/>
    <s v="Image"/>
    <s v="Check out our latest image on instagram!"/>
    <n v="4177"/>
    <n v="569"/>
    <n v="55"/>
    <n v="25062"/>
    <n v="24847"/>
    <n v="230"/>
    <s v="CybertruckLaunch"/>
    <s v="#FutureOfDriving"/>
    <m/>
    <m/>
    <n v="0.19156491900087783"/>
    <n v="4801"/>
  </r>
  <r>
    <x v="1"/>
    <s v="2025-01-27"/>
    <s v="Text"/>
    <s v="Check out our latest text on youtube!"/>
    <n v="3428"/>
    <n v="305"/>
    <n v="85"/>
    <n v="58276"/>
    <n v="58052"/>
    <n v="242"/>
    <s v="SustainabilityDrive"/>
    <s v="#EVRevolution"/>
    <s v="#BetterWithTesla"/>
    <m/>
    <n v="6.5515821264328367E-2"/>
    <n v="3818"/>
  </r>
  <r>
    <x v="0"/>
    <s v="2024-06-06"/>
    <s v="Video"/>
    <s v="Check out our latest video on twitter!"/>
    <n v="1436"/>
    <n v="765"/>
    <n v="496"/>
    <n v="12924"/>
    <n v="12701"/>
    <n v="197"/>
    <s v="FSDUpdate"/>
    <s v="#FutureOfDriving"/>
    <m/>
    <m/>
    <n v="0.20868152274837512"/>
    <n v="2697"/>
  </r>
  <r>
    <x v="3"/>
    <s v="2024-07-07"/>
    <s v="Story"/>
    <s v="Check out our latest story on facebook!"/>
    <n v="302"/>
    <n v="47"/>
    <n v="430"/>
    <n v="5738"/>
    <n v="4890"/>
    <n v="25"/>
    <s v="SustainabilityDrive"/>
    <s v="#TeslaCoInnovation"/>
    <m/>
    <m/>
    <n v="0.13576158940397351"/>
    <n v="779"/>
  </r>
  <r>
    <x v="0"/>
    <s v="2025-01-10"/>
    <s v="Image"/>
    <s v="Check out our latest image on twitter!"/>
    <n v="2214"/>
    <n v="249"/>
    <n v="152"/>
    <n v="15498"/>
    <n v="14800"/>
    <n v="180"/>
    <m/>
    <s v="#EVRevolution"/>
    <m/>
    <m/>
    <n v="0.16873144921925409"/>
    <n v="2615"/>
  </r>
  <r>
    <x v="2"/>
    <s v="2024-06-03"/>
    <s v="Image"/>
    <s v="Check out our latest image on instagram!"/>
    <n v="3861"/>
    <n v="960"/>
    <n v="101"/>
    <n v="69498"/>
    <n v="68817"/>
    <n v="297"/>
    <s v="SustainabilityDrive"/>
    <s v="#TeslaCoInnovation"/>
    <m/>
    <m/>
    <n v="7.0822181933293038E-2"/>
    <n v="4922"/>
  </r>
  <r>
    <x v="3"/>
    <s v="2025-03-24"/>
    <s v="Image"/>
    <s v="Check out our latest image on facebook!"/>
    <n v="1263"/>
    <n v="397"/>
    <n v="357"/>
    <n v="25260"/>
    <n v="24615"/>
    <n v="137"/>
    <s v="SustainabilityDrive"/>
    <s v="#EVRevolution"/>
    <m/>
    <m/>
    <n v="7.984956452889945E-2"/>
    <n v="2017"/>
  </r>
  <r>
    <x v="0"/>
    <s v="2024-10-21"/>
    <s v="Story"/>
    <s v="Check out our latest story on twitter!"/>
    <n v="3801"/>
    <n v="967"/>
    <n v="401"/>
    <n v="38010"/>
    <n v="37625"/>
    <n v="236"/>
    <s v="FSDUpdate"/>
    <s v="#FutureOfDriving"/>
    <m/>
    <m/>
    <n v="0.13599052880820836"/>
    <n v="5169"/>
  </r>
  <r>
    <x v="2"/>
    <s v="2024-12-11"/>
    <s v="Video"/>
    <s v="Check out our latest video on instagram!"/>
    <n v="1431"/>
    <n v="951"/>
    <n v="26"/>
    <n v="8586"/>
    <n v="8396"/>
    <n v="150"/>
    <s v="FSDUpdate"/>
    <s v="#EVRevolution"/>
    <m/>
    <m/>
    <n v="0.28045655718611695"/>
    <n v="2408"/>
  </r>
  <r>
    <x v="2"/>
    <s v="2024-11-07"/>
    <s v="Image"/>
    <s v="Check out our latest image on instagram!"/>
    <n v="2647"/>
    <n v="304"/>
    <n v="170"/>
    <n v="18529"/>
    <n v="17841"/>
    <n v="46"/>
    <s v="FSDUpdate"/>
    <s v="#FutureOfDriving"/>
    <m/>
    <m/>
    <n v="0.16843866371633656"/>
    <n v="3121"/>
  </r>
  <r>
    <x v="2"/>
    <s v="2024-11-08"/>
    <s v="Text"/>
    <s v="Check out our latest text on instagram!"/>
    <n v="3182"/>
    <n v="559"/>
    <n v="160"/>
    <n v="57276"/>
    <n v="56890"/>
    <n v="163"/>
    <s v="SustainabilityDrive"/>
    <s v="#FutureOfDriving"/>
    <m/>
    <m/>
    <n v="6.8108806480899509E-2"/>
    <n v="3901"/>
  </r>
  <r>
    <x v="0"/>
    <s v="2024-09-10"/>
    <s v="Image"/>
    <s v="Check out our latest image on twitter!"/>
    <n v="1238"/>
    <n v="366"/>
    <n v="444"/>
    <n v="19808"/>
    <n v="19334"/>
    <n v="123"/>
    <m/>
    <s v="#FutureOfDriving"/>
    <m/>
    <m/>
    <n v="0.10339256865912763"/>
    <n v="2048"/>
  </r>
  <r>
    <x v="2"/>
    <s v="2024-08-13"/>
    <s v="Image"/>
    <s v="Check out our latest image on instagram!"/>
    <n v="4739"/>
    <n v="527"/>
    <n v="135"/>
    <n v="61607"/>
    <n v="61333"/>
    <n v="36"/>
    <s v="ModelYCampaign"/>
    <s v="#TeslaCoInnovation"/>
    <s v="#AnytimeIsTeslaTime"/>
    <m/>
    <n v="8.7668609086629767E-2"/>
    <n v="5401"/>
  </r>
  <r>
    <x v="0"/>
    <s v="2024-06-10"/>
    <s v="Story"/>
    <s v="Check out our latest story on twitter!"/>
    <n v="1575"/>
    <n v="771"/>
    <n v="486"/>
    <n v="25200"/>
    <n v="24826"/>
    <n v="17"/>
    <s v="SustainabilityDrive"/>
    <s v="#FutureOfDriving"/>
    <m/>
    <m/>
    <n v="0.11238095238095239"/>
    <n v="2832"/>
  </r>
  <r>
    <x v="1"/>
    <s v="2024-07-02"/>
    <s v="Carousel"/>
    <s v="Check out our latest carousel on youtube!"/>
    <n v="4171"/>
    <n v="548"/>
    <n v="86"/>
    <n v="66736"/>
    <n v="66634"/>
    <n v="173"/>
    <s v="FSDUpdate"/>
    <s v="#FutureOfDriving"/>
    <m/>
    <m/>
    <n v="7.2000119875329657E-2"/>
    <n v="4805"/>
  </r>
  <r>
    <x v="1"/>
    <s v="2025-02-10"/>
    <s v="Video"/>
    <s v="Check out our latest video on youtube!"/>
    <n v="1766"/>
    <n v="92"/>
    <n v="424"/>
    <n v="24724"/>
    <n v="24333"/>
    <n v="52"/>
    <m/>
    <s v="#EVRevolution"/>
    <m/>
    <m/>
    <n v="9.2298980747451867E-2"/>
    <n v="2282"/>
  </r>
  <r>
    <x v="1"/>
    <s v="2024-10-18"/>
    <s v="Video"/>
    <s v="Check out our latest video on youtube!"/>
    <n v="4450"/>
    <n v="983"/>
    <n v="143"/>
    <n v="75650"/>
    <n v="75008"/>
    <n v="12"/>
    <s v="FSDUpdate"/>
    <s v="#FutureOfDriving"/>
    <m/>
    <m/>
    <n v="7.3707865168539333E-2"/>
    <n v="5576"/>
  </r>
  <r>
    <x v="0"/>
    <s v="2024-09-18"/>
    <s v="Reel"/>
    <s v="Check out our latest reel on twitter!"/>
    <n v="1000"/>
    <n v="978"/>
    <n v="162"/>
    <n v="6000"/>
    <n v="5221"/>
    <n v="223"/>
    <s v="ModelYCampaign"/>
    <s v="#EVRevolution"/>
    <m/>
    <m/>
    <n v="0.35666666666666669"/>
    <n v="2140"/>
  </r>
  <r>
    <x v="3"/>
    <s v="2024-06-11"/>
    <s v="Image"/>
    <s v="Check out our latest image on facebook!"/>
    <n v="3689"/>
    <n v="48"/>
    <n v="306"/>
    <n v="40579"/>
    <n v="39588"/>
    <n v="212"/>
    <s v="ModelYCampaign"/>
    <s v="#EVRevolution"/>
    <m/>
    <m/>
    <n v="9.9632815002833983E-2"/>
    <n v="4043"/>
  </r>
  <r>
    <x v="1"/>
    <s v="2025-03-23"/>
    <s v="Story"/>
    <s v="Check out our latest story on youtube!"/>
    <n v="3655"/>
    <n v="568"/>
    <n v="286"/>
    <n v="32895"/>
    <n v="32015"/>
    <n v="199"/>
    <s v="FSDUpdate"/>
    <s v="#TeslaCoInnovation"/>
    <m/>
    <m/>
    <n v="0.13707250341997265"/>
    <n v="4509"/>
  </r>
  <r>
    <x v="2"/>
    <s v="2024-06-14"/>
    <s v="Carousel"/>
    <s v="Check out our latest carousel on instagram!"/>
    <n v="498"/>
    <n v="38"/>
    <n v="42"/>
    <n v="4482"/>
    <n v="3647"/>
    <n v="32"/>
    <s v="CybertruckLaunch"/>
    <s v="#FutureOfDriving"/>
    <m/>
    <m/>
    <n v="0.12896028558679162"/>
    <n v="578"/>
  </r>
  <r>
    <x v="2"/>
    <s v="2025-02-04"/>
    <s v="Image"/>
    <s v="Check out our latest image on instagram!"/>
    <n v="4619"/>
    <n v="821"/>
    <n v="499"/>
    <n v="69285"/>
    <n v="69141"/>
    <n v="298"/>
    <s v="SustainabilityDrive"/>
    <s v="#TeslaCoInnovation"/>
    <m/>
    <m/>
    <n v="8.5718409468138843E-2"/>
    <n v="5939"/>
  </r>
  <r>
    <x v="1"/>
    <s v="2024-06-21"/>
    <s v="Image"/>
    <s v="Check out our latest image on youtube!"/>
    <n v="4832"/>
    <n v="893"/>
    <n v="10"/>
    <n v="91808"/>
    <n v="91296"/>
    <n v="182"/>
    <m/>
    <s v="#TeslaCoInnovation"/>
    <m/>
    <m/>
    <n v="6.2467323109097243E-2"/>
    <n v="5735"/>
  </r>
  <r>
    <x v="0"/>
    <s v="2025-03-25"/>
    <s v="Video"/>
    <s v="Check out our latest video on twitter!"/>
    <n v="4050"/>
    <n v="871"/>
    <n v="347"/>
    <n v="52650"/>
    <n v="51755"/>
    <n v="209"/>
    <s v="ModelYCampaign"/>
    <s v="#TeslaCoInnovation"/>
    <m/>
    <m/>
    <n v="0.10005698005698006"/>
    <n v="5268"/>
  </r>
  <r>
    <x v="0"/>
    <s v="2024-08-08"/>
    <s v="Story"/>
    <s v="Check out our latest story on twitter!"/>
    <n v="3649"/>
    <n v="215"/>
    <n v="413"/>
    <n v="25543"/>
    <n v="24963"/>
    <n v="167"/>
    <s v="FSDUpdate"/>
    <s v="#FutureOfDriving"/>
    <m/>
    <m/>
    <n v="0.16744313510550835"/>
    <n v="4277"/>
  </r>
  <r>
    <x v="2"/>
    <s v="2024-07-29"/>
    <s v="Reel"/>
    <s v="Check out our latest reel on instagram!"/>
    <n v="3523"/>
    <n v="753"/>
    <n v="482"/>
    <n v="38753"/>
    <n v="38579"/>
    <n v="270"/>
    <s v="ModelYCampaign"/>
    <s v="#EVRevolution"/>
    <m/>
    <m/>
    <n v="0.12277759141227776"/>
    <n v="4758"/>
  </r>
  <r>
    <x v="1"/>
    <s v="2024-11-23"/>
    <s v="Image"/>
    <s v="Check out our latest image on youtube!"/>
    <n v="2719"/>
    <n v="17"/>
    <n v="285"/>
    <n v="40785"/>
    <n v="40281"/>
    <n v="40"/>
    <s v="ModelYCampaign"/>
    <s v="#TeslaCoInnovation"/>
    <m/>
    <m/>
    <n v="7.4071349760941527E-2"/>
    <n v="3021"/>
  </r>
  <r>
    <x v="0"/>
    <s v="2024-10-05"/>
    <s v="Story"/>
    <s v="Check out our latest story on twitter!"/>
    <n v="1957"/>
    <n v="877"/>
    <n v="238"/>
    <n v="17613"/>
    <n v="16865"/>
    <n v="297"/>
    <s v="FSDUpdate"/>
    <s v="#FutureOfDriving"/>
    <m/>
    <m/>
    <n v="0.17441662408448305"/>
    <n v="3072"/>
  </r>
  <r>
    <x v="0"/>
    <s v="2024-10-02"/>
    <s v="Carousel"/>
    <s v="Check out our latest carousel on twitter!"/>
    <n v="4419"/>
    <n v="236"/>
    <n v="369"/>
    <n v="44190"/>
    <n v="43582"/>
    <n v="10"/>
    <s v="CybertruckLaunch"/>
    <s v="#EVRevolution"/>
    <m/>
    <m/>
    <n v="0.11369088028965829"/>
    <n v="5024"/>
  </r>
  <r>
    <x v="0"/>
    <s v="2024-11-14"/>
    <s v="Story"/>
    <s v="Check out our latest story on twitter!"/>
    <n v="4000"/>
    <n v="689"/>
    <n v="488"/>
    <n v="40000"/>
    <n v="39569"/>
    <n v="44"/>
    <s v="CybertruckLaunch"/>
    <s v="#FutureOfDriving"/>
    <m/>
    <m/>
    <n v="0.12942500000000001"/>
    <n v="5177"/>
  </r>
  <r>
    <x v="0"/>
    <s v="2025-05-11"/>
    <s v="Image"/>
    <s v="Check out our latest image on twitter!"/>
    <n v="2493"/>
    <n v="97"/>
    <n v="44"/>
    <n v="42381"/>
    <n v="41991"/>
    <n v="242"/>
    <s v="SustainabilityDrive"/>
    <s v="#TeslaCoInnovation"/>
    <s v="#AnytimeIsTeslaTime"/>
    <m/>
    <n v="6.2150491965739366E-2"/>
    <n v="2634"/>
  </r>
  <r>
    <x v="1"/>
    <s v="2025-03-18"/>
    <s v="Reel"/>
    <s v="Check out our latest reel on youtube!"/>
    <n v="3704"/>
    <n v="186"/>
    <n v="458"/>
    <n v="25928"/>
    <n v="25081"/>
    <n v="131"/>
    <m/>
    <s v="#TeslaCoInnovation"/>
    <m/>
    <m/>
    <n v="0.16769515581610614"/>
    <n v="4348"/>
  </r>
  <r>
    <x v="0"/>
    <s v="2024-11-04"/>
    <s v="Image"/>
    <s v="Check out our latest image on twitter!"/>
    <n v="1606"/>
    <n v="451"/>
    <n v="405"/>
    <n v="20878"/>
    <n v="20190"/>
    <n v="219"/>
    <s v="SustainabilityDrive"/>
    <s v="#EVRevolution"/>
    <m/>
    <m/>
    <n v="0.11792317271769326"/>
    <n v="2462"/>
  </r>
  <r>
    <x v="3"/>
    <s v="2024-11-04"/>
    <s v="Image"/>
    <s v="Check out our latest image on facebook!"/>
    <n v="4551"/>
    <n v="714"/>
    <n v="207"/>
    <n v="68265"/>
    <n v="67754"/>
    <n v="57"/>
    <s v="FSDUpdate"/>
    <s v="#FutureOfDriving"/>
    <m/>
    <m/>
    <n v="8.0158206987475278E-2"/>
    <n v="5472"/>
  </r>
  <r>
    <x v="2"/>
    <s v="2025-02-07"/>
    <s v="Reel"/>
    <s v="Check out our latest reel on instagram!"/>
    <n v="1970"/>
    <n v="675"/>
    <n v="478"/>
    <n v="9850"/>
    <n v="8924"/>
    <n v="117"/>
    <m/>
    <s v="#FutureOfDriving"/>
    <m/>
    <m/>
    <n v="0.31705583756345179"/>
    <n v="3123"/>
  </r>
  <r>
    <x v="3"/>
    <s v="2024-10-21"/>
    <s v="Story"/>
    <s v="Check out our latest story on facebook!"/>
    <n v="780"/>
    <n v="928"/>
    <n v="301"/>
    <n v="8580"/>
    <n v="8081"/>
    <n v="91"/>
    <s v="FSDUpdate"/>
    <s v="#EVRevolution"/>
    <m/>
    <m/>
    <n v="0.23414918414918415"/>
    <n v="2009"/>
  </r>
  <r>
    <x v="2"/>
    <s v="2024-07-29"/>
    <s v="Story"/>
    <s v="Check out our latest story on instagram!"/>
    <n v="498"/>
    <n v="701"/>
    <n v="412"/>
    <n v="4980"/>
    <n v="4185"/>
    <n v="185"/>
    <m/>
    <s v="#FutureOfDriving"/>
    <m/>
    <m/>
    <n v="0.32349397590361445"/>
    <n v="1611"/>
  </r>
  <r>
    <x v="2"/>
    <s v="2024-10-02"/>
    <s v="Text"/>
    <s v="Check out our latest text on instagram!"/>
    <n v="3432"/>
    <n v="869"/>
    <n v="123"/>
    <n v="54912"/>
    <n v="53916"/>
    <n v="264"/>
    <s v="ModelYCampaign"/>
    <s v="#EVRevolution"/>
    <m/>
    <m/>
    <n v="8.0565268065268064E-2"/>
    <n v="4424"/>
  </r>
  <r>
    <x v="2"/>
    <s v="2024-06-14"/>
    <s v="Story"/>
    <s v="Check out our latest story on instagram!"/>
    <n v="4363"/>
    <n v="649"/>
    <n v="140"/>
    <n v="21815"/>
    <n v="21481"/>
    <n v="157"/>
    <s v="CybertruckLaunch"/>
    <s v="#EVRevolution"/>
    <m/>
    <m/>
    <n v="0.23616777446710979"/>
    <n v="5152"/>
  </r>
  <r>
    <x v="1"/>
    <s v="2025-04-06"/>
    <s v="Carousel"/>
    <s v="Check out our latest carousel on youtube!"/>
    <n v="736"/>
    <n v="771"/>
    <n v="225"/>
    <n v="5152"/>
    <n v="4706"/>
    <n v="19"/>
    <s v="CybertruckLaunch"/>
    <s v="#EVRevolution"/>
    <m/>
    <m/>
    <n v="0.33618012422360249"/>
    <n v="1732"/>
  </r>
  <r>
    <x v="0"/>
    <s v="2024-09-08"/>
    <s v="Carousel"/>
    <s v="Check out our latest carousel on twitter!"/>
    <n v="3811"/>
    <n v="866"/>
    <n v="216"/>
    <n v="34299"/>
    <n v="34088"/>
    <n v="233"/>
    <s v="SustainabilityDrive"/>
    <s v="#TeslaCoInnovation"/>
    <m/>
    <m/>
    <n v="0.14265722032712325"/>
    <n v="4893"/>
  </r>
  <r>
    <x v="2"/>
    <s v="2025-03-28"/>
    <s v="Carousel"/>
    <s v="Check out our latest carousel on instagram!"/>
    <n v="4158"/>
    <n v="167"/>
    <n v="241"/>
    <n v="45738"/>
    <n v="45183"/>
    <n v="142"/>
    <m/>
    <s v="#FutureOfDriving"/>
    <m/>
    <m/>
    <n v="9.9829463465827106E-2"/>
    <n v="4566"/>
  </r>
  <r>
    <x v="3"/>
    <s v="2025-01-27"/>
    <s v="Reel"/>
    <s v="Check out our latest reel on facebook!"/>
    <n v="3452"/>
    <n v="652"/>
    <n v="442"/>
    <n v="65588"/>
    <n v="65049"/>
    <n v="158"/>
    <s v="FSDUpdate"/>
    <s v="#FutureOfDriving"/>
    <m/>
    <m/>
    <n v="6.9311459413307311E-2"/>
    <n v="4546"/>
  </r>
  <r>
    <x v="0"/>
    <s v="2025-01-10"/>
    <s v="Image"/>
    <s v="Check out our latest image on twitter!"/>
    <n v="3092"/>
    <n v="106"/>
    <n v="291"/>
    <n v="27828"/>
    <n v="27217"/>
    <n v="102"/>
    <m/>
    <s v="#FutureOfDriving"/>
    <m/>
    <m/>
    <n v="0.12537731780940059"/>
    <n v="3489"/>
  </r>
  <r>
    <x v="0"/>
    <s v="2024-07-21"/>
    <s v="Text"/>
    <s v="Check out our latest text on twitter!"/>
    <n v="2147"/>
    <n v="430"/>
    <n v="393"/>
    <n v="17176"/>
    <n v="16483"/>
    <n v="170"/>
    <m/>
    <s v="#TeslaCoInnovation"/>
    <m/>
    <m/>
    <n v="0.17291569632044715"/>
    <n v="2970"/>
  </r>
  <r>
    <x v="1"/>
    <s v="2024-09-29"/>
    <s v="Reel"/>
    <s v="Check out our latest reel on youtube!"/>
    <n v="2936"/>
    <n v="439"/>
    <n v="44"/>
    <n v="38168"/>
    <n v="37571"/>
    <n v="22"/>
    <s v="SustainabilityDrive"/>
    <s v="#EVRevolution"/>
    <m/>
    <m/>
    <n v="8.9577656675749323E-2"/>
    <n v="3419"/>
  </r>
  <r>
    <x v="2"/>
    <s v="2024-10-21"/>
    <s v="Reel"/>
    <s v="Check out our latest reel on instagram!"/>
    <n v="4840"/>
    <n v="658"/>
    <n v="211"/>
    <n v="43560"/>
    <n v="43225"/>
    <n v="57"/>
    <s v="FSDUpdate"/>
    <s v="#FutureOfDriving"/>
    <m/>
    <m/>
    <n v="0.13106060606060607"/>
    <n v="5709"/>
  </r>
  <r>
    <x v="2"/>
    <s v="2025-03-04"/>
    <s v="Story"/>
    <s v="Check out our latest story on instagram!"/>
    <n v="1947"/>
    <n v="842"/>
    <n v="101"/>
    <n v="21417"/>
    <n v="20967"/>
    <n v="186"/>
    <s v="ModelYCampaign"/>
    <s v="#FutureOfDriving"/>
    <m/>
    <m/>
    <n v="0.13493953401503478"/>
    <n v="2890"/>
  </r>
  <r>
    <x v="3"/>
    <s v="2025-02-06"/>
    <s v="Image"/>
    <s v="Check out our latest image on facebook!"/>
    <n v="2072"/>
    <n v="532"/>
    <n v="71"/>
    <n v="37296"/>
    <n v="36467"/>
    <n v="25"/>
    <s v="SustainabilityDrive"/>
    <s v="#TeslaCoInnovation"/>
    <m/>
    <m/>
    <n v="7.172350922350923E-2"/>
    <n v="2675"/>
  </r>
  <r>
    <x v="0"/>
    <s v="2025-04-24"/>
    <s v="Reel"/>
    <s v="Check out our latest reel on twitter!"/>
    <n v="3731"/>
    <n v="115"/>
    <n v="135"/>
    <n v="55965"/>
    <n v="55436"/>
    <n v="103"/>
    <s v="CybertruckLaunch"/>
    <s v="#TeslaCoInnovation"/>
    <m/>
    <m/>
    <n v="7.1133744304476013E-2"/>
    <n v="3981"/>
  </r>
  <r>
    <x v="3"/>
    <s v="2024-11-28"/>
    <s v="Text"/>
    <s v="Check out our latest text on facebook!"/>
    <n v="4213"/>
    <n v="253"/>
    <n v="434"/>
    <n v="75834"/>
    <n v="75437"/>
    <n v="272"/>
    <s v="SustainabilityDrive"/>
    <s v="#FutureOfDriving"/>
    <m/>
    <m/>
    <n v="6.461481657304112E-2"/>
    <n v="4900"/>
  </r>
  <r>
    <x v="2"/>
    <s v="2024-07-11"/>
    <s v="Text"/>
    <s v="Check out our latest text on instagram!"/>
    <n v="3134"/>
    <n v="888"/>
    <n v="444"/>
    <n v="21938"/>
    <n v="21337"/>
    <n v="130"/>
    <s v="SustainabilityDrive"/>
    <s v="#EVRevolution"/>
    <m/>
    <m/>
    <n v="0.20357370772176134"/>
    <n v="4466"/>
  </r>
  <r>
    <x v="3"/>
    <s v="2024-07-31"/>
    <s v="Video"/>
    <s v="Check out our latest video on facebook!"/>
    <n v="3008"/>
    <n v="94"/>
    <n v="37"/>
    <n v="15040"/>
    <n v="14639"/>
    <n v="277"/>
    <m/>
    <s v="#FutureOfDriving"/>
    <m/>
    <m/>
    <n v="0.20871010638297871"/>
    <n v="3139"/>
  </r>
  <r>
    <x v="0"/>
    <s v="2025-03-29"/>
    <s v="Image"/>
    <s v="Check out our latest image on twitter!"/>
    <n v="305"/>
    <n v="187"/>
    <n v="243"/>
    <n v="4575"/>
    <n v="3704"/>
    <n v="234"/>
    <s v="FSDUpdate"/>
    <s v="#FutureOfDriving"/>
    <m/>
    <m/>
    <n v="0.16065573770491803"/>
    <n v="735"/>
  </r>
  <r>
    <x v="1"/>
    <s v="2024-10-29"/>
    <s v="Text"/>
    <s v="Check out our latest text on youtube!"/>
    <n v="2746"/>
    <n v="156"/>
    <n v="203"/>
    <n v="32952"/>
    <n v="32147"/>
    <n v="147"/>
    <s v="CybertruckLaunch"/>
    <s v="#EVRevolution"/>
    <m/>
    <m/>
    <n v="9.422796795338674E-2"/>
    <n v="3105"/>
  </r>
  <r>
    <x v="3"/>
    <s v="2024-07-15"/>
    <s v="Image"/>
    <s v="Check out our latest image on facebook!"/>
    <n v="2291"/>
    <n v="78"/>
    <n v="485"/>
    <n v="18328"/>
    <n v="18101"/>
    <n v="10"/>
    <s v="ModelYCampaign"/>
    <s v="#EVRevolution"/>
    <s v="#SmoothLikeNitroTesla"/>
    <m/>
    <n v="0.15571802706241816"/>
    <n v="2854"/>
  </r>
  <r>
    <x v="0"/>
    <s v="2024-08-31"/>
    <s v="Image"/>
    <s v="Check out our latest image on twitter!"/>
    <n v="3170"/>
    <n v="857"/>
    <n v="379"/>
    <n v="19020"/>
    <n v="18559"/>
    <n v="240"/>
    <m/>
    <s v="#FutureOfDriving"/>
    <m/>
    <m/>
    <n v="0.2316508937960042"/>
    <n v="4406"/>
  </r>
  <r>
    <x v="1"/>
    <s v="2025-03-25"/>
    <s v="Story"/>
    <s v="Check out our latest story on youtube!"/>
    <n v="2070"/>
    <n v="275"/>
    <n v="386"/>
    <n v="39330"/>
    <n v="38627"/>
    <n v="114"/>
    <s v="SustainabilityDrive"/>
    <s v="#FutureOfDriving"/>
    <m/>
    <m/>
    <n v="6.9438087973557078E-2"/>
    <n v="2731"/>
  </r>
  <r>
    <x v="1"/>
    <s v="2024-10-02"/>
    <s v="Carousel"/>
    <s v="Check out our latest carousel on youtube!"/>
    <n v="80"/>
    <n v="362"/>
    <n v="80"/>
    <n v="1040"/>
    <n v="349"/>
    <n v="117"/>
    <s v="FSDUpdate"/>
    <s v="#TeslaCoInnovation"/>
    <m/>
    <m/>
    <n v="0.50192307692307692"/>
    <n v="522"/>
  </r>
  <r>
    <x v="1"/>
    <s v="2024-10-28"/>
    <s v="Story"/>
    <s v="Check out our latest story on youtube!"/>
    <n v="4929"/>
    <n v="749"/>
    <n v="452"/>
    <n v="93651"/>
    <n v="92810"/>
    <n v="66"/>
    <s v="SustainabilityDrive"/>
    <s v="#EVRevolution"/>
    <m/>
    <m/>
    <n v="6.5455787978772245E-2"/>
    <n v="6130"/>
  </r>
  <r>
    <x v="2"/>
    <s v="2024-08-12"/>
    <s v="Carousel"/>
    <s v="Check out our latest carousel on instagram!"/>
    <n v="1878"/>
    <n v="62"/>
    <n v="179"/>
    <n v="37560"/>
    <n v="36874"/>
    <n v="142"/>
    <s v="SustainabilityDrive"/>
    <s v="#TeslaCoInnovation"/>
    <m/>
    <m/>
    <n v="5.6416400425985093E-2"/>
    <n v="2119"/>
  </r>
  <r>
    <x v="1"/>
    <s v="2024-06-05"/>
    <s v="Reel"/>
    <s v="Check out our latest reel on youtube!"/>
    <n v="3065"/>
    <n v="772"/>
    <n v="142"/>
    <n v="18390"/>
    <n v="17875"/>
    <n v="200"/>
    <m/>
    <s v="#EVRevolution"/>
    <s v="#AnytimeIsTeslaTime"/>
    <m/>
    <n v="0.21636759108210984"/>
    <n v="3979"/>
  </r>
  <r>
    <x v="2"/>
    <s v="2024-10-21"/>
    <s v="Reel"/>
    <s v="Check out our latest reel on instagram!"/>
    <n v="3256"/>
    <n v="459"/>
    <n v="266"/>
    <n v="26048"/>
    <n v="25529"/>
    <n v="143"/>
    <s v="ModelYCampaign"/>
    <s v="#TeslaCoInnovation"/>
    <m/>
    <m/>
    <n v="0.15283323095823095"/>
    <n v="3981"/>
  </r>
  <r>
    <x v="2"/>
    <s v="2025-04-15"/>
    <s v="Video"/>
    <s v="Check out our latest video on instagram!"/>
    <n v="4133"/>
    <n v="466"/>
    <n v="327"/>
    <n v="24798"/>
    <n v="24620"/>
    <n v="176"/>
    <s v="SustainabilityDrive"/>
    <s v="#EVRevolution"/>
    <m/>
    <m/>
    <n v="0.19864505202032423"/>
    <n v="4926"/>
  </r>
  <r>
    <x v="0"/>
    <s v="2024-06-16"/>
    <s v="Video"/>
    <s v="Check out our latest video on twitter!"/>
    <n v="1702"/>
    <n v="750"/>
    <n v="179"/>
    <n v="34040"/>
    <n v="33174"/>
    <n v="76"/>
    <s v="CybertruckLaunch"/>
    <s v="#EVRevolution"/>
    <m/>
    <m/>
    <n v="7.7291421856639245E-2"/>
    <n v="2631"/>
  </r>
  <r>
    <x v="1"/>
    <s v="2024-08-22"/>
    <s v="Carousel"/>
    <s v="Check out our latest carousel on youtube!"/>
    <n v="4295"/>
    <n v="853"/>
    <n v="325"/>
    <n v="85900"/>
    <n v="85788"/>
    <n v="290"/>
    <s v="SustainabilityDrive"/>
    <s v="#TeslaCoInnovation"/>
    <m/>
    <m/>
    <n v="6.3713620488940623E-2"/>
    <n v="5473"/>
  </r>
  <r>
    <x v="2"/>
    <s v="2024-07-26"/>
    <s v="Image"/>
    <s v="Check out our latest image on instagram!"/>
    <n v="3559"/>
    <n v="59"/>
    <n v="289"/>
    <n v="35590"/>
    <n v="35105"/>
    <n v="122"/>
    <s v="CybertruckLaunch"/>
    <s v="#EVRevolution"/>
    <m/>
    <m/>
    <n v="0.10977802753582468"/>
    <n v="3907"/>
  </r>
  <r>
    <x v="3"/>
    <s v="2025-04-22"/>
    <s v="Image"/>
    <s v="Check out our latest image on facebook!"/>
    <n v="4804"/>
    <n v="550"/>
    <n v="270"/>
    <n v="28824"/>
    <n v="28370"/>
    <n v="47"/>
    <s v="SustainabilityDrive"/>
    <s v="#EVRevolution"/>
    <m/>
    <m/>
    <n v="0.19511518179295032"/>
    <n v="5624"/>
  </r>
  <r>
    <x v="0"/>
    <s v="2025-01-01"/>
    <s v="Video"/>
    <s v="Check out our latest video on twitter!"/>
    <n v="754"/>
    <n v="197"/>
    <n v="257"/>
    <n v="6786"/>
    <n v="6221"/>
    <n v="212"/>
    <s v="FSDUpdate"/>
    <s v="#TeslaCoInnovation"/>
    <m/>
    <m/>
    <n v="0.17801355732390214"/>
    <n v="1208"/>
  </r>
  <r>
    <x v="2"/>
    <s v="2024-10-09"/>
    <s v="Carousel"/>
    <s v="Check out our latest carousel on instagram!"/>
    <n v="985"/>
    <n v="932"/>
    <n v="287"/>
    <n v="6895"/>
    <n v="6757"/>
    <n v="64"/>
    <s v="SustainabilityDrive"/>
    <s v="#FutureOfDriving"/>
    <m/>
    <m/>
    <n v="0.31965192168237855"/>
    <n v="2204"/>
  </r>
  <r>
    <x v="1"/>
    <s v="2024-12-21"/>
    <s v="Image"/>
    <s v="Check out our latest image on youtube!"/>
    <n v="2283"/>
    <n v="210"/>
    <n v="130"/>
    <n v="22830"/>
    <n v="22617"/>
    <n v="143"/>
    <s v="ModelYCampaign"/>
    <s v="#FutureOfDriving"/>
    <m/>
    <m/>
    <n v="0.11489268506351293"/>
    <n v="2623"/>
  </r>
  <r>
    <x v="3"/>
    <s v="2024-10-22"/>
    <s v="Carousel"/>
    <s v="Check out our latest carousel on facebook!"/>
    <n v="3352"/>
    <n v="941"/>
    <n v="482"/>
    <n v="43576"/>
    <n v="43338"/>
    <n v="240"/>
    <s v="ModelYCampaign"/>
    <s v="#FutureOfDriving"/>
    <m/>
    <m/>
    <n v="0.1095786671562328"/>
    <n v="4775"/>
  </r>
  <r>
    <x v="1"/>
    <s v="2024-07-23"/>
    <s v="Story"/>
    <s v="Check out our latest story on youtube!"/>
    <n v="4775"/>
    <n v="173"/>
    <n v="206"/>
    <n v="47750"/>
    <n v="47544"/>
    <n v="187"/>
    <s v="ModelYCampaign"/>
    <s v="#FutureOfDriving"/>
    <m/>
    <m/>
    <n v="0.10793717277486911"/>
    <n v="5154"/>
  </r>
  <r>
    <x v="2"/>
    <s v="2024-08-11"/>
    <s v="Story"/>
    <s v="Check out our latest story on instagram!"/>
    <n v="1762"/>
    <n v="405"/>
    <n v="423"/>
    <n v="22906"/>
    <n v="21925"/>
    <n v="25"/>
    <s v="CybertruckLaunch"/>
    <s v="#TeslaCoInnovation"/>
    <m/>
    <m/>
    <n v="0.11307081114118571"/>
    <n v="2590"/>
  </r>
  <r>
    <x v="3"/>
    <s v="2024-11-25"/>
    <s v="Story"/>
    <s v="Check out our latest story on facebook!"/>
    <n v="2120"/>
    <n v="158"/>
    <n v="488"/>
    <n v="12720"/>
    <n v="12085"/>
    <n v="17"/>
    <s v="ModelYCampaign"/>
    <s v="#FutureOfDriving"/>
    <m/>
    <m/>
    <n v="0.21745283018867925"/>
    <n v="2766"/>
  </r>
  <r>
    <x v="0"/>
    <s v="2024-08-24"/>
    <s v="Video"/>
    <s v="Check out our latest video on twitter!"/>
    <n v="1082"/>
    <n v="209"/>
    <n v="484"/>
    <n v="19476"/>
    <n v="18654"/>
    <n v="20"/>
    <m/>
    <s v="#TeslaCoInnovation"/>
    <m/>
    <m/>
    <n v="9.1137810638734856E-2"/>
    <n v="1775"/>
  </r>
  <r>
    <x v="0"/>
    <s v="2025-02-19"/>
    <s v="Text"/>
    <s v="Check out our latest text on twitter!"/>
    <n v="4671"/>
    <n v="876"/>
    <n v="366"/>
    <n v="51381"/>
    <n v="50565"/>
    <n v="245"/>
    <s v="SustainabilityDrive"/>
    <s v="#TeslaCoInnovation"/>
    <m/>
    <m/>
    <n v="0.11508145034156594"/>
    <n v="5913"/>
  </r>
  <r>
    <x v="3"/>
    <s v="2025-04-01"/>
    <s v="Story"/>
    <s v="Check out our latest story on facebook!"/>
    <n v="3430"/>
    <n v="566"/>
    <n v="164"/>
    <n v="48020"/>
    <n v="47305"/>
    <n v="120"/>
    <m/>
    <s v="#FutureOfDriving"/>
    <m/>
    <m/>
    <n v="8.6630570595585168E-2"/>
    <n v="4160"/>
  </r>
  <r>
    <x v="2"/>
    <s v="2025-04-08"/>
    <s v="Image"/>
    <s v="Check out our latest image on instagram!"/>
    <n v="4501"/>
    <n v="375"/>
    <n v="323"/>
    <n v="22505"/>
    <n v="21836"/>
    <n v="132"/>
    <s v="ModelYCampaign"/>
    <s v="#TeslaCoInnovation"/>
    <m/>
    <m/>
    <n v="0.23101532992668297"/>
    <n v="5199"/>
  </r>
  <r>
    <x v="1"/>
    <s v="2025-02-27"/>
    <s v="Text"/>
    <s v="Check out our latest text on youtube!"/>
    <n v="4934"/>
    <n v="971"/>
    <n v="156"/>
    <n v="39472"/>
    <n v="39025"/>
    <n v="169"/>
    <s v="SustainabilityDrive"/>
    <s v="#TeslaCoInnovation"/>
    <s v="#AnytimeIsTeslaTime"/>
    <m/>
    <n v="0.15355188488042157"/>
    <n v="6061"/>
  </r>
  <r>
    <x v="0"/>
    <s v="2024-12-11"/>
    <s v="Text"/>
    <s v="Check out our latest text on twitter!"/>
    <n v="3239"/>
    <n v="43"/>
    <n v="211"/>
    <n v="22673"/>
    <n v="22171"/>
    <n v="230"/>
    <s v="ModelYCampaign"/>
    <s v="#TeslaCoInnovation"/>
    <m/>
    <m/>
    <n v="0.15405989502933004"/>
    <n v="3493"/>
  </r>
  <r>
    <x v="0"/>
    <s v="2025-02-16"/>
    <s v="Reel"/>
    <s v="Check out our latest reel on twitter!"/>
    <n v="1076"/>
    <n v="313"/>
    <n v="306"/>
    <n v="11836"/>
    <n v="11596"/>
    <n v="104"/>
    <s v="CybertruckLaunch"/>
    <s v="#FutureOfDriving"/>
    <m/>
    <m/>
    <n v="0.14320716458262928"/>
    <n v="1695"/>
  </r>
  <r>
    <x v="2"/>
    <s v="2024-11-28"/>
    <s v="Text"/>
    <s v="Check out our latest text on instagram!"/>
    <n v="4771"/>
    <n v="818"/>
    <n v="56"/>
    <n v="57252"/>
    <n v="56378"/>
    <n v="150"/>
    <m/>
    <s v="#FutureOfDriving"/>
    <m/>
    <m/>
    <n v="9.859917557465242E-2"/>
    <n v="5645"/>
  </r>
  <r>
    <x v="3"/>
    <s v="2024-11-12"/>
    <s v="Text"/>
    <s v="Check out our latest text on facebook!"/>
    <n v="2418"/>
    <n v="754"/>
    <n v="54"/>
    <n v="43524"/>
    <n v="42743"/>
    <n v="182"/>
    <s v="CybertruckLaunch"/>
    <s v="#EVRevolution"/>
    <m/>
    <m/>
    <n v="7.412002573292896E-2"/>
    <n v="3226"/>
  </r>
  <r>
    <x v="1"/>
    <s v="2024-12-03"/>
    <s v="Video"/>
    <s v="Check out our latest video on youtube!"/>
    <n v="3809"/>
    <n v="273"/>
    <n v="200"/>
    <n v="34281"/>
    <n v="33534"/>
    <n v="83"/>
    <s v="CybertruckLaunch"/>
    <s v="#EVRevolution"/>
    <m/>
    <m/>
    <n v="0.12490884163239112"/>
    <n v="4282"/>
  </r>
  <r>
    <x v="0"/>
    <s v="2025-04-28"/>
    <s v="Text"/>
    <s v="Check out our latest text on twitter!"/>
    <n v="3577"/>
    <n v="596"/>
    <n v="493"/>
    <n v="67963"/>
    <n v="67839"/>
    <n v="53"/>
    <s v="FSDUpdate"/>
    <s v="#TeslaCoInnovation"/>
    <m/>
    <m/>
    <n v="6.8655003457763777E-2"/>
    <n v="4666"/>
  </r>
  <r>
    <x v="1"/>
    <s v="2024-12-31"/>
    <s v="Video"/>
    <s v="Check out our latest video on youtube!"/>
    <n v="1018"/>
    <n v="447"/>
    <n v="332"/>
    <n v="18324"/>
    <n v="18164"/>
    <n v="38"/>
    <s v="ModelYCampaign"/>
    <s v="#FutureOfDriving"/>
    <m/>
    <m/>
    <n v="9.8068107400130972E-2"/>
    <n v="1797"/>
  </r>
  <r>
    <x v="3"/>
    <s v="2024-08-14"/>
    <s v="Carousel"/>
    <s v="Check out our latest carousel on facebook!"/>
    <n v="3073"/>
    <n v="553"/>
    <n v="174"/>
    <n v="52241"/>
    <n v="51605"/>
    <n v="246"/>
    <s v="FSDUpdate"/>
    <s v="#EVRevolution"/>
    <m/>
    <m/>
    <n v="7.2739802071170159E-2"/>
    <n v="3800"/>
  </r>
  <r>
    <x v="0"/>
    <s v="2024-12-05"/>
    <s v="Video"/>
    <s v="Check out our latest video on twitter!"/>
    <n v="1330"/>
    <n v="925"/>
    <n v="35"/>
    <n v="15960"/>
    <n v="15379"/>
    <n v="229"/>
    <s v="FSDUpdate"/>
    <s v="#FutureOfDriving"/>
    <m/>
    <m/>
    <n v="0.14348370927318296"/>
    <n v="2290"/>
  </r>
  <r>
    <x v="3"/>
    <s v="2024-06-22"/>
    <s v="Text"/>
    <s v="Check out our latest text on facebook!"/>
    <n v="3828"/>
    <n v="148"/>
    <n v="253"/>
    <n v="30624"/>
    <n v="30229"/>
    <n v="235"/>
    <m/>
    <s v="#EVRevolution"/>
    <m/>
    <m/>
    <n v="0.13809430512016718"/>
    <n v="4229"/>
  </r>
  <r>
    <x v="2"/>
    <s v="2025-01-17"/>
    <s v="Reel"/>
    <s v="Check out our latest reel on instagram!"/>
    <n v="142"/>
    <n v="784"/>
    <n v="183"/>
    <n v="1704"/>
    <n v="995"/>
    <n v="154"/>
    <s v="SustainabilityDrive"/>
    <s v="#FutureOfDriving"/>
    <m/>
    <m/>
    <n v="0.6508215962441315"/>
    <n v="1109"/>
  </r>
  <r>
    <x v="3"/>
    <s v="2024-06-20"/>
    <s v="Video"/>
    <s v="Check out our latest video on facebook!"/>
    <n v="3798"/>
    <n v="31"/>
    <n v="279"/>
    <n v="75960"/>
    <n v="75813"/>
    <n v="266"/>
    <s v="CybertruckLaunch"/>
    <s v="#TeslaCoInnovation"/>
    <m/>
    <m/>
    <n v="5.4081095313322801E-2"/>
    <n v="4108"/>
  </r>
  <r>
    <x v="2"/>
    <s v="2024-07-10"/>
    <s v="Carousel"/>
    <s v="Check out our latest carousel on instagram!"/>
    <n v="3099"/>
    <n v="694"/>
    <n v="171"/>
    <n v="43386"/>
    <n v="42921"/>
    <n v="52"/>
    <s v="FSDUpdate"/>
    <s v="#TeslaCoInnovation"/>
    <m/>
    <m/>
    <n v="9.1365878393951966E-2"/>
    <n v="3964"/>
  </r>
  <r>
    <x v="2"/>
    <s v="2024-11-07"/>
    <s v="Video"/>
    <s v="Check out our latest video on instagram!"/>
    <n v="129"/>
    <n v="643"/>
    <n v="136"/>
    <n v="1290"/>
    <n v="839"/>
    <n v="238"/>
    <s v="SustainabilityDrive"/>
    <s v="#TeslaCoInnovation"/>
    <m/>
    <m/>
    <n v="0.70387596899224802"/>
    <n v="908"/>
  </r>
  <r>
    <x v="3"/>
    <s v="2024-07-15"/>
    <s v="Carousel"/>
    <s v="Check out our latest carousel on facebook!"/>
    <n v="3796"/>
    <n v="667"/>
    <n v="395"/>
    <n v="64532"/>
    <n v="63550"/>
    <n v="292"/>
    <m/>
    <s v="#TeslaCoInnovation"/>
    <m/>
    <m/>
    <n v="7.5280481001673588E-2"/>
    <n v="4858"/>
  </r>
  <r>
    <x v="1"/>
    <s v="2024-12-03"/>
    <s v="Text"/>
    <s v="Check out our latest text on youtube!"/>
    <n v="3711"/>
    <n v="352"/>
    <n v="290"/>
    <n v="48243"/>
    <n v="47579"/>
    <n v="11"/>
    <s v="CybertruckLaunch"/>
    <s v="#TeslaCoInnovation"/>
    <m/>
    <m/>
    <n v="9.023070704558174E-2"/>
    <n v="4353"/>
  </r>
  <r>
    <x v="1"/>
    <s v="2025-03-21"/>
    <s v="Image"/>
    <s v="Check out our latest image on youtube!"/>
    <n v="606"/>
    <n v="789"/>
    <n v="470"/>
    <n v="7878"/>
    <n v="7389"/>
    <n v="239"/>
    <s v="FSDUpdate"/>
    <s v="#EVRevolution"/>
    <m/>
    <m/>
    <n v="0.23673521198273673"/>
    <n v="1865"/>
  </r>
  <r>
    <x v="3"/>
    <s v="2024-07-31"/>
    <s v="Image"/>
    <s v="Check out our latest image on facebook!"/>
    <n v="4689"/>
    <n v="134"/>
    <n v="403"/>
    <n v="51579"/>
    <n v="50924"/>
    <n v="173"/>
    <s v="SustainabilityDrive"/>
    <s v="#TeslaCoInnovation"/>
    <m/>
    <m/>
    <n v="0.10132030477519921"/>
    <n v="5226"/>
  </r>
  <r>
    <x v="2"/>
    <s v="2024-12-17"/>
    <s v="Story"/>
    <s v="Check out our latest story on instagram!"/>
    <n v="360"/>
    <n v="590"/>
    <n v="393"/>
    <n v="4680"/>
    <n v="4322"/>
    <n v="208"/>
    <s v="ModelYCampaign"/>
    <s v="#FutureOfDriving"/>
    <m/>
    <m/>
    <n v="0.28696581196581195"/>
    <n v="1343"/>
  </r>
  <r>
    <x v="0"/>
    <s v="2024-07-28"/>
    <s v="Image"/>
    <s v="Check out our latest image on twitter!"/>
    <n v="3215"/>
    <n v="960"/>
    <n v="202"/>
    <n v="32150"/>
    <n v="31404"/>
    <n v="251"/>
    <s v="CybertruckLaunch"/>
    <s v="#EVRevolution"/>
    <m/>
    <m/>
    <n v="0.13614307931570763"/>
    <n v="4377"/>
  </r>
  <r>
    <x v="2"/>
    <s v="2025-01-11"/>
    <s v="Carousel"/>
    <s v="Check out our latest carousel on instagram!"/>
    <n v="4523"/>
    <n v="61"/>
    <n v="157"/>
    <n v="49753"/>
    <n v="49329"/>
    <n v="71"/>
    <m/>
    <s v="#EVRevolution"/>
    <m/>
    <m/>
    <n v="9.5290736237010829E-2"/>
    <n v="4741"/>
  </r>
  <r>
    <x v="3"/>
    <s v="2024-08-24"/>
    <s v="Carousel"/>
    <s v="Check out our latest carousel on facebook!"/>
    <n v="4292"/>
    <n v="51"/>
    <n v="392"/>
    <n v="55796"/>
    <n v="54826"/>
    <n v="264"/>
    <s v="FSDUpdate"/>
    <s v="#EVRevolution"/>
    <m/>
    <m/>
    <n v="8.4862714173059003E-2"/>
    <n v="4735"/>
  </r>
  <r>
    <x v="0"/>
    <s v="2024-12-22"/>
    <s v="Reel"/>
    <s v="Check out our latest reel on twitter!"/>
    <n v="1644"/>
    <n v="546"/>
    <n v="150"/>
    <n v="27948"/>
    <n v="27184"/>
    <n v="300"/>
    <s v="FSDUpdate"/>
    <s v="#EVRevolution"/>
    <m/>
    <m/>
    <n v="8.3726921425504502E-2"/>
    <n v="2340"/>
  </r>
  <r>
    <x v="1"/>
    <s v="2024-06-06"/>
    <s v="Reel"/>
    <s v="Check out our latest reel on youtube!"/>
    <n v="2728"/>
    <n v="533"/>
    <n v="215"/>
    <n v="40920"/>
    <n v="40816"/>
    <n v="137"/>
    <s v="ModelYCampaign"/>
    <s v="#FutureOfDriving"/>
    <m/>
    <m/>
    <n v="8.4946236559139784E-2"/>
    <n v="3476"/>
  </r>
  <r>
    <x v="3"/>
    <s v="2025-03-24"/>
    <s v="Reel"/>
    <s v="Check out our latest reel on facebook!"/>
    <n v="3360"/>
    <n v="525"/>
    <n v="500"/>
    <n v="60480"/>
    <n v="59610"/>
    <n v="192"/>
    <s v="CybertruckLaunch"/>
    <s v="#TeslaCoInnovation"/>
    <m/>
    <m/>
    <n v="7.2503306878306875E-2"/>
    <n v="4385"/>
  </r>
  <r>
    <x v="1"/>
    <s v="2024-10-04"/>
    <s v="Text"/>
    <s v="Check out our latest text on youtube!"/>
    <n v="1963"/>
    <n v="213"/>
    <n v="19"/>
    <n v="39260"/>
    <n v="38771"/>
    <n v="145"/>
    <m/>
    <s v="#FutureOfDriving"/>
    <m/>
    <m/>
    <n v="5.5909322465613857E-2"/>
    <n v="2195"/>
  </r>
  <r>
    <x v="1"/>
    <s v="2024-12-03"/>
    <s v="Story"/>
    <s v="Check out our latest story on youtube!"/>
    <n v="4285"/>
    <n v="886"/>
    <n v="376"/>
    <n v="55705"/>
    <n v="55556"/>
    <n v="51"/>
    <s v="FSDUpdate"/>
    <s v="#FutureOfDriving"/>
    <m/>
    <m/>
    <n v="9.9578134817341346E-2"/>
    <n v="5547"/>
  </r>
  <r>
    <x v="2"/>
    <s v="2024-11-29"/>
    <s v="Video"/>
    <s v="Check out our latest video on instagram!"/>
    <n v="1176"/>
    <n v="464"/>
    <n v="394"/>
    <n v="14112"/>
    <n v="13588"/>
    <n v="272"/>
    <m/>
    <s v="#EVRevolution"/>
    <m/>
    <m/>
    <n v="0.1441326530612245"/>
    <n v="2034"/>
  </r>
  <r>
    <x v="0"/>
    <s v="2024-09-11"/>
    <s v="Image"/>
    <s v="Check out our latest image on twitter!"/>
    <n v="4858"/>
    <n v="317"/>
    <n v="129"/>
    <n v="53438"/>
    <n v="52687"/>
    <n v="223"/>
    <s v="FSDUpdate"/>
    <s v="#EVRevolution"/>
    <m/>
    <m/>
    <n v="9.9255211647142488E-2"/>
    <n v="5304"/>
  </r>
  <r>
    <x v="1"/>
    <s v="2024-10-02"/>
    <s v="Story"/>
    <s v="Check out our latest story on youtube!"/>
    <n v="4350"/>
    <n v="771"/>
    <n v="7"/>
    <n v="60900"/>
    <n v="60592"/>
    <n v="195"/>
    <s v="CybertruckLaunch"/>
    <s v="#EVRevolution"/>
    <m/>
    <m/>
    <n v="8.4203612479474554E-2"/>
    <n v="5128"/>
  </r>
  <r>
    <x v="2"/>
    <s v="2024-08-15"/>
    <s v="Carousel"/>
    <s v="Check out our latest carousel on instagram!"/>
    <n v="914"/>
    <n v="464"/>
    <n v="246"/>
    <n v="11882"/>
    <n v="11500"/>
    <n v="282"/>
    <s v="SustainabilityDrive"/>
    <s v="#FutureOfDriving"/>
    <s v="#TeslaCoInnovation"/>
    <s v="#AnytimeIsTeslaTime"/>
    <n v="0.13667732704931829"/>
    <n v="1624"/>
  </r>
  <r>
    <x v="2"/>
    <s v="2024-12-19"/>
    <s v="Text"/>
    <s v="Check out our latest text on instagram!"/>
    <n v="1813"/>
    <n v="623"/>
    <n v="72"/>
    <n v="19943"/>
    <n v="18959"/>
    <n v="85"/>
    <s v="FSDUpdate"/>
    <s v="#EVRevolution"/>
    <m/>
    <m/>
    <n v="0.12575841147269717"/>
    <n v="2508"/>
  </r>
  <r>
    <x v="0"/>
    <s v="2024-10-22"/>
    <s v="Reel"/>
    <s v="Check out our latest reel on twitter!"/>
    <n v="4782"/>
    <n v="721"/>
    <n v="82"/>
    <n v="86076"/>
    <n v="85339"/>
    <n v="19"/>
    <s v="CybertruckLaunch"/>
    <s v="#EVRevolution"/>
    <m/>
    <m/>
    <n v="6.4884520656164318E-2"/>
    <n v="5585"/>
  </r>
  <r>
    <x v="0"/>
    <s v="2024-09-14"/>
    <s v="Image"/>
    <s v="Check out our latest image on twitter!"/>
    <n v="1048"/>
    <n v="374"/>
    <n v="450"/>
    <n v="9432"/>
    <n v="8882"/>
    <n v="158"/>
    <s v="FSDUpdate"/>
    <s v="#TeslaCoInnovation"/>
    <m/>
    <m/>
    <n v="0.19847328244274809"/>
    <n v="1872"/>
  </r>
  <r>
    <x v="1"/>
    <s v="2024-11-30"/>
    <s v="Carousel"/>
    <s v="Check out our latest carousel on youtube!"/>
    <n v="2509"/>
    <n v="324"/>
    <n v="171"/>
    <n v="35126"/>
    <n v="34685"/>
    <n v="277"/>
    <s v="ModelYCampaign"/>
    <s v="#TeslaCoInnovation"/>
    <m/>
    <m/>
    <n v="8.5520696919660646E-2"/>
    <n v="3004"/>
  </r>
  <r>
    <x v="3"/>
    <s v="2025-04-07"/>
    <s v="Reel"/>
    <s v="Check out our latest reel on facebook!"/>
    <n v="3718"/>
    <n v="385"/>
    <n v="310"/>
    <n v="70642"/>
    <n v="69749"/>
    <n v="233"/>
    <s v="ModelYCampaign"/>
    <s v="#TeslaCoInnovation"/>
    <m/>
    <m/>
    <n v="6.246991874522239E-2"/>
    <n v="4413"/>
  </r>
  <r>
    <x v="0"/>
    <s v="2025-01-15"/>
    <s v="Reel"/>
    <s v="Check out our latest reel on twitter!"/>
    <n v="802"/>
    <n v="262"/>
    <n v="244"/>
    <n v="14436"/>
    <n v="14280"/>
    <n v="49"/>
    <s v="CybertruckLaunch"/>
    <s v="#EVRevolution"/>
    <m/>
    <m/>
    <n v="9.0606816292601824E-2"/>
    <n v="1308"/>
  </r>
  <r>
    <x v="3"/>
    <s v="2024-06-02"/>
    <s v="Image"/>
    <s v="Check out our latest image on facebook!"/>
    <n v="1871"/>
    <n v="252"/>
    <n v="335"/>
    <n v="29936"/>
    <n v="29576"/>
    <n v="288"/>
    <s v="FSDUpdate"/>
    <s v="#EVRevolution"/>
    <m/>
    <m/>
    <n v="8.2108498129342594E-2"/>
    <n v="2458"/>
  </r>
  <r>
    <x v="2"/>
    <s v="2024-11-21"/>
    <s v="Carousel"/>
    <s v="Check out our latest carousel on instagram!"/>
    <n v="3773"/>
    <n v="299"/>
    <n v="38"/>
    <n v="71687"/>
    <n v="71447"/>
    <n v="286"/>
    <s v="CybertruckLaunch"/>
    <s v="#FutureOfDriving"/>
    <m/>
    <m/>
    <n v="5.7332570758993957E-2"/>
    <n v="4110"/>
  </r>
  <r>
    <x v="2"/>
    <s v="2025-01-01"/>
    <s v="Carousel"/>
    <s v="Check out our latest carousel on instagram!"/>
    <n v="2234"/>
    <n v="653"/>
    <n v="432"/>
    <n v="11170"/>
    <n v="10569"/>
    <n v="198"/>
    <s v="FSDUpdate"/>
    <s v="#FutureOfDriving"/>
    <m/>
    <m/>
    <n v="0.29713518352730528"/>
    <n v="3319"/>
  </r>
  <r>
    <x v="0"/>
    <s v="2025-04-24"/>
    <s v="Video"/>
    <s v="Check out our latest video on twitter!"/>
    <n v="3820"/>
    <n v="697"/>
    <n v="268"/>
    <n v="45840"/>
    <n v="45631"/>
    <n v="171"/>
    <s v="SustainabilityDrive"/>
    <s v="#TeslaCoInnovation"/>
    <s v="#SmoothLikeNitroTesla"/>
    <m/>
    <n v="0.1043848167539267"/>
    <n v="4785"/>
  </r>
  <r>
    <x v="0"/>
    <s v="2024-06-24"/>
    <s v="Text"/>
    <s v="Check out our latest text on twitter!"/>
    <n v="941"/>
    <n v="121"/>
    <n v="458"/>
    <n v="14115"/>
    <n v="13838"/>
    <n v="87"/>
    <s v="CybertruckLaunch"/>
    <s v="#EVRevolution"/>
    <m/>
    <m/>
    <n v="0.10768685795253277"/>
    <n v="1520"/>
  </r>
  <r>
    <x v="0"/>
    <s v="2024-12-29"/>
    <s v="Carousel"/>
    <s v="Check out our latest carousel on twitter!"/>
    <n v="4274"/>
    <n v="340"/>
    <n v="281"/>
    <n v="34192"/>
    <n v="33446"/>
    <n v="129"/>
    <s v="FSDUpdate"/>
    <s v="#TeslaCoInnovation"/>
    <s v="#SmoothLikeNitroTesla"/>
    <m/>
    <n v="0.14316214319138981"/>
    <n v="4895"/>
  </r>
  <r>
    <x v="1"/>
    <s v="2024-06-24"/>
    <s v="Video"/>
    <s v="Check out our latest video on youtube!"/>
    <n v="2949"/>
    <n v="476"/>
    <n v="403"/>
    <n v="44235"/>
    <n v="43705"/>
    <n v="135"/>
    <s v="ModelYCampaign"/>
    <s v="#TeslaCoInnovation"/>
    <m/>
    <m/>
    <n v="8.6537809426924378E-2"/>
    <n v="3828"/>
  </r>
  <r>
    <x v="0"/>
    <s v="2025-03-19"/>
    <s v="Video"/>
    <s v="Check out our latest video on twitter!"/>
    <n v="3160"/>
    <n v="204"/>
    <n v="297"/>
    <n v="44240"/>
    <n v="43666"/>
    <n v="49"/>
    <s v="SustainabilityDrive"/>
    <s v="#FutureOfDriving"/>
    <s v="#AnytimeIsTeslaTime"/>
    <m/>
    <n v="8.2753164556962022E-2"/>
    <n v="3661"/>
  </r>
  <r>
    <x v="1"/>
    <s v="2025-02-19"/>
    <s v="Image"/>
    <s v="Check out our latest image on youtube!"/>
    <n v="257"/>
    <n v="966"/>
    <n v="398"/>
    <n v="3341"/>
    <n v="2753"/>
    <n v="287"/>
    <s v="CybertruckLaunch"/>
    <s v="#FutureOfDriving"/>
    <m/>
    <m/>
    <n v="0.48518407662376534"/>
    <n v="1621"/>
  </r>
  <r>
    <x v="0"/>
    <s v="2024-07-18"/>
    <s v="Carousel"/>
    <s v="Check out our latest carousel on twitter!"/>
    <n v="2120"/>
    <n v="38"/>
    <n v="212"/>
    <n v="12720"/>
    <n v="12564"/>
    <n v="21"/>
    <s v="SustainabilityDrive"/>
    <s v="#FutureOfDriving"/>
    <m/>
    <m/>
    <n v="0.18632075471698112"/>
    <n v="2370"/>
  </r>
  <r>
    <x v="1"/>
    <s v="2025-03-03"/>
    <s v="Video"/>
    <s v="Check out our latest video on youtube!"/>
    <n v="3874"/>
    <n v="884"/>
    <n v="19"/>
    <n v="38740"/>
    <n v="38552"/>
    <n v="219"/>
    <s v="ModelYCampaign"/>
    <s v="#TeslaCoInnovation"/>
    <m/>
    <m/>
    <n v="0.123309241094476"/>
    <n v="4777"/>
  </r>
  <r>
    <x v="3"/>
    <s v="2025-05-01"/>
    <s v="Carousel"/>
    <s v="Check out our latest carousel on facebook!"/>
    <n v="2696"/>
    <n v="628"/>
    <n v="443"/>
    <n v="45832"/>
    <n v="45632"/>
    <n v="248"/>
    <s v="SustainabilityDrive"/>
    <s v="#EVRevolution"/>
    <m/>
    <m/>
    <n v="8.21914819340199E-2"/>
    <n v="3767"/>
  </r>
  <r>
    <x v="2"/>
    <s v="2024-12-23"/>
    <s v="Image"/>
    <s v="Check out our latest image on instagram!"/>
    <n v="521"/>
    <n v="746"/>
    <n v="315"/>
    <n v="4168"/>
    <n v="3399"/>
    <n v="282"/>
    <s v="ModelYCampaign"/>
    <s v="#FutureOfDriving"/>
    <m/>
    <m/>
    <n v="0.37955854126679461"/>
    <n v="1582"/>
  </r>
  <r>
    <x v="3"/>
    <s v="2025-05-06"/>
    <s v="Image"/>
    <s v="Check out our latest image on facebook!"/>
    <n v="4872"/>
    <n v="925"/>
    <n v="176"/>
    <n v="82824"/>
    <n v="82543"/>
    <n v="89"/>
    <s v="ModelYCampaign"/>
    <s v="#EVRevolution"/>
    <m/>
    <m/>
    <n v="7.2116777745580993E-2"/>
    <n v="5973"/>
  </r>
  <r>
    <x v="1"/>
    <s v="2024-07-29"/>
    <s v="Story"/>
    <s v="Check out our latest story on youtube!"/>
    <n v="1509"/>
    <n v="88"/>
    <n v="163"/>
    <n v="30180"/>
    <n v="29689"/>
    <n v="119"/>
    <s v="ModelYCampaign"/>
    <s v="#EVRevolution"/>
    <m/>
    <m/>
    <n v="5.8316766070245198E-2"/>
    <n v="1760"/>
  </r>
  <r>
    <x v="3"/>
    <s v="2024-12-03"/>
    <s v="Image"/>
    <s v="Check out our latest image on facebook!"/>
    <n v="4606"/>
    <n v="931"/>
    <n v="230"/>
    <n v="92120"/>
    <n v="91440"/>
    <n v="56"/>
    <m/>
    <s v="#TeslaCoInnovation"/>
    <m/>
    <m/>
    <n v="6.2603126356925748E-2"/>
    <n v="5767"/>
  </r>
  <r>
    <x v="3"/>
    <s v="2024-06-11"/>
    <s v="Carousel"/>
    <s v="Check out our latest carousel on facebook!"/>
    <n v="1869"/>
    <n v="453"/>
    <n v="490"/>
    <n v="14952"/>
    <n v="14309"/>
    <n v="275"/>
    <s v="SustainabilityDrive"/>
    <s v="#TeslaCoInnovation"/>
    <m/>
    <m/>
    <n v="0.18806848582129482"/>
    <n v="2812"/>
  </r>
  <r>
    <x v="0"/>
    <s v="2025-01-28"/>
    <s v="Reel"/>
    <s v="Check out our latest reel on twitter!"/>
    <n v="1188"/>
    <n v="470"/>
    <n v="174"/>
    <n v="7128"/>
    <n v="6145"/>
    <n v="270"/>
    <s v="SustainabilityDrive"/>
    <s v="#TeslaCoInnovation"/>
    <m/>
    <m/>
    <n v="0.25701459034792368"/>
    <n v="1832"/>
  </r>
  <r>
    <x v="2"/>
    <s v="2024-06-02"/>
    <s v="Story"/>
    <s v="Check out our latest story on instagram!"/>
    <n v="84"/>
    <n v="897"/>
    <n v="85"/>
    <n v="588"/>
    <n v="8"/>
    <n v="12"/>
    <m/>
    <s v="#EVRevolution"/>
    <m/>
    <m/>
    <n v="1.8129251700680271"/>
    <n v="1066"/>
  </r>
  <r>
    <x v="3"/>
    <s v="2025-03-23"/>
    <s v="Video"/>
    <s v="Check out our latest video on facebook!"/>
    <n v="4453"/>
    <n v="111"/>
    <n v="420"/>
    <n v="31171"/>
    <n v="30565"/>
    <n v="23"/>
    <m/>
    <s v="#TeslaCoInnovation"/>
    <m/>
    <m/>
    <n v="0.15989220750056141"/>
    <n v="4984"/>
  </r>
  <r>
    <x v="3"/>
    <s v="2024-10-08"/>
    <s v="Reel"/>
    <s v="Check out our latest reel on facebook!"/>
    <n v="1814"/>
    <n v="653"/>
    <n v="363"/>
    <n v="25396"/>
    <n v="25286"/>
    <n v="39"/>
    <s v="CybertruckLaunch"/>
    <s v="#FutureOfDriving"/>
    <s v="#SmoothLikeNitroTesla"/>
    <m/>
    <n v="0.11143487163332809"/>
    <n v="2830"/>
  </r>
  <r>
    <x v="0"/>
    <s v="2024-11-12"/>
    <s v="Image"/>
    <s v="Check out our latest image on twitter!"/>
    <n v="3338"/>
    <n v="277"/>
    <n v="118"/>
    <n v="60084"/>
    <n v="59842"/>
    <n v="252"/>
    <m/>
    <s v="#TeslaCoInnovation"/>
    <m/>
    <m/>
    <n v="6.2129685107516146E-2"/>
    <n v="3733"/>
  </r>
  <r>
    <x v="3"/>
    <s v="2025-05-13"/>
    <s v="Image"/>
    <s v="Check out our latest image on facebook!"/>
    <n v="602"/>
    <n v="594"/>
    <n v="156"/>
    <n v="4214"/>
    <n v="3363"/>
    <n v="164"/>
    <s v="FSDUpdate"/>
    <s v="#TeslaCoInnovation"/>
    <m/>
    <m/>
    <n v="0.32083531086853345"/>
    <n v="1352"/>
  </r>
  <r>
    <x v="0"/>
    <s v="2024-06-20"/>
    <s v="Carousel"/>
    <s v="Check out our latest carousel on twitter!"/>
    <n v="4672"/>
    <n v="325"/>
    <n v="32"/>
    <n v="88768"/>
    <n v="87833"/>
    <n v="118"/>
    <m/>
    <s v="#EVRevolution"/>
    <m/>
    <m/>
    <n v="5.6653298485940883E-2"/>
    <n v="5029"/>
  </r>
  <r>
    <x v="2"/>
    <s v="2024-08-07"/>
    <s v="Carousel"/>
    <s v="Check out our latest carousel on instagram!"/>
    <n v="1741"/>
    <n v="164"/>
    <n v="318"/>
    <n v="8705"/>
    <n v="8272"/>
    <n v="121"/>
    <m/>
    <s v="#TeslaCoInnovation"/>
    <m/>
    <m/>
    <n v="0.25537047673750718"/>
    <n v="2223"/>
  </r>
  <r>
    <x v="2"/>
    <s v="2024-06-12"/>
    <s v="Text"/>
    <s v="Check out our latest text on instagram!"/>
    <n v="246"/>
    <n v="149"/>
    <n v="130"/>
    <n v="4674"/>
    <n v="4390"/>
    <n v="217"/>
    <s v="FSDUpdate"/>
    <s v="#FutureOfDriving"/>
    <m/>
    <m/>
    <n v="0.11232349165596919"/>
    <n v="525"/>
  </r>
  <r>
    <x v="2"/>
    <s v="2024-07-01"/>
    <s v="Story"/>
    <s v="Check out our latest story on instagram!"/>
    <n v="4808"/>
    <n v="772"/>
    <n v="320"/>
    <n v="72120"/>
    <n v="71696"/>
    <n v="195"/>
    <s v="CybertruckLaunch"/>
    <s v="#EVRevolution"/>
    <m/>
    <m/>
    <n v="8.1808097615085965E-2"/>
    <n v="5900"/>
  </r>
  <r>
    <x v="2"/>
    <s v="2024-07-03"/>
    <s v="Carousel"/>
    <s v="Check out our latest carousel on instagram!"/>
    <n v="4799"/>
    <n v="694"/>
    <n v="289"/>
    <n v="43191"/>
    <n v="42228"/>
    <n v="118"/>
    <m/>
    <s v="#TeslaCoInnovation"/>
    <m/>
    <m/>
    <n v="0.13387048227640017"/>
    <n v="5782"/>
  </r>
  <r>
    <x v="3"/>
    <s v="2024-07-15"/>
    <s v="Reel"/>
    <s v="Check out our latest reel on facebook!"/>
    <n v="3663"/>
    <n v="17"/>
    <n v="295"/>
    <n v="51282"/>
    <n v="50567"/>
    <n v="84"/>
    <s v="FSDUpdate"/>
    <s v="#EVRevolution"/>
    <m/>
    <m/>
    <n v="7.7512577512577507E-2"/>
    <n v="3975"/>
  </r>
  <r>
    <x v="2"/>
    <s v="2025-05-01"/>
    <s v="Text"/>
    <s v="Check out our latest text on instagram!"/>
    <n v="1430"/>
    <n v="376"/>
    <n v="33"/>
    <n v="21450"/>
    <n v="20509"/>
    <n v="251"/>
    <s v="CybertruckLaunch"/>
    <s v="#FutureOfDriving"/>
    <m/>
    <m/>
    <n v="8.5734265734265735E-2"/>
    <n v="1839"/>
  </r>
  <r>
    <x v="0"/>
    <s v="2025-04-29"/>
    <s v="Story"/>
    <s v="Check out our latest story on twitter!"/>
    <n v="249"/>
    <n v="592"/>
    <n v="230"/>
    <n v="1494"/>
    <n v="1044"/>
    <n v="201"/>
    <s v="SustainabilityDrive"/>
    <s v="#EVRevolution"/>
    <m/>
    <m/>
    <n v="0.7168674698795181"/>
    <n v="1071"/>
  </r>
  <r>
    <x v="3"/>
    <s v="2025-03-08"/>
    <s v="Image"/>
    <s v="Check out our latest image on facebook!"/>
    <n v="2382"/>
    <n v="265"/>
    <n v="134"/>
    <n v="38112"/>
    <n v="37437"/>
    <n v="249"/>
    <s v="SustainabilityDrive"/>
    <s v="#FutureOfDriving"/>
    <m/>
    <m/>
    <n v="7.2969143576826198E-2"/>
    <n v="2781"/>
  </r>
  <r>
    <x v="3"/>
    <s v="2024-06-01"/>
    <s v="Text"/>
    <s v="Check out our latest text on facebook!"/>
    <n v="1272"/>
    <n v="465"/>
    <n v="99"/>
    <n v="24168"/>
    <n v="23719"/>
    <n v="42"/>
    <m/>
    <s v="#TeslaCoInnovation"/>
    <m/>
    <m/>
    <n v="7.5968222442899705E-2"/>
    <n v="1836"/>
  </r>
  <r>
    <x v="3"/>
    <s v="2024-12-22"/>
    <s v="Image"/>
    <s v="Check out our latest image on facebook!"/>
    <n v="3196"/>
    <n v="941"/>
    <n v="376"/>
    <n v="35156"/>
    <n v="34444"/>
    <n v="241"/>
    <s v="FSDUpdate"/>
    <s v="#TeslaCoInnovation"/>
    <m/>
    <m/>
    <n v="0.1283706906360223"/>
    <n v="4513"/>
  </r>
  <r>
    <x v="3"/>
    <s v="2024-08-19"/>
    <s v="Text"/>
    <s v="Check out our latest text on facebook!"/>
    <n v="1257"/>
    <n v="19"/>
    <n v="351"/>
    <n v="12570"/>
    <n v="11660"/>
    <n v="194"/>
    <s v="ModelYCampaign"/>
    <s v="#FutureOfDriving"/>
    <s v="#AnytimeIsTeslaTime"/>
    <s v="#EVRevolution"/>
    <n v="0.12943516308671441"/>
    <n v="1627"/>
  </r>
  <r>
    <x v="2"/>
    <s v="2024-10-22"/>
    <s v="Story"/>
    <s v="Check out our latest story on instagram!"/>
    <n v="3770"/>
    <n v="917"/>
    <n v="129"/>
    <n v="71630"/>
    <n v="71322"/>
    <n v="76"/>
    <s v="CybertruckLaunch"/>
    <s v="#FutureOfDriving"/>
    <m/>
    <m/>
    <n v="6.7234398994834563E-2"/>
    <n v="4816"/>
  </r>
  <r>
    <x v="0"/>
    <s v="2024-07-16"/>
    <s v="Text"/>
    <s v="Check out our latest text on twitter!"/>
    <n v="4725"/>
    <n v="400"/>
    <n v="362"/>
    <n v="75600"/>
    <n v="74927"/>
    <n v="43"/>
    <s v="SustainabilityDrive"/>
    <s v="#FutureOfDriving"/>
    <m/>
    <m/>
    <n v="7.2579365079365077E-2"/>
    <n v="5487"/>
  </r>
  <r>
    <x v="1"/>
    <s v="2025-02-24"/>
    <s v="Text"/>
    <s v="Check out our latest text on youtube!"/>
    <n v="4188"/>
    <n v="942"/>
    <n v="118"/>
    <n v="20940"/>
    <n v="20471"/>
    <n v="102"/>
    <m/>
    <s v="#FutureOfDriving"/>
    <m/>
    <m/>
    <n v="0.25062082139446035"/>
    <n v="5248"/>
  </r>
  <r>
    <x v="0"/>
    <s v="2024-08-26"/>
    <s v="Carousel"/>
    <s v="Check out our latest carousel on twitter!"/>
    <n v="929"/>
    <n v="192"/>
    <n v="322"/>
    <n v="16722"/>
    <n v="15996"/>
    <n v="145"/>
    <s v="FSDUpdate"/>
    <s v="#EVRevolution"/>
    <s v="#TeslaCoInnovation"/>
    <s v="#AnytimeIsTeslaTime"/>
    <n v="8.6293505561535699E-2"/>
    <n v="1443"/>
  </r>
  <r>
    <x v="3"/>
    <s v="2025-01-18"/>
    <s v="Story"/>
    <s v="Check out our latest story on facebook!"/>
    <n v="4321"/>
    <n v="874"/>
    <n v="172"/>
    <n v="30247"/>
    <n v="29254"/>
    <n v="122"/>
    <s v="SustainabilityDrive"/>
    <s v="#TeslaCoInnovation"/>
    <m/>
    <m/>
    <n v="0.17743908486792079"/>
    <n v="5367"/>
  </r>
  <r>
    <x v="3"/>
    <s v="2024-07-07"/>
    <s v="Reel"/>
    <s v="Check out our latest reel on facebook!"/>
    <n v="4767"/>
    <n v="190"/>
    <n v="340"/>
    <n v="28602"/>
    <n v="28044"/>
    <n v="210"/>
    <s v="FSDUpdate"/>
    <s v="#EVRevolution"/>
    <m/>
    <m/>
    <n v="0.18519683938186141"/>
    <n v="5297"/>
  </r>
  <r>
    <x v="0"/>
    <s v="2025-03-06"/>
    <s v="Image"/>
    <s v="Check out our latest image on twitter!"/>
    <n v="3592"/>
    <n v="911"/>
    <n v="375"/>
    <n v="50288"/>
    <n v="49490"/>
    <n v="32"/>
    <s v="SustainabilityDrive"/>
    <s v="#FutureOfDriving"/>
    <m/>
    <m/>
    <n v="9.7001272669424113E-2"/>
    <n v="4878"/>
  </r>
  <r>
    <x v="1"/>
    <s v="2024-10-25"/>
    <s v="Video"/>
    <s v="Check out our latest video on youtube!"/>
    <n v="4661"/>
    <n v="935"/>
    <n v="433"/>
    <n v="23305"/>
    <n v="22583"/>
    <n v="63"/>
    <s v="FSDUpdate"/>
    <s v="#FutureOfDriving"/>
    <m/>
    <m/>
    <n v="0.25869984981763572"/>
    <n v="6029"/>
  </r>
  <r>
    <x v="3"/>
    <s v="2025-01-12"/>
    <s v="Reel"/>
    <s v="Check out our latest reel on facebook!"/>
    <n v="4134"/>
    <n v="824"/>
    <n v="99"/>
    <n v="41340"/>
    <n v="41050"/>
    <n v="177"/>
    <s v="CybertruckLaunch"/>
    <s v="#EVRevolution"/>
    <m/>
    <m/>
    <n v="0.12232704402515723"/>
    <n v="5057"/>
  </r>
  <r>
    <x v="3"/>
    <s v="2024-10-11"/>
    <s v="Image"/>
    <s v="Check out our latest image on facebook!"/>
    <n v="400"/>
    <n v="680"/>
    <n v="434"/>
    <n v="6400"/>
    <n v="5472"/>
    <n v="160"/>
    <s v="ModelYCampaign"/>
    <s v="#FutureOfDriving"/>
    <m/>
    <m/>
    <n v="0.23656250000000001"/>
    <n v="1514"/>
  </r>
  <r>
    <x v="3"/>
    <s v="2024-08-27"/>
    <s v="Reel"/>
    <s v="Check out our latest reel on facebook!"/>
    <n v="3960"/>
    <n v="266"/>
    <n v="8"/>
    <n v="35640"/>
    <n v="34850"/>
    <n v="208"/>
    <m/>
    <s v="#FutureOfDriving"/>
    <s v="#EVRevolution"/>
    <s v="#BetterWithTesla"/>
    <n v="0.11879910213243547"/>
    <n v="4234"/>
  </r>
  <r>
    <x v="3"/>
    <s v="2025-02-02"/>
    <s v="Story"/>
    <s v="Check out our latest story on facebook!"/>
    <n v="886"/>
    <n v="126"/>
    <n v="153"/>
    <n v="4430"/>
    <n v="4037"/>
    <n v="212"/>
    <m/>
    <s v="#EVRevolution"/>
    <m/>
    <m/>
    <n v="0.26297968397291194"/>
    <n v="1165"/>
  </r>
  <r>
    <x v="0"/>
    <s v="2024-07-18"/>
    <s v="Image"/>
    <s v="Check out our latest image on twitter!"/>
    <n v="827"/>
    <n v="77"/>
    <n v="402"/>
    <n v="14886"/>
    <n v="14129"/>
    <n v="254"/>
    <s v="ModelYCampaign"/>
    <s v="#EVRevolution"/>
    <m/>
    <m/>
    <n v="8.7733440816874911E-2"/>
    <n v="1306"/>
  </r>
  <r>
    <x v="3"/>
    <s v="2024-06-22"/>
    <s v="Reel"/>
    <s v="Check out our latest reel on facebook!"/>
    <n v="3813"/>
    <n v="935"/>
    <n v="274"/>
    <n v="68634"/>
    <n v="68488"/>
    <n v="251"/>
    <m/>
    <s v="#FutureOfDriving"/>
    <m/>
    <m/>
    <n v="7.3170731707317069E-2"/>
    <n v="5022"/>
  </r>
  <r>
    <x v="2"/>
    <s v="2025-03-27"/>
    <s v="Carousel"/>
    <s v="Check out our latest carousel on instagram!"/>
    <n v="1377"/>
    <n v="796"/>
    <n v="387"/>
    <n v="22032"/>
    <n v="21869"/>
    <n v="189"/>
    <m/>
    <s v="#FutureOfDriving"/>
    <m/>
    <m/>
    <n v="0.11619462599854757"/>
    <n v="2560"/>
  </r>
  <r>
    <x v="3"/>
    <s v="2025-04-28"/>
    <s v="Carousel"/>
    <s v="Check out our latest carousel on facebook!"/>
    <n v="2089"/>
    <n v="476"/>
    <n v="69"/>
    <n v="16712"/>
    <n v="16309"/>
    <n v="64"/>
    <s v="FSDUpdate"/>
    <s v="#FutureOfDriving"/>
    <m/>
    <m/>
    <n v="0.15761129727142173"/>
    <n v="2634"/>
  </r>
  <r>
    <x v="0"/>
    <s v="2024-08-03"/>
    <s v="Reel"/>
    <s v="Check out our latest reel on twitter!"/>
    <n v="3791"/>
    <n v="593"/>
    <n v="228"/>
    <n v="53074"/>
    <n v="52613"/>
    <n v="205"/>
    <m/>
    <s v="#EVRevolution"/>
    <m/>
    <m/>
    <n v="8.6897539284772202E-2"/>
    <n v="4612"/>
  </r>
  <r>
    <x v="0"/>
    <s v="2025-01-14"/>
    <s v="Image"/>
    <s v="Check out our latest image on twitter!"/>
    <n v="2692"/>
    <n v="115"/>
    <n v="64"/>
    <n v="21536"/>
    <n v="21120"/>
    <n v="224"/>
    <s v="ModelYCampaign"/>
    <s v="#FutureOfDriving"/>
    <m/>
    <m/>
    <n v="0.13331166419019316"/>
    <n v="2871"/>
  </r>
  <r>
    <x v="3"/>
    <s v="2025-04-03"/>
    <s v="Story"/>
    <s v="Check out our latest story on facebook!"/>
    <n v="3767"/>
    <n v="514"/>
    <n v="238"/>
    <n v="37670"/>
    <n v="36807"/>
    <n v="226"/>
    <s v="SustainabilityDrive"/>
    <s v="#FutureOfDriving"/>
    <m/>
    <m/>
    <n v="0.11996283514733209"/>
    <n v="4519"/>
  </r>
  <r>
    <x v="1"/>
    <s v="2024-09-18"/>
    <s v="Carousel"/>
    <s v="Check out our latest carousel on youtube!"/>
    <n v="2143"/>
    <n v="12"/>
    <n v="204"/>
    <n v="40717"/>
    <n v="40125"/>
    <n v="248"/>
    <s v="ModelYCampaign"/>
    <s v="#EVRevolution"/>
    <m/>
    <m/>
    <n v="5.7936488444630008E-2"/>
    <n v="2359"/>
  </r>
  <r>
    <x v="3"/>
    <s v="2025-04-06"/>
    <s v="Image"/>
    <s v="Check out our latest image on facebook!"/>
    <n v="3090"/>
    <n v="697"/>
    <n v="164"/>
    <n v="49440"/>
    <n v="48524"/>
    <n v="25"/>
    <s v="ModelYCampaign"/>
    <s v="#EVRevolution"/>
    <s v="#EVRevolution"/>
    <s v="#BetterWithTesla"/>
    <n v="7.9915048543689318E-2"/>
    <n v="3951"/>
  </r>
  <r>
    <x v="2"/>
    <s v="2024-08-05"/>
    <s v="Story"/>
    <s v="Check out our latest story on instagram!"/>
    <n v="3601"/>
    <n v="695"/>
    <n v="75"/>
    <n v="21606"/>
    <n v="21454"/>
    <n v="172"/>
    <s v="ModelYCampaign"/>
    <s v="#EVRevolution"/>
    <m/>
    <m/>
    <n v="0.2023049153013052"/>
    <n v="4371"/>
  </r>
  <r>
    <x v="3"/>
    <s v="2025-02-10"/>
    <s v="Text"/>
    <s v="Check out our latest text on facebook!"/>
    <n v="562"/>
    <n v="158"/>
    <n v="149"/>
    <n v="3372"/>
    <n v="2940"/>
    <n v="93"/>
    <s v="CybertruckLaunch"/>
    <s v="#TeslaCoInnovation"/>
    <m/>
    <m/>
    <n v="0.25771055753262156"/>
    <n v="869"/>
  </r>
  <r>
    <x v="2"/>
    <s v="2025-02-12"/>
    <s v="Story"/>
    <s v="Check out our latest story on instagram!"/>
    <n v="4332"/>
    <n v="771"/>
    <n v="219"/>
    <n v="60648"/>
    <n v="60397"/>
    <n v="10"/>
    <s v="FSDUpdate"/>
    <s v="#TeslaCoInnovation"/>
    <s v="#EVRevolution"/>
    <s v="#BetterWithTesla"/>
    <n v="8.7752275425405618E-2"/>
    <n v="5322"/>
  </r>
  <r>
    <x v="2"/>
    <s v="2024-10-27"/>
    <s v="Image"/>
    <s v="Check out our latest image on instagram!"/>
    <n v="4853"/>
    <n v="837"/>
    <n v="340"/>
    <n v="72795"/>
    <n v="72237"/>
    <n v="170"/>
    <s v="CybertruckLaunch"/>
    <s v="#EVRevolution"/>
    <m/>
    <m/>
    <n v="8.2835359571399134E-2"/>
    <n v="6030"/>
  </r>
  <r>
    <x v="1"/>
    <s v="2025-01-18"/>
    <s v="Image"/>
    <s v="Check out our latest image on youtube!"/>
    <n v="1206"/>
    <n v="238"/>
    <n v="36"/>
    <n v="9648"/>
    <n v="9417"/>
    <n v="237"/>
    <m/>
    <s v="#TeslaCoInnovation"/>
    <m/>
    <m/>
    <n v="0.15339966832504145"/>
    <n v="1480"/>
  </r>
  <r>
    <x v="2"/>
    <s v="2024-08-20"/>
    <s v="Reel"/>
    <s v="Check out our latest reel on instagram!"/>
    <n v="2603"/>
    <n v="690"/>
    <n v="205"/>
    <n v="13015"/>
    <n v="12130"/>
    <n v="20"/>
    <s v="ModelYCampaign"/>
    <s v="#FutureOfDriving"/>
    <m/>
    <m/>
    <n v="0.26876680752977333"/>
    <n v="3498"/>
  </r>
  <r>
    <x v="0"/>
    <s v="2025-01-30"/>
    <s v="Image"/>
    <s v="Check out our latest image on twitter!"/>
    <n v="59"/>
    <n v="163"/>
    <n v="93"/>
    <n v="590"/>
    <n v="475"/>
    <n v="293"/>
    <s v="ModelYCampaign"/>
    <s v="#TeslaCoInnovation"/>
    <m/>
    <m/>
    <n v="0.53389830508474578"/>
    <n v="315"/>
  </r>
  <r>
    <x v="0"/>
    <s v="2025-02-20"/>
    <s v="Carousel"/>
    <s v="Check out our latest carousel on twitter!"/>
    <n v="1877"/>
    <n v="745"/>
    <n v="225"/>
    <n v="11262"/>
    <n v="10967"/>
    <n v="41"/>
    <s v="SustainabilityDrive"/>
    <s v="#EVRevolution"/>
    <m/>
    <m/>
    <n v="0.25279701651571657"/>
    <n v="2847"/>
  </r>
  <r>
    <x v="3"/>
    <s v="2024-11-25"/>
    <s v="Story"/>
    <s v="Check out our latest story on facebook!"/>
    <n v="4182"/>
    <n v="640"/>
    <n v="240"/>
    <n v="50184"/>
    <n v="49351"/>
    <n v="10"/>
    <s v="FSDUpdate"/>
    <s v="#TeslaCoInnovation"/>
    <m/>
    <m/>
    <n v="0.10086880280567512"/>
    <n v="5062"/>
  </r>
  <r>
    <x v="0"/>
    <s v="2024-10-04"/>
    <s v="Reel"/>
    <s v="Check out our latest reel on twitter!"/>
    <n v="4187"/>
    <n v="66"/>
    <n v="31"/>
    <n v="66992"/>
    <n v="66614"/>
    <n v="62"/>
    <m/>
    <s v="#FutureOfDriving"/>
    <m/>
    <m/>
    <n v="6.3947934081681396E-2"/>
    <n v="4284"/>
  </r>
  <r>
    <x v="2"/>
    <s v="2025-04-13"/>
    <s v="Reel"/>
    <s v="Check out our latest reel on instagram!"/>
    <n v="4579"/>
    <n v="125"/>
    <n v="300"/>
    <n v="59527"/>
    <n v="59400"/>
    <n v="269"/>
    <s v="CybertruckLaunch"/>
    <s v="#EVRevolution"/>
    <m/>
    <m/>
    <n v="8.4062694239588759E-2"/>
    <n v="5004"/>
  </r>
  <r>
    <x v="2"/>
    <s v="2024-11-05"/>
    <s v="Video"/>
    <s v="Check out our latest video on instagram!"/>
    <n v="4561"/>
    <n v="51"/>
    <n v="441"/>
    <n v="22805"/>
    <n v="21890"/>
    <n v="45"/>
    <s v="ModelYCampaign"/>
    <s v="#TeslaCoInnovation"/>
    <m/>
    <m/>
    <n v="0.22157421618066214"/>
    <n v="5053"/>
  </r>
  <r>
    <x v="1"/>
    <s v="2025-01-15"/>
    <s v="Reel"/>
    <s v="Check out our latest reel on youtube!"/>
    <n v="3774"/>
    <n v="239"/>
    <n v="39"/>
    <n v="60384"/>
    <n v="59490"/>
    <n v="241"/>
    <s v="FSDUpdate"/>
    <s v="#TeslaCoInnovation"/>
    <m/>
    <m/>
    <n v="6.7103868574456813E-2"/>
    <n v="4052"/>
  </r>
  <r>
    <x v="2"/>
    <s v="2024-10-17"/>
    <s v="Video"/>
    <s v="Check out our latest video on instagram!"/>
    <n v="3575"/>
    <n v="749"/>
    <n v="111"/>
    <n v="21450"/>
    <n v="20785"/>
    <n v="195"/>
    <s v="ModelYCampaign"/>
    <s v="#EVRevolution"/>
    <m/>
    <m/>
    <n v="0.20675990675990677"/>
    <n v="4435"/>
  </r>
  <r>
    <x v="2"/>
    <s v="2025-03-27"/>
    <s v="Text"/>
    <s v="Check out our latest text on instagram!"/>
    <n v="4941"/>
    <n v="414"/>
    <n v="266"/>
    <n v="39528"/>
    <n v="39154"/>
    <n v="217"/>
    <s v="FSDUpdate"/>
    <s v="#TeslaCoInnovation"/>
    <m/>
    <m/>
    <n v="0.14220299534507186"/>
    <n v="5621"/>
  </r>
  <r>
    <x v="1"/>
    <s v="2024-10-12"/>
    <s v="Story"/>
    <s v="Check out our latest story on youtube!"/>
    <n v="3641"/>
    <n v="226"/>
    <n v="46"/>
    <n v="40051"/>
    <n v="39319"/>
    <n v="296"/>
    <s v="SustainabilityDrive"/>
    <s v="#EVRevolution"/>
    <m/>
    <m/>
    <n v="9.7700431949264685E-2"/>
    <n v="3913"/>
  </r>
  <r>
    <x v="0"/>
    <s v="2025-01-01"/>
    <s v="Carousel"/>
    <s v="Check out our latest carousel on twitter!"/>
    <n v="3535"/>
    <n v="494"/>
    <n v="152"/>
    <n v="53025"/>
    <n v="52791"/>
    <n v="44"/>
    <s v="SustainabilityDrive"/>
    <s v="#TeslaCoInnovation"/>
    <m/>
    <m/>
    <n v="7.8849599245638849E-2"/>
    <n v="4181"/>
  </r>
  <r>
    <x v="3"/>
    <s v="2024-08-05"/>
    <s v="Reel"/>
    <s v="Check out our latest reel on facebook!"/>
    <n v="1741"/>
    <n v="831"/>
    <n v="345"/>
    <n v="17410"/>
    <n v="16844"/>
    <n v="58"/>
    <s v="FSDUpdate"/>
    <s v="#EVRevolution"/>
    <m/>
    <m/>
    <n v="0.16754738655944859"/>
    <n v="2917"/>
  </r>
  <r>
    <x v="0"/>
    <s v="2024-06-07"/>
    <s v="Carousel"/>
    <s v="Check out our latest carousel on twitter!"/>
    <n v="1556"/>
    <n v="195"/>
    <n v="131"/>
    <n v="9336"/>
    <n v="8875"/>
    <n v="137"/>
    <s v="ModelYCampaign"/>
    <s v="#TeslaCoInnovation"/>
    <m/>
    <m/>
    <n v="0.2015852613538989"/>
    <n v="1882"/>
  </r>
  <r>
    <x v="3"/>
    <s v="2025-04-06"/>
    <s v="Image"/>
    <s v="Check out our latest image on facebook!"/>
    <n v="4236"/>
    <n v="711"/>
    <n v="298"/>
    <n v="21180"/>
    <n v="20516"/>
    <n v="238"/>
    <s v="CybertruckLaunch"/>
    <s v="#FutureOfDriving"/>
    <m/>
    <m/>
    <n v="0.24763928234183191"/>
    <n v="5245"/>
  </r>
  <r>
    <x v="0"/>
    <s v="2024-11-26"/>
    <s v="Text"/>
    <s v="Check out our latest text on twitter!"/>
    <n v="4516"/>
    <n v="836"/>
    <n v="169"/>
    <n v="49676"/>
    <n v="49257"/>
    <n v="282"/>
    <s v="SustainabilityDrive"/>
    <s v="#EVRevolution"/>
    <m/>
    <m/>
    <n v="0.11114018842096787"/>
    <n v="5521"/>
  </r>
  <r>
    <x v="1"/>
    <s v="2024-09-02"/>
    <s v="Image"/>
    <s v="Check out our latest image on youtube!"/>
    <n v="4905"/>
    <n v="845"/>
    <n v="129"/>
    <n v="98100"/>
    <n v="97772"/>
    <n v="279"/>
    <s v="ModelYCampaign"/>
    <s v="#TeslaCoInnovation"/>
    <m/>
    <m/>
    <n v="5.9928644240570844E-2"/>
    <n v="5879"/>
  </r>
  <r>
    <x v="1"/>
    <s v="2024-10-21"/>
    <s v="Video"/>
    <s v="Check out our latest video on youtube!"/>
    <n v="4275"/>
    <n v="680"/>
    <n v="385"/>
    <n v="64125"/>
    <n v="63650"/>
    <n v="104"/>
    <s v="SustainabilityDrive"/>
    <s v="#EVRevolution"/>
    <s v="#TeslaCoInnovation"/>
    <s v="#AnytimeIsTeslaTime"/>
    <n v="8.3274853801169585E-2"/>
    <n v="5340"/>
  </r>
  <r>
    <x v="1"/>
    <s v="2025-03-22"/>
    <s v="Image"/>
    <s v="Check out our latest image on youtube!"/>
    <n v="3166"/>
    <n v="90"/>
    <n v="341"/>
    <n v="56988"/>
    <n v="56125"/>
    <n v="135"/>
    <s v="ModelYCampaign"/>
    <s v="#EVRevolution"/>
    <m/>
    <m/>
    <n v="6.3118551273952411E-2"/>
    <n v="3597"/>
  </r>
  <r>
    <x v="2"/>
    <s v="2024-10-03"/>
    <s v="Video"/>
    <s v="Check out our latest video on instagram!"/>
    <n v="1488"/>
    <n v="417"/>
    <n v="168"/>
    <n v="19344"/>
    <n v="18395"/>
    <n v="30"/>
    <s v="FSDUpdate"/>
    <s v="#FutureOfDriving"/>
    <m/>
    <m/>
    <n v="0.1071650124069479"/>
    <n v="2073"/>
  </r>
  <r>
    <x v="0"/>
    <s v="2025-05-09"/>
    <s v="Reel"/>
    <s v="Check out our latest reel on twitter!"/>
    <n v="3367"/>
    <n v="302"/>
    <n v="57"/>
    <n v="63973"/>
    <n v="63789"/>
    <n v="157"/>
    <s v="ModelYCampaign"/>
    <s v="#FutureOfDriving"/>
    <m/>
    <m/>
    <n v="5.8243321401216137E-2"/>
    <n v="3726"/>
  </r>
  <r>
    <x v="0"/>
    <s v="2024-09-17"/>
    <s v="Text"/>
    <s v="Check out our latest text on twitter!"/>
    <n v="571"/>
    <n v="190"/>
    <n v="352"/>
    <n v="9707"/>
    <n v="9418"/>
    <n v="231"/>
    <s v="SustainabilityDrive"/>
    <s v="#TeslaCoInnovation"/>
    <m/>
    <m/>
    <n v="0.11465952405480581"/>
    <n v="1113"/>
  </r>
  <r>
    <x v="1"/>
    <s v="2024-07-18"/>
    <s v="Text"/>
    <s v="Check out our latest text on youtube!"/>
    <n v="4021"/>
    <n v="794"/>
    <n v="77"/>
    <n v="36189"/>
    <n v="35505"/>
    <n v="174"/>
    <m/>
    <s v="#EVRevolution"/>
    <m/>
    <m/>
    <n v="0.13517919809886983"/>
    <n v="4892"/>
  </r>
  <r>
    <x v="1"/>
    <s v="2024-09-25"/>
    <s v="Video"/>
    <s v="Check out our latest video on youtube!"/>
    <n v="3389"/>
    <n v="344"/>
    <n v="229"/>
    <n v="20334"/>
    <n v="19443"/>
    <n v="228"/>
    <s v="FSDUpdate"/>
    <s v="#FutureOfDriving"/>
    <m/>
    <m/>
    <n v="0.19484607062063539"/>
    <n v="3962"/>
  </r>
  <r>
    <x v="2"/>
    <s v="2024-08-15"/>
    <s v="Reel"/>
    <s v="Check out our latest reel on instagram!"/>
    <n v="1164"/>
    <n v="616"/>
    <n v="324"/>
    <n v="6984"/>
    <n v="6636"/>
    <n v="82"/>
    <s v="CybertruckLaunch"/>
    <s v="#EVRevolution"/>
    <m/>
    <m/>
    <n v="0.30126002290950743"/>
    <n v="2104"/>
  </r>
  <r>
    <x v="1"/>
    <s v="2025-04-17"/>
    <s v="Carousel"/>
    <s v="Check out our latest carousel on youtube!"/>
    <n v="4780"/>
    <n v="691"/>
    <n v="380"/>
    <n v="86040"/>
    <n v="85743"/>
    <n v="262"/>
    <s v="FSDUpdate"/>
    <s v="#FutureOfDriving"/>
    <m/>
    <m/>
    <n v="6.800325430032543E-2"/>
    <n v="5851"/>
  </r>
  <r>
    <x v="3"/>
    <s v="2024-11-28"/>
    <s v="Carousel"/>
    <s v="Check out our latest carousel on facebook!"/>
    <n v="2751"/>
    <n v="33"/>
    <n v="430"/>
    <n v="44016"/>
    <n v="43415"/>
    <n v="129"/>
    <m/>
    <s v="#FutureOfDriving"/>
    <m/>
    <m/>
    <n v="7.3018902217375503E-2"/>
    <n v="3214"/>
  </r>
  <r>
    <x v="2"/>
    <s v="2024-12-20"/>
    <s v="Carousel"/>
    <s v="Check out our latest carousel on instagram!"/>
    <n v="2107"/>
    <n v="550"/>
    <n v="349"/>
    <n v="35819"/>
    <n v="35340"/>
    <n v="191"/>
    <s v="SustainabilityDrive"/>
    <s v="#EVRevolution"/>
    <m/>
    <m/>
    <n v="8.3921940869371006E-2"/>
    <n v="3006"/>
  </r>
  <r>
    <x v="3"/>
    <s v="2024-11-06"/>
    <s v="Video"/>
    <s v="Check out our latest video on facebook!"/>
    <n v="4663"/>
    <n v="145"/>
    <n v="225"/>
    <n v="69945"/>
    <n v="69596"/>
    <n v="35"/>
    <s v="SustainabilityDrive"/>
    <s v="#EVRevolution"/>
    <m/>
    <m/>
    <n v="7.1956537279290869E-2"/>
    <n v="5033"/>
  </r>
  <r>
    <x v="3"/>
    <s v="2024-11-17"/>
    <s v="Text"/>
    <s v="Check out our latest text on facebook!"/>
    <n v="880"/>
    <n v="297"/>
    <n v="345"/>
    <n v="12320"/>
    <n v="11978"/>
    <n v="238"/>
    <m/>
    <s v="#TeslaCoInnovation"/>
    <s v="#AnytimeIsTeslaTime"/>
    <m/>
    <n v="0.12353896103896105"/>
    <n v="1522"/>
  </r>
  <r>
    <x v="3"/>
    <s v="2025-05-14"/>
    <s v="Text"/>
    <s v="Check out our latest text on facebook!"/>
    <n v="2634"/>
    <n v="726"/>
    <n v="241"/>
    <n v="28974"/>
    <n v="28102"/>
    <n v="277"/>
    <s v="CybertruckLaunch"/>
    <s v="#EVRevolution"/>
    <m/>
    <m/>
    <n v="0.12428384068475185"/>
    <n v="3601"/>
  </r>
  <r>
    <x v="3"/>
    <s v="2024-06-19"/>
    <s v="Carousel"/>
    <s v="Check out our latest carousel on facebook!"/>
    <n v="4731"/>
    <n v="173"/>
    <n v="276"/>
    <n v="28386"/>
    <n v="28185"/>
    <n v="89"/>
    <s v="FSDUpdate"/>
    <s v="#EVRevolution"/>
    <m/>
    <m/>
    <n v="0.18248432325794406"/>
    <n v="5180"/>
  </r>
  <r>
    <x v="0"/>
    <s v="2025-05-06"/>
    <s v="Image"/>
    <s v="Check out our latest image on twitter!"/>
    <n v="1952"/>
    <n v="344"/>
    <n v="287"/>
    <n v="15616"/>
    <n v="15403"/>
    <n v="235"/>
    <s v="ModelYCampaign"/>
    <s v="#FutureOfDriving"/>
    <s v="#TeslaCoInnovation"/>
    <s v="#AnytimeIsTeslaTime"/>
    <n v="0.16540727459016394"/>
    <n v="2583"/>
  </r>
  <r>
    <x v="0"/>
    <s v="2025-02-11"/>
    <s v="Video"/>
    <s v="Check out our latest video on twitter!"/>
    <n v="3440"/>
    <n v="13"/>
    <n v="20"/>
    <n v="58480"/>
    <n v="58146"/>
    <n v="210"/>
    <s v="SustainabilityDrive"/>
    <s v="#TeslaCoInnovation"/>
    <s v="#SmoothLikeNitroTesla"/>
    <m/>
    <n v="5.9387824897400819E-2"/>
    <n v="3473"/>
  </r>
  <r>
    <x v="0"/>
    <s v="2024-12-24"/>
    <s v="Text"/>
    <s v="Check out our latest text on twitter!"/>
    <n v="2166"/>
    <n v="354"/>
    <n v="117"/>
    <n v="10830"/>
    <n v="10245"/>
    <n v="24"/>
    <s v="SustainabilityDrive"/>
    <s v="#EVRevolution"/>
    <m/>
    <m/>
    <n v="0.24349030470914126"/>
    <n v="2637"/>
  </r>
  <r>
    <x v="3"/>
    <s v="2024-10-24"/>
    <s v="Image"/>
    <s v="Check out our latest image on facebook!"/>
    <n v="4303"/>
    <n v="451"/>
    <n v="286"/>
    <n v="86060"/>
    <n v="85823"/>
    <n v="14"/>
    <s v="FSDUpdate"/>
    <s v="#TeslaCoInnovation"/>
    <m/>
    <m/>
    <n v="5.8563792702765516E-2"/>
    <n v="5040"/>
  </r>
  <r>
    <x v="3"/>
    <s v="2024-08-26"/>
    <s v="Image"/>
    <s v="Check out our latest image on facebook!"/>
    <n v="2581"/>
    <n v="517"/>
    <n v="117"/>
    <n v="23229"/>
    <n v="22331"/>
    <n v="70"/>
    <s v="FSDUpdate"/>
    <s v="#FutureOfDriving"/>
    <m/>
    <m/>
    <n v="0.13840458048129492"/>
    <n v="3215"/>
  </r>
  <r>
    <x v="0"/>
    <s v="2024-08-31"/>
    <s v="Carousel"/>
    <s v="Check out our latest carousel on twitter!"/>
    <n v="4494"/>
    <n v="717"/>
    <n v="45"/>
    <n v="62916"/>
    <n v="62688"/>
    <n v="191"/>
    <s v="CybertruckLaunch"/>
    <s v="#TeslaCoInnovation"/>
    <s v="#EVRevolution"/>
    <s v="#BetterWithTesla"/>
    <n v="8.3539958039290485E-2"/>
    <n v="5256"/>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00">
  <r>
    <x v="0"/>
    <n v="1461"/>
    <n v="184"/>
    <n v="344"/>
    <n v="21915"/>
    <n v="21675"/>
    <n v="15"/>
    <n v="9.0759753593429152E-2"/>
    <n v="1989"/>
  </r>
  <r>
    <x v="1"/>
    <n v="4054"/>
    <n v="389"/>
    <n v="493"/>
    <n v="64864"/>
    <n v="64383"/>
    <n v="117"/>
    <n v="7.6097681302417369E-2"/>
    <n v="4936"/>
  </r>
  <r>
    <x v="1"/>
    <n v="2795"/>
    <n v="105"/>
    <n v="49"/>
    <n v="53105"/>
    <n v="52307"/>
    <n v="204"/>
    <n v="5.5531494209584788E-2"/>
    <n v="2949"/>
  </r>
  <r>
    <x v="2"/>
    <n v="2404"/>
    <n v="363"/>
    <n v="138"/>
    <n v="19232"/>
    <n v="18636"/>
    <n v="128"/>
    <n v="0.15105033277870217"/>
    <n v="2905"/>
  </r>
  <r>
    <x v="2"/>
    <n v="3557"/>
    <n v="687"/>
    <n v="424"/>
    <n v="71140"/>
    <n v="70701"/>
    <n v="224"/>
    <n v="6.5617093055946027E-2"/>
    <n v="4668"/>
  </r>
  <r>
    <x v="1"/>
    <n v="2945"/>
    <n v="930"/>
    <n v="355"/>
    <n v="23560"/>
    <n v="23275"/>
    <n v="256"/>
    <n v="0.17954159592529711"/>
    <n v="4230"/>
  </r>
  <r>
    <x v="1"/>
    <n v="3860"/>
    <n v="201"/>
    <n v="279"/>
    <n v="61760"/>
    <n v="61660"/>
    <n v="235"/>
    <n v="7.0272020725388601E-2"/>
    <n v="4340"/>
  </r>
  <r>
    <x v="2"/>
    <n v="3929"/>
    <n v="262"/>
    <n v="278"/>
    <n v="43219"/>
    <n v="42841"/>
    <n v="39"/>
    <n v="0.10340359564080613"/>
    <n v="4469"/>
  </r>
  <r>
    <x v="1"/>
    <n v="3784"/>
    <n v="808"/>
    <n v="404"/>
    <n v="56760"/>
    <n v="56343"/>
    <n v="131"/>
    <n v="8.8019732205778717E-2"/>
    <n v="4996"/>
  </r>
  <r>
    <x v="1"/>
    <n v="4241"/>
    <n v="902"/>
    <n v="47"/>
    <n v="72097"/>
    <n v="71598"/>
    <n v="167"/>
    <n v="7.198635172059864E-2"/>
    <n v="5190"/>
  </r>
  <r>
    <x v="0"/>
    <n v="1792"/>
    <n v="614"/>
    <n v="497"/>
    <n v="25088"/>
    <n v="24675"/>
    <n v="65"/>
    <n v="0.11571269132653061"/>
    <n v="2903"/>
  </r>
  <r>
    <x v="0"/>
    <n v="1946"/>
    <n v="686"/>
    <n v="377"/>
    <n v="23352"/>
    <n v="22982"/>
    <n v="213"/>
    <n v="0.12885405960945528"/>
    <n v="3009"/>
  </r>
  <r>
    <x v="2"/>
    <n v="1171"/>
    <n v="286"/>
    <n v="231"/>
    <n v="22249"/>
    <n v="21282"/>
    <n v="114"/>
    <n v="7.5868578363072495E-2"/>
    <n v="1688"/>
  </r>
  <r>
    <x v="0"/>
    <n v="4242"/>
    <n v="555"/>
    <n v="131"/>
    <n v="33936"/>
    <n v="33802"/>
    <n v="265"/>
    <n v="0.14521452145214522"/>
    <n v="4928"/>
  </r>
  <r>
    <x v="0"/>
    <n v="3888"/>
    <n v="604"/>
    <n v="128"/>
    <n v="77760"/>
    <n v="77167"/>
    <n v="20"/>
    <n v="5.941358024691358E-2"/>
    <n v="4620"/>
  </r>
  <r>
    <x v="0"/>
    <n v="3452"/>
    <n v="377"/>
    <n v="360"/>
    <n v="55232"/>
    <n v="55075"/>
    <n v="87"/>
    <n v="7.5843713789107758E-2"/>
    <n v="4189"/>
  </r>
  <r>
    <x v="2"/>
    <n v="4441"/>
    <n v="511"/>
    <n v="70"/>
    <n v="53292"/>
    <n v="53082"/>
    <n v="159"/>
    <n v="9.4235532537716729E-2"/>
    <n v="5022"/>
  </r>
  <r>
    <x v="0"/>
    <n v="3000"/>
    <n v="382"/>
    <n v="325"/>
    <n v="36000"/>
    <n v="35819"/>
    <n v="19"/>
    <n v="0.10297222222222223"/>
    <n v="3707"/>
  </r>
  <r>
    <x v="1"/>
    <n v="1071"/>
    <n v="519"/>
    <n v="22"/>
    <n v="16065"/>
    <n v="15865"/>
    <n v="103"/>
    <n v="0.10034235916588857"/>
    <n v="1612"/>
  </r>
  <r>
    <x v="1"/>
    <n v="4054"/>
    <n v="488"/>
    <n v="373"/>
    <n v="77026"/>
    <n v="76881"/>
    <n v="25"/>
    <n v="6.3809622724794221E-2"/>
    <n v="4915"/>
  </r>
  <r>
    <x v="0"/>
    <n v="4838"/>
    <n v="640"/>
    <n v="128"/>
    <n v="72570"/>
    <n v="72396"/>
    <n v="83"/>
    <n v="7.7249552156538517E-2"/>
    <n v="5606"/>
  </r>
  <r>
    <x v="1"/>
    <n v="1570"/>
    <n v="187"/>
    <n v="260"/>
    <n v="25120"/>
    <n v="24613"/>
    <n v="133"/>
    <n v="8.0294585987261149E-2"/>
    <n v="2017"/>
  </r>
  <r>
    <x v="1"/>
    <n v="1606"/>
    <n v="547"/>
    <n v="316"/>
    <n v="32120"/>
    <n v="31736"/>
    <n v="225"/>
    <n v="7.6867995018679955E-2"/>
    <n v="2469"/>
  </r>
  <r>
    <x v="0"/>
    <n v="3961"/>
    <n v="761"/>
    <n v="131"/>
    <n v="67337"/>
    <n v="66615"/>
    <n v="161"/>
    <n v="7.2070332803659209E-2"/>
    <n v="4853"/>
  </r>
  <r>
    <x v="2"/>
    <n v="3128"/>
    <n v="211"/>
    <n v="197"/>
    <n v="59432"/>
    <n v="59182"/>
    <n v="238"/>
    <n v="5.9496567505720827E-2"/>
    <n v="3536"/>
  </r>
  <r>
    <x v="0"/>
    <n v="3009"/>
    <n v="413"/>
    <n v="358"/>
    <n v="42126"/>
    <n v="41309"/>
    <n v="211"/>
    <n v="8.9730807577268201E-2"/>
    <n v="3780"/>
  </r>
  <r>
    <x v="0"/>
    <n v="2076"/>
    <n v="195"/>
    <n v="104"/>
    <n v="33216"/>
    <n v="32244"/>
    <n v="51"/>
    <n v="7.1501685934489398E-2"/>
    <n v="2375"/>
  </r>
  <r>
    <x v="0"/>
    <n v="432"/>
    <n v="624"/>
    <n v="123"/>
    <n v="6912"/>
    <n v="6259"/>
    <n v="79"/>
    <n v="0.17057291666666666"/>
    <n v="1179"/>
  </r>
  <r>
    <x v="0"/>
    <n v="2566"/>
    <n v="118"/>
    <n v="37"/>
    <n v="12830"/>
    <n v="12264"/>
    <n v="221"/>
    <n v="0.21208106001558846"/>
    <n v="2721"/>
  </r>
  <r>
    <x v="2"/>
    <n v="3095"/>
    <n v="39"/>
    <n v="78"/>
    <n v="55710"/>
    <n v="54808"/>
    <n v="93"/>
    <n v="5.7655717106444085E-2"/>
    <n v="3212"/>
  </r>
  <r>
    <x v="1"/>
    <n v="438"/>
    <n v="153"/>
    <n v="275"/>
    <n v="3066"/>
    <n v="2701"/>
    <n v="282"/>
    <n v="0.28245270711024134"/>
    <n v="866"/>
  </r>
  <r>
    <x v="2"/>
    <n v="2278"/>
    <n v="10"/>
    <n v="321"/>
    <n v="13668"/>
    <n v="12676"/>
    <n v="275"/>
    <n v="0.19088381621305239"/>
    <n v="2609"/>
  </r>
  <r>
    <x v="1"/>
    <n v="1407"/>
    <n v="400"/>
    <n v="351"/>
    <n v="16884"/>
    <n v="15954"/>
    <n v="113"/>
    <n v="0.12781331438047855"/>
    <n v="2158"/>
  </r>
  <r>
    <x v="1"/>
    <n v="1652"/>
    <n v="89"/>
    <n v="357"/>
    <n v="29736"/>
    <n v="28771"/>
    <n v="215"/>
    <n v="7.055421038471886E-2"/>
    <n v="2098"/>
  </r>
  <r>
    <x v="0"/>
    <n v="3775"/>
    <n v="16"/>
    <n v="239"/>
    <n v="33975"/>
    <n v="33310"/>
    <n v="271"/>
    <n v="0.11861662987490802"/>
    <n v="4030"/>
  </r>
  <r>
    <x v="2"/>
    <n v="4518"/>
    <n v="285"/>
    <n v="383"/>
    <n v="67770"/>
    <n v="67621"/>
    <n v="31"/>
    <n v="7.6523535487678915E-2"/>
    <n v="5186"/>
  </r>
  <r>
    <x v="2"/>
    <n v="3024"/>
    <n v="925"/>
    <n v="350"/>
    <n v="24192"/>
    <n v="23518"/>
    <n v="36"/>
    <n v="0.17770337301587302"/>
    <n v="4299"/>
  </r>
  <r>
    <x v="1"/>
    <n v="3138"/>
    <n v="123"/>
    <n v="291"/>
    <n v="28242"/>
    <n v="27550"/>
    <n v="87"/>
    <n v="0.12577012959422137"/>
    <n v="3552"/>
  </r>
  <r>
    <x v="1"/>
    <n v="3564"/>
    <n v="629"/>
    <n v="177"/>
    <n v="60588"/>
    <n v="59627"/>
    <n v="92"/>
    <n v="7.2126493695121141E-2"/>
    <n v="4370"/>
  </r>
  <r>
    <x v="2"/>
    <n v="4750"/>
    <n v="151"/>
    <n v="415"/>
    <n v="38000"/>
    <n v="37792"/>
    <n v="299"/>
    <n v="0.13989473684210527"/>
    <n v="5316"/>
  </r>
  <r>
    <x v="0"/>
    <n v="456"/>
    <n v="629"/>
    <n v="428"/>
    <n v="8208"/>
    <n v="7377"/>
    <n v="205"/>
    <n v="0.18433235867446393"/>
    <n v="1513"/>
  </r>
  <r>
    <x v="2"/>
    <n v="1543"/>
    <n v="820"/>
    <n v="333"/>
    <n v="12344"/>
    <n v="11496"/>
    <n v="241"/>
    <n v="0.21840570317563188"/>
    <n v="2696"/>
  </r>
  <r>
    <x v="1"/>
    <n v="2174"/>
    <n v="658"/>
    <n v="15"/>
    <n v="13044"/>
    <n v="12206"/>
    <n v="137"/>
    <n v="0.21826126954921804"/>
    <n v="2847"/>
  </r>
  <r>
    <x v="1"/>
    <n v="2358"/>
    <n v="784"/>
    <n v="344"/>
    <n v="35370"/>
    <n v="34475"/>
    <n v="216"/>
    <n v="9.8558100084817649E-2"/>
    <n v="3486"/>
  </r>
  <r>
    <x v="0"/>
    <n v="3371"/>
    <n v="106"/>
    <n v="327"/>
    <n v="50565"/>
    <n v="49816"/>
    <n v="176"/>
    <n v="7.5229902106199939E-2"/>
    <n v="3804"/>
  </r>
  <r>
    <x v="1"/>
    <n v="1108"/>
    <n v="177"/>
    <n v="212"/>
    <n v="8864"/>
    <n v="8710"/>
    <n v="97"/>
    <n v="0.16888537906137185"/>
    <n v="1497"/>
  </r>
  <r>
    <x v="0"/>
    <n v="2704"/>
    <n v="752"/>
    <n v="153"/>
    <n v="21632"/>
    <n v="20792"/>
    <n v="127"/>
    <n v="0.16683616863905326"/>
    <n v="3609"/>
  </r>
  <r>
    <x v="1"/>
    <n v="1950"/>
    <n v="295"/>
    <n v="478"/>
    <n v="37050"/>
    <n v="36272"/>
    <n v="119"/>
    <n v="7.349527665317139E-2"/>
    <n v="2723"/>
  </r>
  <r>
    <x v="1"/>
    <n v="2164"/>
    <n v="549"/>
    <n v="274"/>
    <n v="28132"/>
    <n v="27361"/>
    <n v="177"/>
    <n v="0.10617801791554102"/>
    <n v="2987"/>
  </r>
  <r>
    <x v="1"/>
    <n v="2754"/>
    <n v="130"/>
    <n v="90"/>
    <n v="22032"/>
    <n v="21288"/>
    <n v="112"/>
    <n v="0.13498547567175018"/>
    <n v="2974"/>
  </r>
  <r>
    <x v="0"/>
    <n v="2200"/>
    <n v="504"/>
    <n v="239"/>
    <n v="37400"/>
    <n v="36938"/>
    <n v="225"/>
    <n v="7.8689839572192513E-2"/>
    <n v="2943"/>
  </r>
  <r>
    <x v="1"/>
    <n v="947"/>
    <n v="338"/>
    <n v="350"/>
    <n v="10417"/>
    <n v="9730"/>
    <n v="34"/>
    <n v="0.1569549774407219"/>
    <n v="1635"/>
  </r>
  <r>
    <x v="2"/>
    <n v="804"/>
    <n v="639"/>
    <n v="43"/>
    <n v="4020"/>
    <n v="3144"/>
    <n v="11"/>
    <n v="0.36965174129353234"/>
    <n v="1486"/>
  </r>
  <r>
    <x v="0"/>
    <n v="1686"/>
    <n v="904"/>
    <n v="472"/>
    <n v="18546"/>
    <n v="18171"/>
    <n v="52"/>
    <n v="0.16510298716704411"/>
    <n v="3062"/>
  </r>
  <r>
    <x v="2"/>
    <n v="1226"/>
    <n v="119"/>
    <n v="7"/>
    <n v="14712"/>
    <n v="14049"/>
    <n v="123"/>
    <n v="9.1897770527460579E-2"/>
    <n v="1352"/>
  </r>
  <r>
    <x v="0"/>
    <n v="2946"/>
    <n v="498"/>
    <n v="367"/>
    <n v="29460"/>
    <n v="28527"/>
    <n v="60"/>
    <n v="0.12936184657162253"/>
    <n v="3811"/>
  </r>
  <r>
    <x v="1"/>
    <n v="2825"/>
    <n v="535"/>
    <n v="295"/>
    <n v="45200"/>
    <n v="44739"/>
    <n v="169"/>
    <n v="8.0862831858407078E-2"/>
    <n v="3655"/>
  </r>
  <r>
    <x v="1"/>
    <n v="103"/>
    <n v="770"/>
    <n v="19"/>
    <n v="1030"/>
    <n v="410"/>
    <n v="262"/>
    <n v="0.86601941747572819"/>
    <n v="892"/>
  </r>
  <r>
    <x v="2"/>
    <n v="2180"/>
    <n v="263"/>
    <n v="387"/>
    <n v="30520"/>
    <n v="30059"/>
    <n v="174"/>
    <n v="9.2726081258191345E-2"/>
    <n v="2830"/>
  </r>
  <r>
    <x v="2"/>
    <n v="904"/>
    <n v="973"/>
    <n v="63"/>
    <n v="11752"/>
    <n v="11580"/>
    <n v="84"/>
    <n v="0.1650782845473111"/>
    <n v="1940"/>
  </r>
  <r>
    <x v="1"/>
    <n v="4886"/>
    <n v="983"/>
    <n v="409"/>
    <n v="43974"/>
    <n v="43239"/>
    <n v="65"/>
    <n v="0.14276618001546368"/>
    <n v="6278"/>
  </r>
  <r>
    <x v="1"/>
    <n v="53"/>
    <n v="81"/>
    <n v="379"/>
    <n v="954"/>
    <n v="7"/>
    <n v="148"/>
    <n v="0.53773584905660377"/>
    <n v="513"/>
  </r>
  <r>
    <x v="0"/>
    <n v="4507"/>
    <n v="217"/>
    <n v="13"/>
    <n v="90140"/>
    <n v="89591"/>
    <n v="125"/>
    <n v="5.2551586421122697E-2"/>
    <n v="4737"/>
  </r>
  <r>
    <x v="0"/>
    <n v="2878"/>
    <n v="248"/>
    <n v="416"/>
    <n v="43170"/>
    <n v="42667"/>
    <n v="75"/>
    <n v="8.2047718322909427E-2"/>
    <n v="3542"/>
  </r>
  <r>
    <x v="2"/>
    <n v="1881"/>
    <n v="501"/>
    <n v="99"/>
    <n v="20691"/>
    <n v="19987"/>
    <n v="289"/>
    <n v="0.11990720603160794"/>
    <n v="2481"/>
  </r>
  <r>
    <x v="2"/>
    <n v="432"/>
    <n v="171"/>
    <n v="280"/>
    <n v="3024"/>
    <n v="2285"/>
    <n v="184"/>
    <n v="0.29199735449735448"/>
    <n v="883"/>
  </r>
  <r>
    <x v="2"/>
    <n v="4712"/>
    <n v="568"/>
    <n v="127"/>
    <n v="84816"/>
    <n v="84691"/>
    <n v="100"/>
    <n v="6.3749764195434822E-2"/>
    <n v="5407"/>
  </r>
  <r>
    <x v="2"/>
    <n v="2610"/>
    <n v="126"/>
    <n v="288"/>
    <n v="15660"/>
    <n v="15145"/>
    <n v="73"/>
    <n v="0.19310344827586207"/>
    <n v="3024"/>
  </r>
  <r>
    <x v="0"/>
    <n v="1292"/>
    <n v="626"/>
    <n v="496"/>
    <n v="25840"/>
    <n v="24916"/>
    <n v="149"/>
    <n v="9.3421052631578946E-2"/>
    <n v="2414"/>
  </r>
  <r>
    <x v="1"/>
    <n v="199"/>
    <n v="772"/>
    <n v="400"/>
    <n v="3582"/>
    <n v="2988"/>
    <n v="43"/>
    <n v="0.38274706867671693"/>
    <n v="1371"/>
  </r>
  <r>
    <x v="1"/>
    <n v="2551"/>
    <n v="915"/>
    <n v="205"/>
    <n v="30612"/>
    <n v="30360"/>
    <n v="227"/>
    <n v="0.1199202926956749"/>
    <n v="3671"/>
  </r>
  <r>
    <x v="2"/>
    <n v="296"/>
    <n v="60"/>
    <n v="141"/>
    <n v="5624"/>
    <n v="5239"/>
    <n v="88"/>
    <n v="8.837126600284495E-2"/>
    <n v="497"/>
  </r>
  <r>
    <x v="0"/>
    <n v="4126"/>
    <n v="426"/>
    <n v="486"/>
    <n v="78394"/>
    <n v="77798"/>
    <n v="88"/>
    <n v="6.4265122330790625E-2"/>
    <n v="5038"/>
  </r>
  <r>
    <x v="1"/>
    <n v="1855"/>
    <n v="200"/>
    <n v="174"/>
    <n v="16695"/>
    <n v="16330"/>
    <n v="123"/>
    <n v="0.13351302785265048"/>
    <n v="2229"/>
  </r>
  <r>
    <x v="1"/>
    <n v="1674"/>
    <n v="929"/>
    <n v="37"/>
    <n v="21762"/>
    <n v="20998"/>
    <n v="255"/>
    <n v="0.12131237937689551"/>
    <n v="2640"/>
  </r>
  <r>
    <x v="1"/>
    <n v="1121"/>
    <n v="135"/>
    <n v="18"/>
    <n v="15694"/>
    <n v="14957"/>
    <n v="99"/>
    <n v="8.1177520071364848E-2"/>
    <n v="1274"/>
  </r>
  <r>
    <x v="1"/>
    <n v="1249"/>
    <n v="116"/>
    <n v="420"/>
    <n v="8743"/>
    <n v="8538"/>
    <n v="63"/>
    <n v="0.20416333066453163"/>
    <n v="1785"/>
  </r>
  <r>
    <x v="0"/>
    <n v="954"/>
    <n v="324"/>
    <n v="288"/>
    <n v="19080"/>
    <n v="18859"/>
    <n v="21"/>
    <n v="8.2075471698113203E-2"/>
    <n v="1566"/>
  </r>
  <r>
    <x v="2"/>
    <n v="3068"/>
    <n v="137"/>
    <n v="329"/>
    <n v="39884"/>
    <n v="39404"/>
    <n v="266"/>
    <n v="8.860696018453515E-2"/>
    <n v="3534"/>
  </r>
  <r>
    <x v="0"/>
    <n v="2103"/>
    <n v="892"/>
    <n v="103"/>
    <n v="39957"/>
    <n v="39466"/>
    <n v="28"/>
    <n v="7.7533348349475686E-2"/>
    <n v="3098"/>
  </r>
  <r>
    <x v="1"/>
    <n v="1816"/>
    <n v="29"/>
    <n v="41"/>
    <n v="19976"/>
    <n v="19262"/>
    <n v="283"/>
    <n v="9.4413295955146179E-2"/>
    <n v="1886"/>
  </r>
  <r>
    <x v="0"/>
    <n v="725"/>
    <n v="88"/>
    <n v="428"/>
    <n v="14500"/>
    <n v="13637"/>
    <n v="200"/>
    <n v="8.558620689655172E-2"/>
    <n v="1241"/>
  </r>
  <r>
    <x v="2"/>
    <n v="1094"/>
    <n v="472"/>
    <n v="21"/>
    <n v="9846"/>
    <n v="9609"/>
    <n v="112"/>
    <n v="0.16118220597196831"/>
    <n v="1587"/>
  </r>
  <r>
    <x v="0"/>
    <n v="1841"/>
    <n v="851"/>
    <n v="342"/>
    <n v="34979"/>
    <n v="34154"/>
    <n v="255"/>
    <n v="8.6737756939878216E-2"/>
    <n v="3034"/>
  </r>
  <r>
    <x v="0"/>
    <n v="4177"/>
    <n v="569"/>
    <n v="55"/>
    <n v="25062"/>
    <n v="24847"/>
    <n v="230"/>
    <n v="0.19156491900087783"/>
    <n v="4801"/>
  </r>
  <r>
    <x v="2"/>
    <n v="3428"/>
    <n v="305"/>
    <n v="85"/>
    <n v="58276"/>
    <n v="58052"/>
    <n v="242"/>
    <n v="6.5515821264328367E-2"/>
    <n v="3818"/>
  </r>
  <r>
    <x v="0"/>
    <n v="1436"/>
    <n v="765"/>
    <n v="496"/>
    <n v="12924"/>
    <n v="12701"/>
    <n v="197"/>
    <n v="0.20868152274837512"/>
    <n v="2697"/>
  </r>
  <r>
    <x v="1"/>
    <n v="302"/>
    <n v="47"/>
    <n v="430"/>
    <n v="5738"/>
    <n v="4890"/>
    <n v="25"/>
    <n v="0.13576158940397351"/>
    <n v="779"/>
  </r>
  <r>
    <x v="2"/>
    <n v="2214"/>
    <n v="249"/>
    <n v="152"/>
    <n v="15498"/>
    <n v="14800"/>
    <n v="180"/>
    <n v="0.16873144921925409"/>
    <n v="2615"/>
  </r>
  <r>
    <x v="1"/>
    <n v="3861"/>
    <n v="960"/>
    <n v="101"/>
    <n v="69498"/>
    <n v="68817"/>
    <n v="297"/>
    <n v="7.0822181933293038E-2"/>
    <n v="4922"/>
  </r>
  <r>
    <x v="2"/>
    <n v="1263"/>
    <n v="397"/>
    <n v="357"/>
    <n v="25260"/>
    <n v="24615"/>
    <n v="137"/>
    <n v="7.984956452889945E-2"/>
    <n v="2017"/>
  </r>
  <r>
    <x v="0"/>
    <n v="3801"/>
    <n v="967"/>
    <n v="401"/>
    <n v="38010"/>
    <n v="37625"/>
    <n v="236"/>
    <n v="0.13599052880820836"/>
    <n v="5169"/>
  </r>
  <r>
    <x v="2"/>
    <n v="1431"/>
    <n v="951"/>
    <n v="26"/>
    <n v="8586"/>
    <n v="8396"/>
    <n v="150"/>
    <n v="0.28045655718611695"/>
    <n v="2408"/>
  </r>
  <r>
    <x v="0"/>
    <n v="2647"/>
    <n v="304"/>
    <n v="170"/>
    <n v="18529"/>
    <n v="17841"/>
    <n v="46"/>
    <n v="0.16843866371633656"/>
    <n v="3121"/>
  </r>
  <r>
    <x v="0"/>
    <n v="3182"/>
    <n v="559"/>
    <n v="160"/>
    <n v="57276"/>
    <n v="56890"/>
    <n v="163"/>
    <n v="6.8108806480899509E-2"/>
    <n v="3901"/>
  </r>
  <r>
    <x v="0"/>
    <n v="1238"/>
    <n v="366"/>
    <n v="444"/>
    <n v="19808"/>
    <n v="19334"/>
    <n v="123"/>
    <n v="0.10339256865912763"/>
    <n v="2048"/>
  </r>
  <r>
    <x v="1"/>
    <n v="4739"/>
    <n v="527"/>
    <n v="135"/>
    <n v="61607"/>
    <n v="61333"/>
    <n v="36"/>
    <n v="8.7668609086629767E-2"/>
    <n v="5401"/>
  </r>
  <r>
    <x v="0"/>
    <n v="1575"/>
    <n v="771"/>
    <n v="486"/>
    <n v="25200"/>
    <n v="24826"/>
    <n v="17"/>
    <n v="0.11238095238095239"/>
    <n v="2832"/>
  </r>
  <r>
    <x v="0"/>
    <n v="4171"/>
    <n v="548"/>
    <n v="86"/>
    <n v="66736"/>
    <n v="66634"/>
    <n v="173"/>
    <n v="7.2000119875329657E-2"/>
    <n v="4805"/>
  </r>
  <r>
    <x v="2"/>
    <n v="1766"/>
    <n v="92"/>
    <n v="424"/>
    <n v="24724"/>
    <n v="24333"/>
    <n v="52"/>
    <n v="9.2298980747451867E-2"/>
    <n v="2282"/>
  </r>
  <r>
    <x v="0"/>
    <n v="4450"/>
    <n v="983"/>
    <n v="143"/>
    <n v="75650"/>
    <n v="75008"/>
    <n v="12"/>
    <n v="7.3707865168539333E-2"/>
    <n v="5576"/>
  </r>
  <r>
    <x v="2"/>
    <n v="1000"/>
    <n v="978"/>
    <n v="162"/>
    <n v="6000"/>
    <n v="5221"/>
    <n v="223"/>
    <n v="0.35666666666666669"/>
    <n v="2140"/>
  </r>
  <r>
    <x v="2"/>
    <n v="3689"/>
    <n v="48"/>
    <n v="306"/>
    <n v="40579"/>
    <n v="39588"/>
    <n v="212"/>
    <n v="9.9632815002833983E-2"/>
    <n v="4043"/>
  </r>
  <r>
    <x v="1"/>
    <n v="3655"/>
    <n v="568"/>
    <n v="286"/>
    <n v="32895"/>
    <n v="32015"/>
    <n v="199"/>
    <n v="0.13707250341997265"/>
    <n v="4509"/>
  </r>
  <r>
    <x v="0"/>
    <n v="498"/>
    <n v="38"/>
    <n v="42"/>
    <n v="4482"/>
    <n v="3647"/>
    <n v="32"/>
    <n v="0.12896028558679162"/>
    <n v="578"/>
  </r>
  <r>
    <x v="1"/>
    <n v="4619"/>
    <n v="821"/>
    <n v="499"/>
    <n v="69285"/>
    <n v="69141"/>
    <n v="298"/>
    <n v="8.5718409468138843E-2"/>
    <n v="5939"/>
  </r>
  <r>
    <x v="1"/>
    <n v="4832"/>
    <n v="893"/>
    <n v="10"/>
    <n v="91808"/>
    <n v="91296"/>
    <n v="182"/>
    <n v="6.2467323109097243E-2"/>
    <n v="5735"/>
  </r>
  <r>
    <x v="1"/>
    <n v="4050"/>
    <n v="871"/>
    <n v="347"/>
    <n v="52650"/>
    <n v="51755"/>
    <n v="209"/>
    <n v="0.10005698005698006"/>
    <n v="5268"/>
  </r>
  <r>
    <x v="0"/>
    <n v="3649"/>
    <n v="215"/>
    <n v="413"/>
    <n v="25543"/>
    <n v="24963"/>
    <n v="167"/>
    <n v="0.16744313510550835"/>
    <n v="4277"/>
  </r>
  <r>
    <x v="2"/>
    <n v="3523"/>
    <n v="753"/>
    <n v="482"/>
    <n v="38753"/>
    <n v="38579"/>
    <n v="270"/>
    <n v="0.12277759141227776"/>
    <n v="4758"/>
  </r>
  <r>
    <x v="1"/>
    <n v="2719"/>
    <n v="17"/>
    <n v="285"/>
    <n v="40785"/>
    <n v="40281"/>
    <n v="40"/>
    <n v="7.4071349760941527E-2"/>
    <n v="3021"/>
  </r>
  <r>
    <x v="0"/>
    <n v="1957"/>
    <n v="877"/>
    <n v="238"/>
    <n v="17613"/>
    <n v="16865"/>
    <n v="297"/>
    <n v="0.17441662408448305"/>
    <n v="3072"/>
  </r>
  <r>
    <x v="2"/>
    <n v="4419"/>
    <n v="236"/>
    <n v="369"/>
    <n v="44190"/>
    <n v="43582"/>
    <n v="10"/>
    <n v="0.11369088028965829"/>
    <n v="5024"/>
  </r>
  <r>
    <x v="0"/>
    <n v="4000"/>
    <n v="689"/>
    <n v="488"/>
    <n v="40000"/>
    <n v="39569"/>
    <n v="44"/>
    <n v="0.12942500000000001"/>
    <n v="5177"/>
  </r>
  <r>
    <x v="1"/>
    <n v="2493"/>
    <n v="97"/>
    <n v="44"/>
    <n v="42381"/>
    <n v="41991"/>
    <n v="242"/>
    <n v="6.2150491965739366E-2"/>
    <n v="2634"/>
  </r>
  <r>
    <x v="1"/>
    <n v="3704"/>
    <n v="186"/>
    <n v="458"/>
    <n v="25928"/>
    <n v="25081"/>
    <n v="131"/>
    <n v="0.16769515581610614"/>
    <n v="4348"/>
  </r>
  <r>
    <x v="2"/>
    <n v="1606"/>
    <n v="451"/>
    <n v="405"/>
    <n v="20878"/>
    <n v="20190"/>
    <n v="219"/>
    <n v="0.11792317271769326"/>
    <n v="2462"/>
  </r>
  <r>
    <x v="0"/>
    <n v="4551"/>
    <n v="714"/>
    <n v="207"/>
    <n v="68265"/>
    <n v="67754"/>
    <n v="57"/>
    <n v="8.0158206987475278E-2"/>
    <n v="5472"/>
  </r>
  <r>
    <x v="0"/>
    <n v="1970"/>
    <n v="675"/>
    <n v="478"/>
    <n v="9850"/>
    <n v="8924"/>
    <n v="117"/>
    <n v="0.31705583756345179"/>
    <n v="3123"/>
  </r>
  <r>
    <x v="2"/>
    <n v="780"/>
    <n v="928"/>
    <n v="301"/>
    <n v="8580"/>
    <n v="8081"/>
    <n v="91"/>
    <n v="0.23414918414918415"/>
    <n v="2009"/>
  </r>
  <r>
    <x v="0"/>
    <n v="498"/>
    <n v="701"/>
    <n v="412"/>
    <n v="4980"/>
    <n v="4185"/>
    <n v="185"/>
    <n v="0.32349397590361445"/>
    <n v="1611"/>
  </r>
  <r>
    <x v="2"/>
    <n v="3432"/>
    <n v="869"/>
    <n v="123"/>
    <n v="54912"/>
    <n v="53916"/>
    <n v="264"/>
    <n v="8.0565268065268064E-2"/>
    <n v="4424"/>
  </r>
  <r>
    <x v="2"/>
    <n v="4363"/>
    <n v="649"/>
    <n v="140"/>
    <n v="21815"/>
    <n v="21481"/>
    <n v="157"/>
    <n v="0.23616777446710979"/>
    <n v="5152"/>
  </r>
  <r>
    <x v="2"/>
    <n v="736"/>
    <n v="771"/>
    <n v="225"/>
    <n v="5152"/>
    <n v="4706"/>
    <n v="19"/>
    <n v="0.33618012422360249"/>
    <n v="1732"/>
  </r>
  <r>
    <x v="1"/>
    <n v="3811"/>
    <n v="866"/>
    <n v="216"/>
    <n v="34299"/>
    <n v="34088"/>
    <n v="233"/>
    <n v="0.14265722032712325"/>
    <n v="4893"/>
  </r>
  <r>
    <x v="0"/>
    <n v="4158"/>
    <n v="167"/>
    <n v="241"/>
    <n v="45738"/>
    <n v="45183"/>
    <n v="142"/>
    <n v="9.9829463465827106E-2"/>
    <n v="4566"/>
  </r>
  <r>
    <x v="0"/>
    <n v="3452"/>
    <n v="652"/>
    <n v="442"/>
    <n v="65588"/>
    <n v="65049"/>
    <n v="158"/>
    <n v="6.9311459413307311E-2"/>
    <n v="4546"/>
  </r>
  <r>
    <x v="0"/>
    <n v="3092"/>
    <n v="106"/>
    <n v="291"/>
    <n v="27828"/>
    <n v="27217"/>
    <n v="102"/>
    <n v="0.12537731780940059"/>
    <n v="3489"/>
  </r>
  <r>
    <x v="1"/>
    <n v="2147"/>
    <n v="430"/>
    <n v="393"/>
    <n v="17176"/>
    <n v="16483"/>
    <n v="170"/>
    <n v="0.17291569632044715"/>
    <n v="2970"/>
  </r>
  <r>
    <x v="2"/>
    <n v="2936"/>
    <n v="439"/>
    <n v="44"/>
    <n v="38168"/>
    <n v="37571"/>
    <n v="22"/>
    <n v="8.9577656675749323E-2"/>
    <n v="3419"/>
  </r>
  <r>
    <x v="0"/>
    <n v="4840"/>
    <n v="658"/>
    <n v="211"/>
    <n v="43560"/>
    <n v="43225"/>
    <n v="57"/>
    <n v="0.13106060606060607"/>
    <n v="5709"/>
  </r>
  <r>
    <x v="0"/>
    <n v="1947"/>
    <n v="842"/>
    <n v="101"/>
    <n v="21417"/>
    <n v="20967"/>
    <n v="186"/>
    <n v="0.13493953401503478"/>
    <n v="2890"/>
  </r>
  <r>
    <x v="1"/>
    <n v="2072"/>
    <n v="532"/>
    <n v="71"/>
    <n v="37296"/>
    <n v="36467"/>
    <n v="25"/>
    <n v="7.172350922350923E-2"/>
    <n v="2675"/>
  </r>
  <r>
    <x v="1"/>
    <n v="3731"/>
    <n v="115"/>
    <n v="135"/>
    <n v="55965"/>
    <n v="55436"/>
    <n v="103"/>
    <n v="7.1133744304476013E-2"/>
    <n v="3981"/>
  </r>
  <r>
    <x v="0"/>
    <n v="4213"/>
    <n v="253"/>
    <n v="434"/>
    <n v="75834"/>
    <n v="75437"/>
    <n v="272"/>
    <n v="6.461481657304112E-2"/>
    <n v="4900"/>
  </r>
  <r>
    <x v="2"/>
    <n v="3134"/>
    <n v="888"/>
    <n v="444"/>
    <n v="21938"/>
    <n v="21337"/>
    <n v="130"/>
    <n v="0.20357370772176134"/>
    <n v="4466"/>
  </r>
  <r>
    <x v="0"/>
    <n v="3008"/>
    <n v="94"/>
    <n v="37"/>
    <n v="15040"/>
    <n v="14639"/>
    <n v="277"/>
    <n v="0.20871010638297871"/>
    <n v="3139"/>
  </r>
  <r>
    <x v="0"/>
    <n v="305"/>
    <n v="187"/>
    <n v="243"/>
    <n v="4575"/>
    <n v="3704"/>
    <n v="234"/>
    <n v="0.16065573770491803"/>
    <n v="735"/>
  </r>
  <r>
    <x v="2"/>
    <n v="2746"/>
    <n v="156"/>
    <n v="203"/>
    <n v="32952"/>
    <n v="32147"/>
    <n v="147"/>
    <n v="9.422796795338674E-2"/>
    <n v="3105"/>
  </r>
  <r>
    <x v="2"/>
    <n v="2291"/>
    <n v="78"/>
    <n v="485"/>
    <n v="18328"/>
    <n v="18101"/>
    <n v="10"/>
    <n v="0.15571802706241816"/>
    <n v="2854"/>
  </r>
  <r>
    <x v="0"/>
    <n v="3170"/>
    <n v="857"/>
    <n v="379"/>
    <n v="19020"/>
    <n v="18559"/>
    <n v="240"/>
    <n v="0.2316508937960042"/>
    <n v="4406"/>
  </r>
  <r>
    <x v="0"/>
    <n v="2070"/>
    <n v="275"/>
    <n v="386"/>
    <n v="39330"/>
    <n v="38627"/>
    <n v="114"/>
    <n v="6.9438087973557078E-2"/>
    <n v="2731"/>
  </r>
  <r>
    <x v="1"/>
    <n v="80"/>
    <n v="362"/>
    <n v="80"/>
    <n v="1040"/>
    <n v="349"/>
    <n v="117"/>
    <n v="0.50192307692307692"/>
    <n v="522"/>
  </r>
  <r>
    <x v="2"/>
    <n v="4929"/>
    <n v="749"/>
    <n v="452"/>
    <n v="93651"/>
    <n v="92810"/>
    <n v="66"/>
    <n v="6.5455787978772245E-2"/>
    <n v="6130"/>
  </r>
  <r>
    <x v="1"/>
    <n v="1878"/>
    <n v="62"/>
    <n v="179"/>
    <n v="37560"/>
    <n v="36874"/>
    <n v="142"/>
    <n v="5.6416400425985093E-2"/>
    <n v="2119"/>
  </r>
  <r>
    <x v="2"/>
    <n v="3065"/>
    <n v="772"/>
    <n v="142"/>
    <n v="18390"/>
    <n v="17875"/>
    <n v="200"/>
    <n v="0.21636759108210984"/>
    <n v="3979"/>
  </r>
  <r>
    <x v="1"/>
    <n v="3256"/>
    <n v="459"/>
    <n v="266"/>
    <n v="26048"/>
    <n v="25529"/>
    <n v="143"/>
    <n v="0.15283323095823095"/>
    <n v="3981"/>
  </r>
  <r>
    <x v="2"/>
    <n v="4133"/>
    <n v="466"/>
    <n v="327"/>
    <n v="24798"/>
    <n v="24620"/>
    <n v="176"/>
    <n v="0.19864505202032423"/>
    <n v="4926"/>
  </r>
  <r>
    <x v="2"/>
    <n v="1702"/>
    <n v="750"/>
    <n v="179"/>
    <n v="34040"/>
    <n v="33174"/>
    <n v="76"/>
    <n v="7.7291421856639245E-2"/>
    <n v="2631"/>
  </r>
  <r>
    <x v="1"/>
    <n v="4295"/>
    <n v="853"/>
    <n v="325"/>
    <n v="85900"/>
    <n v="85788"/>
    <n v="290"/>
    <n v="6.3713620488940623E-2"/>
    <n v="5473"/>
  </r>
  <r>
    <x v="2"/>
    <n v="3559"/>
    <n v="59"/>
    <n v="289"/>
    <n v="35590"/>
    <n v="35105"/>
    <n v="122"/>
    <n v="0.10977802753582468"/>
    <n v="3907"/>
  </r>
  <r>
    <x v="2"/>
    <n v="4804"/>
    <n v="550"/>
    <n v="270"/>
    <n v="28824"/>
    <n v="28370"/>
    <n v="47"/>
    <n v="0.19511518179295032"/>
    <n v="5624"/>
  </r>
  <r>
    <x v="1"/>
    <n v="754"/>
    <n v="197"/>
    <n v="257"/>
    <n v="6786"/>
    <n v="6221"/>
    <n v="212"/>
    <n v="0.17801355732390214"/>
    <n v="1208"/>
  </r>
  <r>
    <x v="0"/>
    <n v="985"/>
    <n v="932"/>
    <n v="287"/>
    <n v="6895"/>
    <n v="6757"/>
    <n v="64"/>
    <n v="0.31965192168237855"/>
    <n v="2204"/>
  </r>
  <r>
    <x v="0"/>
    <n v="2283"/>
    <n v="210"/>
    <n v="130"/>
    <n v="22830"/>
    <n v="22617"/>
    <n v="143"/>
    <n v="0.11489268506351293"/>
    <n v="2623"/>
  </r>
  <r>
    <x v="0"/>
    <n v="3352"/>
    <n v="941"/>
    <n v="482"/>
    <n v="43576"/>
    <n v="43338"/>
    <n v="240"/>
    <n v="0.1095786671562328"/>
    <n v="4775"/>
  </r>
  <r>
    <x v="0"/>
    <n v="4775"/>
    <n v="173"/>
    <n v="206"/>
    <n v="47750"/>
    <n v="47544"/>
    <n v="187"/>
    <n v="0.10793717277486911"/>
    <n v="5154"/>
  </r>
  <r>
    <x v="1"/>
    <n v="1762"/>
    <n v="405"/>
    <n v="423"/>
    <n v="22906"/>
    <n v="21925"/>
    <n v="25"/>
    <n v="0.11307081114118571"/>
    <n v="2590"/>
  </r>
  <r>
    <x v="0"/>
    <n v="2120"/>
    <n v="158"/>
    <n v="488"/>
    <n v="12720"/>
    <n v="12085"/>
    <n v="17"/>
    <n v="0.21745283018867925"/>
    <n v="2766"/>
  </r>
  <r>
    <x v="1"/>
    <n v="1082"/>
    <n v="209"/>
    <n v="484"/>
    <n v="19476"/>
    <n v="18654"/>
    <n v="20"/>
    <n v="9.1137810638734856E-2"/>
    <n v="1775"/>
  </r>
  <r>
    <x v="1"/>
    <n v="4671"/>
    <n v="876"/>
    <n v="366"/>
    <n v="51381"/>
    <n v="50565"/>
    <n v="245"/>
    <n v="0.11508145034156594"/>
    <n v="5913"/>
  </r>
  <r>
    <x v="0"/>
    <n v="3430"/>
    <n v="566"/>
    <n v="164"/>
    <n v="48020"/>
    <n v="47305"/>
    <n v="120"/>
    <n v="8.6630570595585168E-2"/>
    <n v="4160"/>
  </r>
  <r>
    <x v="1"/>
    <n v="4501"/>
    <n v="375"/>
    <n v="323"/>
    <n v="22505"/>
    <n v="21836"/>
    <n v="132"/>
    <n v="0.23101532992668297"/>
    <n v="5199"/>
  </r>
  <r>
    <x v="1"/>
    <n v="4934"/>
    <n v="971"/>
    <n v="156"/>
    <n v="39472"/>
    <n v="39025"/>
    <n v="169"/>
    <n v="0.15355188488042157"/>
    <n v="6061"/>
  </r>
  <r>
    <x v="1"/>
    <n v="3239"/>
    <n v="43"/>
    <n v="211"/>
    <n v="22673"/>
    <n v="22171"/>
    <n v="230"/>
    <n v="0.15405989502933004"/>
    <n v="3493"/>
  </r>
  <r>
    <x v="0"/>
    <n v="1076"/>
    <n v="313"/>
    <n v="306"/>
    <n v="11836"/>
    <n v="11596"/>
    <n v="104"/>
    <n v="0.14320716458262928"/>
    <n v="1695"/>
  </r>
  <r>
    <x v="0"/>
    <n v="4771"/>
    <n v="818"/>
    <n v="56"/>
    <n v="57252"/>
    <n v="56378"/>
    <n v="150"/>
    <n v="9.859917557465242E-2"/>
    <n v="5645"/>
  </r>
  <r>
    <x v="2"/>
    <n v="2418"/>
    <n v="754"/>
    <n v="54"/>
    <n v="43524"/>
    <n v="42743"/>
    <n v="182"/>
    <n v="7.412002573292896E-2"/>
    <n v="3226"/>
  </r>
  <r>
    <x v="2"/>
    <n v="3809"/>
    <n v="273"/>
    <n v="200"/>
    <n v="34281"/>
    <n v="33534"/>
    <n v="83"/>
    <n v="0.12490884163239112"/>
    <n v="4282"/>
  </r>
  <r>
    <x v="1"/>
    <n v="3577"/>
    <n v="596"/>
    <n v="493"/>
    <n v="67963"/>
    <n v="67839"/>
    <n v="53"/>
    <n v="6.8655003457763777E-2"/>
    <n v="4666"/>
  </r>
  <r>
    <x v="0"/>
    <n v="1018"/>
    <n v="447"/>
    <n v="332"/>
    <n v="18324"/>
    <n v="18164"/>
    <n v="38"/>
    <n v="9.8068107400130972E-2"/>
    <n v="1797"/>
  </r>
  <r>
    <x v="2"/>
    <n v="3073"/>
    <n v="553"/>
    <n v="174"/>
    <n v="52241"/>
    <n v="51605"/>
    <n v="246"/>
    <n v="7.2739802071170159E-2"/>
    <n v="3800"/>
  </r>
  <r>
    <x v="0"/>
    <n v="1330"/>
    <n v="925"/>
    <n v="35"/>
    <n v="15960"/>
    <n v="15379"/>
    <n v="229"/>
    <n v="0.14348370927318296"/>
    <n v="2290"/>
  </r>
  <r>
    <x v="2"/>
    <n v="3828"/>
    <n v="148"/>
    <n v="253"/>
    <n v="30624"/>
    <n v="30229"/>
    <n v="235"/>
    <n v="0.13809430512016718"/>
    <n v="4229"/>
  </r>
  <r>
    <x v="0"/>
    <n v="142"/>
    <n v="784"/>
    <n v="183"/>
    <n v="1704"/>
    <n v="995"/>
    <n v="154"/>
    <n v="0.6508215962441315"/>
    <n v="1109"/>
  </r>
  <r>
    <x v="1"/>
    <n v="3798"/>
    <n v="31"/>
    <n v="279"/>
    <n v="75960"/>
    <n v="75813"/>
    <n v="266"/>
    <n v="5.4081095313322801E-2"/>
    <n v="4108"/>
  </r>
  <r>
    <x v="1"/>
    <n v="3099"/>
    <n v="694"/>
    <n v="171"/>
    <n v="43386"/>
    <n v="42921"/>
    <n v="52"/>
    <n v="9.1365878393951966E-2"/>
    <n v="3964"/>
  </r>
  <r>
    <x v="1"/>
    <n v="129"/>
    <n v="643"/>
    <n v="136"/>
    <n v="1290"/>
    <n v="839"/>
    <n v="238"/>
    <n v="0.70387596899224802"/>
    <n v="908"/>
  </r>
  <r>
    <x v="1"/>
    <n v="3796"/>
    <n v="667"/>
    <n v="395"/>
    <n v="64532"/>
    <n v="63550"/>
    <n v="292"/>
    <n v="7.5280481001673588E-2"/>
    <n v="4858"/>
  </r>
  <r>
    <x v="1"/>
    <n v="3711"/>
    <n v="352"/>
    <n v="290"/>
    <n v="48243"/>
    <n v="47579"/>
    <n v="11"/>
    <n v="9.023070704558174E-2"/>
    <n v="4353"/>
  </r>
  <r>
    <x v="2"/>
    <n v="606"/>
    <n v="789"/>
    <n v="470"/>
    <n v="7878"/>
    <n v="7389"/>
    <n v="239"/>
    <n v="0.23673521198273673"/>
    <n v="1865"/>
  </r>
  <r>
    <x v="1"/>
    <n v="4689"/>
    <n v="134"/>
    <n v="403"/>
    <n v="51579"/>
    <n v="50924"/>
    <n v="173"/>
    <n v="0.10132030477519921"/>
    <n v="5226"/>
  </r>
  <r>
    <x v="0"/>
    <n v="360"/>
    <n v="590"/>
    <n v="393"/>
    <n v="4680"/>
    <n v="4322"/>
    <n v="208"/>
    <n v="0.28696581196581195"/>
    <n v="1343"/>
  </r>
  <r>
    <x v="2"/>
    <n v="3215"/>
    <n v="960"/>
    <n v="202"/>
    <n v="32150"/>
    <n v="31404"/>
    <n v="251"/>
    <n v="0.13614307931570763"/>
    <n v="4377"/>
  </r>
  <r>
    <x v="2"/>
    <n v="4523"/>
    <n v="61"/>
    <n v="157"/>
    <n v="49753"/>
    <n v="49329"/>
    <n v="71"/>
    <n v="9.5290736237010829E-2"/>
    <n v="4741"/>
  </r>
  <r>
    <x v="2"/>
    <n v="4292"/>
    <n v="51"/>
    <n v="392"/>
    <n v="55796"/>
    <n v="54826"/>
    <n v="264"/>
    <n v="8.4862714173059003E-2"/>
    <n v="4735"/>
  </r>
  <r>
    <x v="2"/>
    <n v="1644"/>
    <n v="546"/>
    <n v="150"/>
    <n v="27948"/>
    <n v="27184"/>
    <n v="300"/>
    <n v="8.3726921425504502E-2"/>
    <n v="2340"/>
  </r>
  <r>
    <x v="0"/>
    <n v="2728"/>
    <n v="533"/>
    <n v="215"/>
    <n v="40920"/>
    <n v="40816"/>
    <n v="137"/>
    <n v="8.4946236559139784E-2"/>
    <n v="3476"/>
  </r>
  <r>
    <x v="1"/>
    <n v="3360"/>
    <n v="525"/>
    <n v="500"/>
    <n v="60480"/>
    <n v="59610"/>
    <n v="192"/>
    <n v="7.2503306878306875E-2"/>
    <n v="4385"/>
  </r>
  <r>
    <x v="0"/>
    <n v="1963"/>
    <n v="213"/>
    <n v="19"/>
    <n v="39260"/>
    <n v="38771"/>
    <n v="145"/>
    <n v="5.5909322465613857E-2"/>
    <n v="2195"/>
  </r>
  <r>
    <x v="0"/>
    <n v="4285"/>
    <n v="886"/>
    <n v="376"/>
    <n v="55705"/>
    <n v="55556"/>
    <n v="51"/>
    <n v="9.9578134817341346E-2"/>
    <n v="5547"/>
  </r>
  <r>
    <x v="2"/>
    <n v="1176"/>
    <n v="464"/>
    <n v="394"/>
    <n v="14112"/>
    <n v="13588"/>
    <n v="272"/>
    <n v="0.1441326530612245"/>
    <n v="2034"/>
  </r>
  <r>
    <x v="2"/>
    <n v="4858"/>
    <n v="317"/>
    <n v="129"/>
    <n v="53438"/>
    <n v="52687"/>
    <n v="223"/>
    <n v="9.9255211647142488E-2"/>
    <n v="5304"/>
  </r>
  <r>
    <x v="2"/>
    <n v="4350"/>
    <n v="771"/>
    <n v="7"/>
    <n v="60900"/>
    <n v="60592"/>
    <n v="195"/>
    <n v="8.4203612479474554E-2"/>
    <n v="5128"/>
  </r>
  <r>
    <x v="0"/>
    <n v="914"/>
    <n v="464"/>
    <n v="246"/>
    <n v="11882"/>
    <n v="11500"/>
    <n v="282"/>
    <n v="0.13667732704931829"/>
    <n v="1624"/>
  </r>
  <r>
    <x v="2"/>
    <n v="1813"/>
    <n v="623"/>
    <n v="72"/>
    <n v="19943"/>
    <n v="18959"/>
    <n v="85"/>
    <n v="0.12575841147269717"/>
    <n v="2508"/>
  </r>
  <r>
    <x v="2"/>
    <n v="4782"/>
    <n v="721"/>
    <n v="82"/>
    <n v="86076"/>
    <n v="85339"/>
    <n v="19"/>
    <n v="6.4884520656164318E-2"/>
    <n v="5585"/>
  </r>
  <r>
    <x v="1"/>
    <n v="1048"/>
    <n v="374"/>
    <n v="450"/>
    <n v="9432"/>
    <n v="8882"/>
    <n v="158"/>
    <n v="0.19847328244274809"/>
    <n v="1872"/>
  </r>
  <r>
    <x v="1"/>
    <n v="2509"/>
    <n v="324"/>
    <n v="171"/>
    <n v="35126"/>
    <n v="34685"/>
    <n v="277"/>
    <n v="8.5520696919660646E-2"/>
    <n v="3004"/>
  </r>
  <r>
    <x v="1"/>
    <n v="3718"/>
    <n v="385"/>
    <n v="310"/>
    <n v="70642"/>
    <n v="69749"/>
    <n v="233"/>
    <n v="6.246991874522239E-2"/>
    <n v="4413"/>
  </r>
  <r>
    <x v="2"/>
    <n v="802"/>
    <n v="262"/>
    <n v="244"/>
    <n v="14436"/>
    <n v="14280"/>
    <n v="49"/>
    <n v="9.0606816292601824E-2"/>
    <n v="1308"/>
  </r>
  <r>
    <x v="2"/>
    <n v="1871"/>
    <n v="252"/>
    <n v="335"/>
    <n v="29936"/>
    <n v="29576"/>
    <n v="288"/>
    <n v="8.2108498129342594E-2"/>
    <n v="2458"/>
  </r>
  <r>
    <x v="0"/>
    <n v="3773"/>
    <n v="299"/>
    <n v="38"/>
    <n v="71687"/>
    <n v="71447"/>
    <n v="286"/>
    <n v="5.7332570758993957E-2"/>
    <n v="4110"/>
  </r>
  <r>
    <x v="0"/>
    <n v="2234"/>
    <n v="653"/>
    <n v="432"/>
    <n v="11170"/>
    <n v="10569"/>
    <n v="198"/>
    <n v="0.29713518352730528"/>
    <n v="3319"/>
  </r>
  <r>
    <x v="1"/>
    <n v="3820"/>
    <n v="697"/>
    <n v="268"/>
    <n v="45840"/>
    <n v="45631"/>
    <n v="171"/>
    <n v="0.1043848167539267"/>
    <n v="4785"/>
  </r>
  <r>
    <x v="2"/>
    <n v="941"/>
    <n v="121"/>
    <n v="458"/>
    <n v="14115"/>
    <n v="13838"/>
    <n v="87"/>
    <n v="0.10768685795253277"/>
    <n v="1520"/>
  </r>
  <r>
    <x v="1"/>
    <n v="4274"/>
    <n v="340"/>
    <n v="281"/>
    <n v="34192"/>
    <n v="33446"/>
    <n v="129"/>
    <n v="0.14316214319138981"/>
    <n v="4895"/>
  </r>
  <r>
    <x v="1"/>
    <n v="2949"/>
    <n v="476"/>
    <n v="403"/>
    <n v="44235"/>
    <n v="43705"/>
    <n v="135"/>
    <n v="8.6537809426924378E-2"/>
    <n v="3828"/>
  </r>
  <r>
    <x v="0"/>
    <n v="3160"/>
    <n v="204"/>
    <n v="297"/>
    <n v="44240"/>
    <n v="43666"/>
    <n v="49"/>
    <n v="8.2753164556962022E-2"/>
    <n v="3661"/>
  </r>
  <r>
    <x v="0"/>
    <n v="257"/>
    <n v="966"/>
    <n v="398"/>
    <n v="3341"/>
    <n v="2753"/>
    <n v="287"/>
    <n v="0.48518407662376534"/>
    <n v="1621"/>
  </r>
  <r>
    <x v="0"/>
    <n v="2120"/>
    <n v="38"/>
    <n v="212"/>
    <n v="12720"/>
    <n v="12564"/>
    <n v="21"/>
    <n v="0.18632075471698112"/>
    <n v="2370"/>
  </r>
  <r>
    <x v="1"/>
    <n v="3874"/>
    <n v="884"/>
    <n v="19"/>
    <n v="38740"/>
    <n v="38552"/>
    <n v="219"/>
    <n v="0.123309241094476"/>
    <n v="4777"/>
  </r>
  <r>
    <x v="2"/>
    <n v="2696"/>
    <n v="628"/>
    <n v="443"/>
    <n v="45832"/>
    <n v="45632"/>
    <n v="248"/>
    <n v="8.21914819340199E-2"/>
    <n v="3767"/>
  </r>
  <r>
    <x v="0"/>
    <n v="521"/>
    <n v="746"/>
    <n v="315"/>
    <n v="4168"/>
    <n v="3399"/>
    <n v="282"/>
    <n v="0.37955854126679461"/>
    <n v="1582"/>
  </r>
  <r>
    <x v="2"/>
    <n v="4872"/>
    <n v="925"/>
    <n v="176"/>
    <n v="82824"/>
    <n v="82543"/>
    <n v="89"/>
    <n v="7.2116777745580993E-2"/>
    <n v="5973"/>
  </r>
  <r>
    <x v="2"/>
    <n v="1509"/>
    <n v="88"/>
    <n v="163"/>
    <n v="30180"/>
    <n v="29689"/>
    <n v="119"/>
    <n v="5.8316766070245198E-2"/>
    <n v="1760"/>
  </r>
  <r>
    <x v="1"/>
    <n v="4606"/>
    <n v="931"/>
    <n v="230"/>
    <n v="92120"/>
    <n v="91440"/>
    <n v="56"/>
    <n v="6.2603126356925748E-2"/>
    <n v="5767"/>
  </r>
  <r>
    <x v="1"/>
    <n v="1869"/>
    <n v="453"/>
    <n v="490"/>
    <n v="14952"/>
    <n v="14309"/>
    <n v="275"/>
    <n v="0.18806848582129482"/>
    <n v="2812"/>
  </r>
  <r>
    <x v="1"/>
    <n v="1188"/>
    <n v="470"/>
    <n v="174"/>
    <n v="7128"/>
    <n v="6145"/>
    <n v="270"/>
    <n v="0.25701459034792368"/>
    <n v="1832"/>
  </r>
  <r>
    <x v="2"/>
    <n v="84"/>
    <n v="897"/>
    <n v="85"/>
    <n v="588"/>
    <n v="8"/>
    <n v="12"/>
    <n v="1.8129251700680271"/>
    <n v="1066"/>
  </r>
  <r>
    <x v="1"/>
    <n v="4453"/>
    <n v="111"/>
    <n v="420"/>
    <n v="31171"/>
    <n v="30565"/>
    <n v="23"/>
    <n v="0.15989220750056141"/>
    <n v="4984"/>
  </r>
  <r>
    <x v="0"/>
    <n v="1814"/>
    <n v="653"/>
    <n v="363"/>
    <n v="25396"/>
    <n v="25286"/>
    <n v="39"/>
    <n v="0.11143487163332809"/>
    <n v="2830"/>
  </r>
  <r>
    <x v="1"/>
    <n v="3338"/>
    <n v="277"/>
    <n v="118"/>
    <n v="60084"/>
    <n v="59842"/>
    <n v="252"/>
    <n v="6.2129685107516146E-2"/>
    <n v="3733"/>
  </r>
  <r>
    <x v="1"/>
    <n v="602"/>
    <n v="594"/>
    <n v="156"/>
    <n v="4214"/>
    <n v="3363"/>
    <n v="164"/>
    <n v="0.32083531086853345"/>
    <n v="1352"/>
  </r>
  <r>
    <x v="2"/>
    <n v="4672"/>
    <n v="325"/>
    <n v="32"/>
    <n v="88768"/>
    <n v="87833"/>
    <n v="118"/>
    <n v="5.6653298485940883E-2"/>
    <n v="5029"/>
  </r>
  <r>
    <x v="1"/>
    <n v="1741"/>
    <n v="164"/>
    <n v="318"/>
    <n v="8705"/>
    <n v="8272"/>
    <n v="121"/>
    <n v="0.25537047673750718"/>
    <n v="2223"/>
  </r>
  <r>
    <x v="0"/>
    <n v="246"/>
    <n v="149"/>
    <n v="130"/>
    <n v="4674"/>
    <n v="4390"/>
    <n v="217"/>
    <n v="0.11232349165596919"/>
    <n v="525"/>
  </r>
  <r>
    <x v="2"/>
    <n v="4808"/>
    <n v="772"/>
    <n v="320"/>
    <n v="72120"/>
    <n v="71696"/>
    <n v="195"/>
    <n v="8.1808097615085965E-2"/>
    <n v="5900"/>
  </r>
  <r>
    <x v="1"/>
    <n v="4799"/>
    <n v="694"/>
    <n v="289"/>
    <n v="43191"/>
    <n v="42228"/>
    <n v="118"/>
    <n v="0.13387048227640017"/>
    <n v="5782"/>
  </r>
  <r>
    <x v="2"/>
    <n v="3663"/>
    <n v="17"/>
    <n v="295"/>
    <n v="51282"/>
    <n v="50567"/>
    <n v="84"/>
    <n v="7.7512577512577507E-2"/>
    <n v="3975"/>
  </r>
  <r>
    <x v="0"/>
    <n v="1430"/>
    <n v="376"/>
    <n v="33"/>
    <n v="21450"/>
    <n v="20509"/>
    <n v="251"/>
    <n v="8.5734265734265735E-2"/>
    <n v="1839"/>
  </r>
  <r>
    <x v="2"/>
    <n v="249"/>
    <n v="592"/>
    <n v="230"/>
    <n v="1494"/>
    <n v="1044"/>
    <n v="201"/>
    <n v="0.7168674698795181"/>
    <n v="1071"/>
  </r>
  <r>
    <x v="0"/>
    <n v="2382"/>
    <n v="265"/>
    <n v="134"/>
    <n v="38112"/>
    <n v="37437"/>
    <n v="249"/>
    <n v="7.2969143576826198E-2"/>
    <n v="2781"/>
  </r>
  <r>
    <x v="1"/>
    <n v="1272"/>
    <n v="465"/>
    <n v="99"/>
    <n v="24168"/>
    <n v="23719"/>
    <n v="42"/>
    <n v="7.5968222442899705E-2"/>
    <n v="1836"/>
  </r>
  <r>
    <x v="1"/>
    <n v="3196"/>
    <n v="941"/>
    <n v="376"/>
    <n v="35156"/>
    <n v="34444"/>
    <n v="241"/>
    <n v="0.1283706906360223"/>
    <n v="4513"/>
  </r>
  <r>
    <x v="0"/>
    <n v="1257"/>
    <n v="19"/>
    <n v="351"/>
    <n v="12570"/>
    <n v="11660"/>
    <n v="194"/>
    <n v="0.12943516308671441"/>
    <n v="1627"/>
  </r>
  <r>
    <x v="0"/>
    <n v="3770"/>
    <n v="917"/>
    <n v="129"/>
    <n v="71630"/>
    <n v="71322"/>
    <n v="76"/>
    <n v="6.7234398994834563E-2"/>
    <n v="4816"/>
  </r>
  <r>
    <x v="0"/>
    <n v="4725"/>
    <n v="400"/>
    <n v="362"/>
    <n v="75600"/>
    <n v="74927"/>
    <n v="43"/>
    <n v="7.2579365079365077E-2"/>
    <n v="5487"/>
  </r>
  <r>
    <x v="0"/>
    <n v="4188"/>
    <n v="942"/>
    <n v="118"/>
    <n v="20940"/>
    <n v="20471"/>
    <n v="102"/>
    <n v="0.25062082139446035"/>
    <n v="5248"/>
  </r>
  <r>
    <x v="2"/>
    <n v="929"/>
    <n v="192"/>
    <n v="322"/>
    <n v="16722"/>
    <n v="15996"/>
    <n v="145"/>
    <n v="8.6293505561535699E-2"/>
    <n v="1443"/>
  </r>
  <r>
    <x v="1"/>
    <n v="4321"/>
    <n v="874"/>
    <n v="172"/>
    <n v="30247"/>
    <n v="29254"/>
    <n v="122"/>
    <n v="0.17743908486792079"/>
    <n v="5367"/>
  </r>
  <r>
    <x v="2"/>
    <n v="4767"/>
    <n v="190"/>
    <n v="340"/>
    <n v="28602"/>
    <n v="28044"/>
    <n v="210"/>
    <n v="0.18519683938186141"/>
    <n v="5297"/>
  </r>
  <r>
    <x v="0"/>
    <n v="3592"/>
    <n v="911"/>
    <n v="375"/>
    <n v="50288"/>
    <n v="49490"/>
    <n v="32"/>
    <n v="9.7001272669424113E-2"/>
    <n v="4878"/>
  </r>
  <r>
    <x v="0"/>
    <n v="4661"/>
    <n v="935"/>
    <n v="433"/>
    <n v="23305"/>
    <n v="22583"/>
    <n v="63"/>
    <n v="0.25869984981763572"/>
    <n v="6029"/>
  </r>
  <r>
    <x v="2"/>
    <n v="4134"/>
    <n v="824"/>
    <n v="99"/>
    <n v="41340"/>
    <n v="41050"/>
    <n v="177"/>
    <n v="0.12232704402515723"/>
    <n v="5057"/>
  </r>
  <r>
    <x v="0"/>
    <n v="400"/>
    <n v="680"/>
    <n v="434"/>
    <n v="6400"/>
    <n v="5472"/>
    <n v="160"/>
    <n v="0.23656250000000001"/>
    <n v="1514"/>
  </r>
  <r>
    <x v="0"/>
    <n v="3960"/>
    <n v="266"/>
    <n v="8"/>
    <n v="35640"/>
    <n v="34850"/>
    <n v="208"/>
    <n v="0.11879910213243547"/>
    <n v="4234"/>
  </r>
  <r>
    <x v="2"/>
    <n v="886"/>
    <n v="126"/>
    <n v="153"/>
    <n v="4430"/>
    <n v="4037"/>
    <n v="212"/>
    <n v="0.26297968397291194"/>
    <n v="1165"/>
  </r>
  <r>
    <x v="2"/>
    <n v="827"/>
    <n v="77"/>
    <n v="402"/>
    <n v="14886"/>
    <n v="14129"/>
    <n v="254"/>
    <n v="8.7733440816874911E-2"/>
    <n v="1306"/>
  </r>
  <r>
    <x v="0"/>
    <n v="3813"/>
    <n v="935"/>
    <n v="274"/>
    <n v="68634"/>
    <n v="68488"/>
    <n v="251"/>
    <n v="7.3170731707317069E-2"/>
    <n v="5022"/>
  </r>
  <r>
    <x v="0"/>
    <n v="1377"/>
    <n v="796"/>
    <n v="387"/>
    <n v="22032"/>
    <n v="21869"/>
    <n v="189"/>
    <n v="0.11619462599854757"/>
    <n v="2560"/>
  </r>
  <r>
    <x v="0"/>
    <n v="2089"/>
    <n v="476"/>
    <n v="69"/>
    <n v="16712"/>
    <n v="16309"/>
    <n v="64"/>
    <n v="0.15761129727142173"/>
    <n v="2634"/>
  </r>
  <r>
    <x v="2"/>
    <n v="3791"/>
    <n v="593"/>
    <n v="228"/>
    <n v="53074"/>
    <n v="52613"/>
    <n v="205"/>
    <n v="8.6897539284772202E-2"/>
    <n v="4612"/>
  </r>
  <r>
    <x v="0"/>
    <n v="2692"/>
    <n v="115"/>
    <n v="64"/>
    <n v="21536"/>
    <n v="21120"/>
    <n v="224"/>
    <n v="0.13331166419019316"/>
    <n v="2871"/>
  </r>
  <r>
    <x v="0"/>
    <n v="3767"/>
    <n v="514"/>
    <n v="238"/>
    <n v="37670"/>
    <n v="36807"/>
    <n v="226"/>
    <n v="0.11996283514733209"/>
    <n v="4519"/>
  </r>
  <r>
    <x v="2"/>
    <n v="2143"/>
    <n v="12"/>
    <n v="204"/>
    <n v="40717"/>
    <n v="40125"/>
    <n v="248"/>
    <n v="5.7936488444630008E-2"/>
    <n v="2359"/>
  </r>
  <r>
    <x v="2"/>
    <n v="3090"/>
    <n v="697"/>
    <n v="164"/>
    <n v="49440"/>
    <n v="48524"/>
    <n v="25"/>
    <n v="7.9915048543689318E-2"/>
    <n v="3951"/>
  </r>
  <r>
    <x v="2"/>
    <n v="3601"/>
    <n v="695"/>
    <n v="75"/>
    <n v="21606"/>
    <n v="21454"/>
    <n v="172"/>
    <n v="0.2023049153013052"/>
    <n v="4371"/>
  </r>
  <r>
    <x v="1"/>
    <n v="562"/>
    <n v="158"/>
    <n v="149"/>
    <n v="3372"/>
    <n v="2940"/>
    <n v="93"/>
    <n v="0.25771055753262156"/>
    <n v="869"/>
  </r>
  <r>
    <x v="1"/>
    <n v="4332"/>
    <n v="771"/>
    <n v="219"/>
    <n v="60648"/>
    <n v="60397"/>
    <n v="10"/>
    <n v="8.7752275425405618E-2"/>
    <n v="5322"/>
  </r>
  <r>
    <x v="2"/>
    <n v="4853"/>
    <n v="837"/>
    <n v="340"/>
    <n v="72795"/>
    <n v="72237"/>
    <n v="170"/>
    <n v="8.2835359571399134E-2"/>
    <n v="6030"/>
  </r>
  <r>
    <x v="1"/>
    <n v="1206"/>
    <n v="238"/>
    <n v="36"/>
    <n v="9648"/>
    <n v="9417"/>
    <n v="237"/>
    <n v="0.15339966832504145"/>
    <n v="1480"/>
  </r>
  <r>
    <x v="0"/>
    <n v="2603"/>
    <n v="690"/>
    <n v="205"/>
    <n v="13015"/>
    <n v="12130"/>
    <n v="20"/>
    <n v="0.26876680752977333"/>
    <n v="3498"/>
  </r>
  <r>
    <x v="1"/>
    <n v="59"/>
    <n v="163"/>
    <n v="93"/>
    <n v="590"/>
    <n v="475"/>
    <n v="293"/>
    <n v="0.53389830508474578"/>
    <n v="315"/>
  </r>
  <r>
    <x v="2"/>
    <n v="1877"/>
    <n v="745"/>
    <n v="225"/>
    <n v="11262"/>
    <n v="10967"/>
    <n v="41"/>
    <n v="0.25279701651571657"/>
    <n v="2847"/>
  </r>
  <r>
    <x v="1"/>
    <n v="4182"/>
    <n v="640"/>
    <n v="240"/>
    <n v="50184"/>
    <n v="49351"/>
    <n v="10"/>
    <n v="0.10086880280567512"/>
    <n v="5062"/>
  </r>
  <r>
    <x v="0"/>
    <n v="4187"/>
    <n v="66"/>
    <n v="31"/>
    <n v="66992"/>
    <n v="66614"/>
    <n v="62"/>
    <n v="6.3947934081681396E-2"/>
    <n v="4284"/>
  </r>
  <r>
    <x v="2"/>
    <n v="4579"/>
    <n v="125"/>
    <n v="300"/>
    <n v="59527"/>
    <n v="59400"/>
    <n v="269"/>
    <n v="8.4062694239588759E-2"/>
    <n v="5004"/>
  </r>
  <r>
    <x v="1"/>
    <n v="4561"/>
    <n v="51"/>
    <n v="441"/>
    <n v="22805"/>
    <n v="21890"/>
    <n v="45"/>
    <n v="0.22157421618066214"/>
    <n v="5053"/>
  </r>
  <r>
    <x v="1"/>
    <n v="3774"/>
    <n v="239"/>
    <n v="39"/>
    <n v="60384"/>
    <n v="59490"/>
    <n v="241"/>
    <n v="6.7103868574456813E-2"/>
    <n v="4052"/>
  </r>
  <r>
    <x v="2"/>
    <n v="3575"/>
    <n v="749"/>
    <n v="111"/>
    <n v="21450"/>
    <n v="20785"/>
    <n v="195"/>
    <n v="0.20675990675990677"/>
    <n v="4435"/>
  </r>
  <r>
    <x v="1"/>
    <n v="4941"/>
    <n v="414"/>
    <n v="266"/>
    <n v="39528"/>
    <n v="39154"/>
    <n v="217"/>
    <n v="0.14220299534507186"/>
    <n v="5621"/>
  </r>
  <r>
    <x v="2"/>
    <n v="3641"/>
    <n v="226"/>
    <n v="46"/>
    <n v="40051"/>
    <n v="39319"/>
    <n v="296"/>
    <n v="9.7700431949264685E-2"/>
    <n v="3913"/>
  </r>
  <r>
    <x v="1"/>
    <n v="3535"/>
    <n v="494"/>
    <n v="152"/>
    <n v="53025"/>
    <n v="52791"/>
    <n v="44"/>
    <n v="7.8849599245638849E-2"/>
    <n v="4181"/>
  </r>
  <r>
    <x v="2"/>
    <n v="1741"/>
    <n v="831"/>
    <n v="345"/>
    <n v="17410"/>
    <n v="16844"/>
    <n v="58"/>
    <n v="0.16754738655944859"/>
    <n v="2917"/>
  </r>
  <r>
    <x v="1"/>
    <n v="1556"/>
    <n v="195"/>
    <n v="131"/>
    <n v="9336"/>
    <n v="8875"/>
    <n v="137"/>
    <n v="0.2015852613538989"/>
    <n v="1882"/>
  </r>
  <r>
    <x v="0"/>
    <n v="4236"/>
    <n v="711"/>
    <n v="298"/>
    <n v="21180"/>
    <n v="20516"/>
    <n v="238"/>
    <n v="0.24763928234183191"/>
    <n v="5245"/>
  </r>
  <r>
    <x v="2"/>
    <n v="4516"/>
    <n v="836"/>
    <n v="169"/>
    <n v="49676"/>
    <n v="49257"/>
    <n v="282"/>
    <n v="0.11114018842096787"/>
    <n v="5521"/>
  </r>
  <r>
    <x v="1"/>
    <n v="4905"/>
    <n v="845"/>
    <n v="129"/>
    <n v="98100"/>
    <n v="97772"/>
    <n v="279"/>
    <n v="5.9928644240570844E-2"/>
    <n v="5879"/>
  </r>
  <r>
    <x v="2"/>
    <n v="4275"/>
    <n v="680"/>
    <n v="385"/>
    <n v="64125"/>
    <n v="63650"/>
    <n v="104"/>
    <n v="8.3274853801169585E-2"/>
    <n v="5340"/>
  </r>
  <r>
    <x v="2"/>
    <n v="3166"/>
    <n v="90"/>
    <n v="341"/>
    <n v="56988"/>
    <n v="56125"/>
    <n v="135"/>
    <n v="6.3118551273952411E-2"/>
    <n v="3597"/>
  </r>
  <r>
    <x v="0"/>
    <n v="1488"/>
    <n v="417"/>
    <n v="168"/>
    <n v="19344"/>
    <n v="18395"/>
    <n v="30"/>
    <n v="0.1071650124069479"/>
    <n v="2073"/>
  </r>
  <r>
    <x v="0"/>
    <n v="3367"/>
    <n v="302"/>
    <n v="57"/>
    <n v="63973"/>
    <n v="63789"/>
    <n v="157"/>
    <n v="5.8243321401216137E-2"/>
    <n v="3726"/>
  </r>
  <r>
    <x v="1"/>
    <n v="571"/>
    <n v="190"/>
    <n v="352"/>
    <n v="9707"/>
    <n v="9418"/>
    <n v="231"/>
    <n v="0.11465952405480581"/>
    <n v="1113"/>
  </r>
  <r>
    <x v="2"/>
    <n v="4021"/>
    <n v="794"/>
    <n v="77"/>
    <n v="36189"/>
    <n v="35505"/>
    <n v="174"/>
    <n v="0.13517919809886983"/>
    <n v="4892"/>
  </r>
  <r>
    <x v="0"/>
    <n v="3389"/>
    <n v="344"/>
    <n v="229"/>
    <n v="20334"/>
    <n v="19443"/>
    <n v="228"/>
    <n v="0.19484607062063539"/>
    <n v="3962"/>
  </r>
  <r>
    <x v="2"/>
    <n v="1164"/>
    <n v="616"/>
    <n v="324"/>
    <n v="6984"/>
    <n v="6636"/>
    <n v="82"/>
    <n v="0.30126002290950743"/>
    <n v="2104"/>
  </r>
  <r>
    <x v="0"/>
    <n v="4780"/>
    <n v="691"/>
    <n v="380"/>
    <n v="86040"/>
    <n v="85743"/>
    <n v="262"/>
    <n v="6.800325430032543E-2"/>
    <n v="5851"/>
  </r>
  <r>
    <x v="0"/>
    <n v="2751"/>
    <n v="33"/>
    <n v="430"/>
    <n v="44016"/>
    <n v="43415"/>
    <n v="129"/>
    <n v="7.3018902217375503E-2"/>
    <n v="3214"/>
  </r>
  <r>
    <x v="2"/>
    <n v="2107"/>
    <n v="550"/>
    <n v="349"/>
    <n v="35819"/>
    <n v="35340"/>
    <n v="191"/>
    <n v="8.3921940869371006E-2"/>
    <n v="3006"/>
  </r>
  <r>
    <x v="2"/>
    <n v="4663"/>
    <n v="145"/>
    <n v="225"/>
    <n v="69945"/>
    <n v="69596"/>
    <n v="35"/>
    <n v="7.1956537279290869E-2"/>
    <n v="5033"/>
  </r>
  <r>
    <x v="1"/>
    <n v="880"/>
    <n v="297"/>
    <n v="345"/>
    <n v="12320"/>
    <n v="11978"/>
    <n v="238"/>
    <n v="0.12353896103896105"/>
    <n v="1522"/>
  </r>
  <r>
    <x v="2"/>
    <n v="2634"/>
    <n v="726"/>
    <n v="241"/>
    <n v="28974"/>
    <n v="28102"/>
    <n v="277"/>
    <n v="0.12428384068475185"/>
    <n v="3601"/>
  </r>
  <r>
    <x v="2"/>
    <n v="4731"/>
    <n v="173"/>
    <n v="276"/>
    <n v="28386"/>
    <n v="28185"/>
    <n v="89"/>
    <n v="0.18248432325794406"/>
    <n v="5180"/>
  </r>
  <r>
    <x v="0"/>
    <n v="1952"/>
    <n v="344"/>
    <n v="287"/>
    <n v="15616"/>
    <n v="15403"/>
    <n v="235"/>
    <n v="0.16540727459016394"/>
    <n v="2583"/>
  </r>
  <r>
    <x v="1"/>
    <n v="3440"/>
    <n v="13"/>
    <n v="20"/>
    <n v="58480"/>
    <n v="58146"/>
    <n v="210"/>
    <n v="5.9387824897400819E-2"/>
    <n v="3473"/>
  </r>
  <r>
    <x v="2"/>
    <n v="2166"/>
    <n v="354"/>
    <n v="117"/>
    <n v="10830"/>
    <n v="10245"/>
    <n v="24"/>
    <n v="0.24349030470914126"/>
    <n v="2637"/>
  </r>
  <r>
    <x v="1"/>
    <n v="4303"/>
    <n v="451"/>
    <n v="286"/>
    <n v="86060"/>
    <n v="85823"/>
    <n v="14"/>
    <n v="5.8563792702765516E-2"/>
    <n v="5040"/>
  </r>
  <r>
    <x v="0"/>
    <n v="2581"/>
    <n v="517"/>
    <n v="117"/>
    <n v="23229"/>
    <n v="22331"/>
    <n v="70"/>
    <n v="0.13840458048129492"/>
    <n v="3215"/>
  </r>
  <r>
    <x v="1"/>
    <n v="4494"/>
    <n v="717"/>
    <n v="45"/>
    <n v="62916"/>
    <n v="62688"/>
    <n v="191"/>
    <n v="8.3539958039290485E-2"/>
    <n v="5256"/>
  </r>
  <r>
    <x v="3"/>
    <n v="1461"/>
    <n v="184"/>
    <n v="344"/>
    <n v="21915"/>
    <n v="21675"/>
    <n v="15"/>
    <n v="9.0759753593429152E-2"/>
    <n v="1989"/>
  </r>
  <r>
    <x v="4"/>
    <n v="4054"/>
    <n v="389"/>
    <n v="493"/>
    <n v="64864"/>
    <n v="64383"/>
    <n v="117"/>
    <n v="7.6097681302417369E-2"/>
    <n v="4936"/>
  </r>
  <r>
    <x v="5"/>
    <n v="2795"/>
    <n v="105"/>
    <n v="49"/>
    <n v="53105"/>
    <n v="52307"/>
    <n v="204"/>
    <n v="5.5531494209584788E-2"/>
    <n v="2949"/>
  </r>
  <r>
    <x v="5"/>
    <n v="2404"/>
    <n v="363"/>
    <n v="138"/>
    <n v="19232"/>
    <n v="18636"/>
    <n v="128"/>
    <n v="0.15105033277870217"/>
    <n v="2905"/>
  </r>
  <r>
    <x v="1"/>
    <n v="3557"/>
    <n v="687"/>
    <n v="424"/>
    <n v="71140"/>
    <n v="70701"/>
    <n v="224"/>
    <n v="6.5617093055946027E-2"/>
    <n v="4668"/>
  </r>
  <r>
    <x v="5"/>
    <n v="2945"/>
    <n v="930"/>
    <n v="355"/>
    <n v="23560"/>
    <n v="23275"/>
    <n v="256"/>
    <n v="0.17954159592529711"/>
    <n v="4230"/>
  </r>
  <r>
    <x v="5"/>
    <n v="3860"/>
    <n v="201"/>
    <n v="279"/>
    <n v="61760"/>
    <n v="61660"/>
    <n v="235"/>
    <n v="7.0272020725388601E-2"/>
    <n v="4340"/>
  </r>
  <r>
    <x v="5"/>
    <n v="3929"/>
    <n v="262"/>
    <n v="278"/>
    <n v="43219"/>
    <n v="42841"/>
    <n v="39"/>
    <n v="0.10340359564080613"/>
    <n v="4469"/>
  </r>
  <r>
    <x v="5"/>
    <n v="3784"/>
    <n v="808"/>
    <n v="404"/>
    <n v="56760"/>
    <n v="56343"/>
    <n v="131"/>
    <n v="8.8019732205778717E-2"/>
    <n v="4996"/>
  </r>
  <r>
    <x v="5"/>
    <n v="4241"/>
    <n v="902"/>
    <n v="47"/>
    <n v="72097"/>
    <n v="71598"/>
    <n v="167"/>
    <n v="7.198635172059864E-2"/>
    <n v="5190"/>
  </r>
  <r>
    <x v="5"/>
    <n v="1792"/>
    <n v="614"/>
    <n v="497"/>
    <n v="25088"/>
    <n v="24675"/>
    <n v="65"/>
    <n v="0.11571269132653061"/>
    <n v="2903"/>
  </r>
  <r>
    <x v="5"/>
    <n v="1946"/>
    <n v="686"/>
    <n v="377"/>
    <n v="23352"/>
    <n v="22982"/>
    <n v="213"/>
    <n v="0.12885405960945528"/>
    <n v="3009"/>
  </r>
  <r>
    <x v="5"/>
    <n v="1171"/>
    <n v="286"/>
    <n v="231"/>
    <n v="22249"/>
    <n v="21282"/>
    <n v="114"/>
    <n v="7.5868578363072495E-2"/>
    <n v="1688"/>
  </r>
  <r>
    <x v="5"/>
    <n v="4242"/>
    <n v="555"/>
    <n v="131"/>
    <n v="33936"/>
    <n v="33802"/>
    <n v="265"/>
    <n v="0.14521452145214522"/>
    <n v="4928"/>
  </r>
  <r>
    <x v="5"/>
    <n v="3888"/>
    <n v="604"/>
    <n v="128"/>
    <n v="77760"/>
    <n v="77167"/>
    <n v="20"/>
    <n v="5.941358024691358E-2"/>
    <n v="4620"/>
  </r>
  <r>
    <x v="5"/>
    <n v="3452"/>
    <n v="377"/>
    <n v="360"/>
    <n v="55232"/>
    <n v="55075"/>
    <n v="87"/>
    <n v="7.5843713789107758E-2"/>
    <n v="4189"/>
  </r>
  <r>
    <x v="5"/>
    <n v="4441"/>
    <n v="511"/>
    <n v="70"/>
    <n v="53292"/>
    <n v="53082"/>
    <n v="159"/>
    <n v="9.4235532537716729E-2"/>
    <n v="5022"/>
  </r>
  <r>
    <x v="5"/>
    <n v="3000"/>
    <n v="382"/>
    <n v="325"/>
    <n v="36000"/>
    <n v="35819"/>
    <n v="19"/>
    <n v="0.10297222222222223"/>
    <n v="3707"/>
  </r>
  <r>
    <x v="5"/>
    <n v="1071"/>
    <n v="519"/>
    <n v="22"/>
    <n v="16065"/>
    <n v="15865"/>
    <n v="103"/>
    <n v="0.10034235916588857"/>
    <n v="1612"/>
  </r>
  <r>
    <x v="5"/>
    <n v="4054"/>
    <n v="488"/>
    <n v="373"/>
    <n v="77026"/>
    <n v="76881"/>
    <n v="25"/>
    <n v="6.3809622724794221E-2"/>
    <n v="4915"/>
  </r>
  <r>
    <x v="5"/>
    <n v="4838"/>
    <n v="640"/>
    <n v="128"/>
    <n v="72570"/>
    <n v="72396"/>
    <n v="83"/>
    <n v="7.7249552156538517E-2"/>
    <n v="5606"/>
  </r>
  <r>
    <x v="5"/>
    <n v="1570"/>
    <n v="187"/>
    <n v="260"/>
    <n v="25120"/>
    <n v="24613"/>
    <n v="133"/>
    <n v="8.0294585987261149E-2"/>
    <n v="2017"/>
  </r>
  <r>
    <x v="3"/>
    <n v="1606"/>
    <n v="547"/>
    <n v="316"/>
    <n v="32120"/>
    <n v="31736"/>
    <n v="225"/>
    <n v="7.6867995018679955E-2"/>
    <n v="2469"/>
  </r>
  <r>
    <x v="5"/>
    <n v="3961"/>
    <n v="761"/>
    <n v="131"/>
    <n v="67337"/>
    <n v="66615"/>
    <n v="161"/>
    <n v="7.2070332803659209E-2"/>
    <n v="4853"/>
  </r>
  <r>
    <x v="5"/>
    <n v="3128"/>
    <n v="211"/>
    <n v="197"/>
    <n v="59432"/>
    <n v="59182"/>
    <n v="238"/>
    <n v="5.9496567505720827E-2"/>
    <n v="3536"/>
  </r>
  <r>
    <x v="5"/>
    <n v="3009"/>
    <n v="413"/>
    <n v="358"/>
    <n v="42126"/>
    <n v="41309"/>
    <n v="211"/>
    <n v="8.9730807577268201E-2"/>
    <n v="3780"/>
  </r>
  <r>
    <x v="5"/>
    <n v="2076"/>
    <n v="195"/>
    <n v="104"/>
    <n v="33216"/>
    <n v="32244"/>
    <n v="51"/>
    <n v="7.1501685934489398E-2"/>
    <n v="2375"/>
  </r>
  <r>
    <x v="5"/>
    <n v="432"/>
    <n v="624"/>
    <n v="123"/>
    <n v="6912"/>
    <n v="6259"/>
    <n v="79"/>
    <n v="0.17057291666666666"/>
    <n v="1179"/>
  </r>
  <r>
    <x v="5"/>
    <n v="2566"/>
    <n v="118"/>
    <n v="37"/>
    <n v="12830"/>
    <n v="12264"/>
    <n v="221"/>
    <n v="0.21208106001558846"/>
    <n v="2721"/>
  </r>
  <r>
    <x v="5"/>
    <n v="3095"/>
    <n v="39"/>
    <n v="78"/>
    <n v="55710"/>
    <n v="54808"/>
    <n v="93"/>
    <n v="5.7655717106444085E-2"/>
    <n v="3212"/>
  </r>
  <r>
    <x v="5"/>
    <n v="438"/>
    <n v="153"/>
    <n v="275"/>
    <n v="3066"/>
    <n v="2701"/>
    <n v="282"/>
    <n v="0.28245270711024134"/>
    <n v="866"/>
  </r>
  <r>
    <x v="5"/>
    <n v="2278"/>
    <n v="10"/>
    <n v="321"/>
    <n v="13668"/>
    <n v="12676"/>
    <n v="275"/>
    <n v="0.19088381621305239"/>
    <n v="2609"/>
  </r>
  <r>
    <x v="5"/>
    <n v="1407"/>
    <n v="400"/>
    <n v="351"/>
    <n v="16884"/>
    <n v="15954"/>
    <n v="113"/>
    <n v="0.12781331438047855"/>
    <n v="2158"/>
  </r>
  <r>
    <x v="5"/>
    <n v="1652"/>
    <n v="89"/>
    <n v="357"/>
    <n v="29736"/>
    <n v="28771"/>
    <n v="215"/>
    <n v="7.055421038471886E-2"/>
    <n v="2098"/>
  </r>
  <r>
    <x v="5"/>
    <n v="3775"/>
    <n v="16"/>
    <n v="239"/>
    <n v="33975"/>
    <n v="33310"/>
    <n v="271"/>
    <n v="0.11861662987490802"/>
    <n v="4030"/>
  </r>
  <r>
    <x v="5"/>
    <n v="4518"/>
    <n v="285"/>
    <n v="383"/>
    <n v="67770"/>
    <n v="67621"/>
    <n v="31"/>
    <n v="7.6523535487678915E-2"/>
    <n v="5186"/>
  </r>
  <r>
    <x v="5"/>
    <n v="3024"/>
    <n v="925"/>
    <n v="350"/>
    <n v="24192"/>
    <n v="23518"/>
    <n v="36"/>
    <n v="0.17770337301587302"/>
    <n v="4299"/>
  </r>
  <r>
    <x v="5"/>
    <n v="3138"/>
    <n v="123"/>
    <n v="291"/>
    <n v="28242"/>
    <n v="27550"/>
    <n v="87"/>
    <n v="0.12577012959422137"/>
    <n v="3552"/>
  </r>
  <r>
    <x v="5"/>
    <n v="3564"/>
    <n v="629"/>
    <n v="177"/>
    <n v="60588"/>
    <n v="59627"/>
    <n v="92"/>
    <n v="7.2126493695121141E-2"/>
    <n v="4370"/>
  </r>
  <r>
    <x v="5"/>
    <n v="4750"/>
    <n v="151"/>
    <n v="415"/>
    <n v="38000"/>
    <n v="37792"/>
    <n v="299"/>
    <n v="0.13989473684210527"/>
    <n v="5316"/>
  </r>
  <r>
    <x v="5"/>
    <n v="456"/>
    <n v="629"/>
    <n v="428"/>
    <n v="8208"/>
    <n v="7377"/>
    <n v="205"/>
    <n v="0.18433235867446393"/>
    <n v="1513"/>
  </r>
  <r>
    <x v="5"/>
    <n v="1543"/>
    <n v="820"/>
    <n v="333"/>
    <n v="12344"/>
    <n v="11496"/>
    <n v="241"/>
    <n v="0.21840570317563188"/>
    <n v="2696"/>
  </r>
  <r>
    <x v="5"/>
    <n v="2174"/>
    <n v="658"/>
    <n v="15"/>
    <n v="13044"/>
    <n v="12206"/>
    <n v="137"/>
    <n v="0.21826126954921804"/>
    <n v="2847"/>
  </r>
  <r>
    <x v="5"/>
    <n v="2358"/>
    <n v="784"/>
    <n v="344"/>
    <n v="35370"/>
    <n v="34475"/>
    <n v="216"/>
    <n v="9.8558100084817649E-2"/>
    <n v="3486"/>
  </r>
  <r>
    <x v="5"/>
    <n v="3371"/>
    <n v="106"/>
    <n v="327"/>
    <n v="50565"/>
    <n v="49816"/>
    <n v="176"/>
    <n v="7.5229902106199939E-2"/>
    <n v="3804"/>
  </r>
  <r>
    <x v="5"/>
    <n v="1108"/>
    <n v="177"/>
    <n v="212"/>
    <n v="8864"/>
    <n v="8710"/>
    <n v="97"/>
    <n v="0.16888537906137185"/>
    <n v="1497"/>
  </r>
  <r>
    <x v="5"/>
    <n v="2704"/>
    <n v="752"/>
    <n v="153"/>
    <n v="21632"/>
    <n v="20792"/>
    <n v="127"/>
    <n v="0.16683616863905326"/>
    <n v="3609"/>
  </r>
  <r>
    <x v="5"/>
    <n v="1950"/>
    <n v="295"/>
    <n v="478"/>
    <n v="37050"/>
    <n v="36272"/>
    <n v="119"/>
    <n v="7.349527665317139E-2"/>
    <n v="2723"/>
  </r>
  <r>
    <x v="5"/>
    <n v="2164"/>
    <n v="549"/>
    <n v="274"/>
    <n v="28132"/>
    <n v="27361"/>
    <n v="177"/>
    <n v="0.10617801791554102"/>
    <n v="2987"/>
  </r>
  <r>
    <x v="5"/>
    <n v="2754"/>
    <n v="130"/>
    <n v="90"/>
    <n v="22032"/>
    <n v="21288"/>
    <n v="112"/>
    <n v="0.13498547567175018"/>
    <n v="2974"/>
  </r>
  <r>
    <x v="5"/>
    <n v="2200"/>
    <n v="504"/>
    <n v="239"/>
    <n v="37400"/>
    <n v="36938"/>
    <n v="225"/>
    <n v="7.8689839572192513E-2"/>
    <n v="2943"/>
  </r>
  <r>
    <x v="5"/>
    <n v="947"/>
    <n v="338"/>
    <n v="350"/>
    <n v="10417"/>
    <n v="9730"/>
    <n v="34"/>
    <n v="0.1569549774407219"/>
    <n v="1635"/>
  </r>
  <r>
    <x v="4"/>
    <n v="804"/>
    <n v="639"/>
    <n v="43"/>
    <n v="4020"/>
    <n v="3144"/>
    <n v="11"/>
    <n v="0.36965174129353234"/>
    <n v="1486"/>
  </r>
  <r>
    <x v="5"/>
    <n v="1686"/>
    <n v="904"/>
    <n v="472"/>
    <n v="18546"/>
    <n v="18171"/>
    <n v="52"/>
    <n v="0.16510298716704411"/>
    <n v="3062"/>
  </r>
  <r>
    <x v="5"/>
    <n v="1226"/>
    <n v="119"/>
    <n v="7"/>
    <n v="14712"/>
    <n v="14049"/>
    <n v="123"/>
    <n v="9.1897770527460579E-2"/>
    <n v="1352"/>
  </r>
  <r>
    <x v="5"/>
    <n v="2946"/>
    <n v="498"/>
    <n v="367"/>
    <n v="29460"/>
    <n v="28527"/>
    <n v="60"/>
    <n v="0.12936184657162253"/>
    <n v="3811"/>
  </r>
  <r>
    <x v="5"/>
    <n v="2825"/>
    <n v="535"/>
    <n v="295"/>
    <n v="45200"/>
    <n v="44739"/>
    <n v="169"/>
    <n v="8.0862831858407078E-2"/>
    <n v="3655"/>
  </r>
  <r>
    <x v="5"/>
    <n v="103"/>
    <n v="770"/>
    <n v="19"/>
    <n v="1030"/>
    <n v="410"/>
    <n v="262"/>
    <n v="0.86601941747572819"/>
    <n v="892"/>
  </r>
  <r>
    <x v="5"/>
    <n v="2180"/>
    <n v="263"/>
    <n v="387"/>
    <n v="30520"/>
    <n v="30059"/>
    <n v="174"/>
    <n v="9.2726081258191345E-2"/>
    <n v="2830"/>
  </r>
  <r>
    <x v="1"/>
    <n v="904"/>
    <n v="973"/>
    <n v="63"/>
    <n v="11752"/>
    <n v="11580"/>
    <n v="84"/>
    <n v="0.1650782845473111"/>
    <n v="1940"/>
  </r>
  <r>
    <x v="5"/>
    <n v="4886"/>
    <n v="983"/>
    <n v="409"/>
    <n v="43974"/>
    <n v="43239"/>
    <n v="65"/>
    <n v="0.14276618001546368"/>
    <n v="6278"/>
  </r>
  <r>
    <x v="5"/>
    <n v="53"/>
    <n v="81"/>
    <n v="379"/>
    <n v="954"/>
    <n v="7"/>
    <n v="148"/>
    <n v="0.53773584905660377"/>
    <n v="513"/>
  </r>
  <r>
    <x v="5"/>
    <n v="4507"/>
    <n v="217"/>
    <n v="13"/>
    <n v="90140"/>
    <n v="89591"/>
    <n v="125"/>
    <n v="5.2551586421122697E-2"/>
    <n v="4737"/>
  </r>
  <r>
    <x v="5"/>
    <n v="2878"/>
    <n v="248"/>
    <n v="416"/>
    <n v="43170"/>
    <n v="42667"/>
    <n v="75"/>
    <n v="8.2047718322909427E-2"/>
    <n v="3542"/>
  </r>
  <r>
    <x v="5"/>
    <n v="1881"/>
    <n v="501"/>
    <n v="99"/>
    <n v="20691"/>
    <n v="19987"/>
    <n v="289"/>
    <n v="0.11990720603160794"/>
    <n v="2481"/>
  </r>
  <r>
    <x v="5"/>
    <n v="432"/>
    <n v="171"/>
    <n v="280"/>
    <n v="3024"/>
    <n v="2285"/>
    <n v="184"/>
    <n v="0.29199735449735448"/>
    <n v="883"/>
  </r>
  <r>
    <x v="5"/>
    <n v="4712"/>
    <n v="568"/>
    <n v="127"/>
    <n v="84816"/>
    <n v="84691"/>
    <n v="100"/>
    <n v="6.3749764195434822E-2"/>
    <n v="5407"/>
  </r>
  <r>
    <x v="5"/>
    <n v="2610"/>
    <n v="126"/>
    <n v="288"/>
    <n v="15660"/>
    <n v="15145"/>
    <n v="73"/>
    <n v="0.19310344827586207"/>
    <n v="3024"/>
  </r>
  <r>
    <x v="5"/>
    <n v="1292"/>
    <n v="626"/>
    <n v="496"/>
    <n v="25840"/>
    <n v="24916"/>
    <n v="149"/>
    <n v="9.3421052631578946E-2"/>
    <n v="2414"/>
  </r>
  <r>
    <x v="5"/>
    <n v="199"/>
    <n v="772"/>
    <n v="400"/>
    <n v="3582"/>
    <n v="2988"/>
    <n v="43"/>
    <n v="0.38274706867671693"/>
    <n v="1371"/>
  </r>
  <r>
    <x v="5"/>
    <n v="2551"/>
    <n v="915"/>
    <n v="205"/>
    <n v="30612"/>
    <n v="30360"/>
    <n v="227"/>
    <n v="0.1199202926956749"/>
    <n v="3671"/>
  </r>
  <r>
    <x v="5"/>
    <n v="296"/>
    <n v="60"/>
    <n v="141"/>
    <n v="5624"/>
    <n v="5239"/>
    <n v="88"/>
    <n v="8.837126600284495E-2"/>
    <n v="497"/>
  </r>
  <r>
    <x v="5"/>
    <n v="4126"/>
    <n v="426"/>
    <n v="486"/>
    <n v="78394"/>
    <n v="77798"/>
    <n v="88"/>
    <n v="6.4265122330790625E-2"/>
    <n v="5038"/>
  </r>
  <r>
    <x v="5"/>
    <n v="1855"/>
    <n v="200"/>
    <n v="174"/>
    <n v="16695"/>
    <n v="16330"/>
    <n v="123"/>
    <n v="0.13351302785265048"/>
    <n v="2229"/>
  </r>
  <r>
    <x v="5"/>
    <n v="1674"/>
    <n v="929"/>
    <n v="37"/>
    <n v="21762"/>
    <n v="20998"/>
    <n v="255"/>
    <n v="0.12131237937689551"/>
    <n v="2640"/>
  </r>
  <r>
    <x v="5"/>
    <n v="1121"/>
    <n v="135"/>
    <n v="18"/>
    <n v="15694"/>
    <n v="14957"/>
    <n v="99"/>
    <n v="8.1177520071364848E-2"/>
    <n v="1274"/>
  </r>
  <r>
    <x v="5"/>
    <n v="1249"/>
    <n v="116"/>
    <n v="420"/>
    <n v="8743"/>
    <n v="8538"/>
    <n v="63"/>
    <n v="0.20416333066453163"/>
    <n v="1785"/>
  </r>
  <r>
    <x v="5"/>
    <n v="954"/>
    <n v="324"/>
    <n v="288"/>
    <n v="19080"/>
    <n v="18859"/>
    <n v="21"/>
    <n v="8.2075471698113203E-2"/>
    <n v="1566"/>
  </r>
  <r>
    <x v="5"/>
    <n v="3068"/>
    <n v="137"/>
    <n v="329"/>
    <n v="39884"/>
    <n v="39404"/>
    <n v="266"/>
    <n v="8.860696018453515E-2"/>
    <n v="3534"/>
  </r>
  <r>
    <x v="5"/>
    <n v="2103"/>
    <n v="892"/>
    <n v="103"/>
    <n v="39957"/>
    <n v="39466"/>
    <n v="28"/>
    <n v="7.7533348349475686E-2"/>
    <n v="3098"/>
  </r>
  <r>
    <x v="5"/>
    <n v="1816"/>
    <n v="29"/>
    <n v="41"/>
    <n v="19976"/>
    <n v="19262"/>
    <n v="283"/>
    <n v="9.4413295955146179E-2"/>
    <n v="1886"/>
  </r>
  <r>
    <x v="1"/>
    <n v="725"/>
    <n v="88"/>
    <n v="428"/>
    <n v="14500"/>
    <n v="13637"/>
    <n v="200"/>
    <n v="8.558620689655172E-2"/>
    <n v="1241"/>
  </r>
  <r>
    <x v="5"/>
    <n v="1094"/>
    <n v="472"/>
    <n v="21"/>
    <n v="9846"/>
    <n v="9609"/>
    <n v="112"/>
    <n v="0.16118220597196831"/>
    <n v="1587"/>
  </r>
  <r>
    <x v="5"/>
    <n v="1841"/>
    <n v="851"/>
    <n v="342"/>
    <n v="34979"/>
    <n v="34154"/>
    <n v="255"/>
    <n v="8.6737756939878216E-2"/>
    <n v="3034"/>
  </r>
  <r>
    <x v="5"/>
    <n v="4177"/>
    <n v="569"/>
    <n v="55"/>
    <n v="25062"/>
    <n v="24847"/>
    <n v="230"/>
    <n v="0.19156491900087783"/>
    <n v="4801"/>
  </r>
  <r>
    <x v="4"/>
    <n v="3428"/>
    <n v="305"/>
    <n v="85"/>
    <n v="58276"/>
    <n v="58052"/>
    <n v="242"/>
    <n v="6.5515821264328367E-2"/>
    <n v="3818"/>
  </r>
  <r>
    <x v="5"/>
    <n v="1436"/>
    <n v="765"/>
    <n v="496"/>
    <n v="12924"/>
    <n v="12701"/>
    <n v="197"/>
    <n v="0.20868152274837512"/>
    <n v="2697"/>
  </r>
  <r>
    <x v="5"/>
    <n v="302"/>
    <n v="47"/>
    <n v="430"/>
    <n v="5738"/>
    <n v="4890"/>
    <n v="25"/>
    <n v="0.13576158940397351"/>
    <n v="779"/>
  </r>
  <r>
    <x v="5"/>
    <n v="2214"/>
    <n v="249"/>
    <n v="152"/>
    <n v="15498"/>
    <n v="14800"/>
    <n v="180"/>
    <n v="0.16873144921925409"/>
    <n v="2615"/>
  </r>
  <r>
    <x v="5"/>
    <n v="3861"/>
    <n v="960"/>
    <n v="101"/>
    <n v="69498"/>
    <n v="68817"/>
    <n v="297"/>
    <n v="7.0822181933293038E-2"/>
    <n v="4922"/>
  </r>
  <r>
    <x v="5"/>
    <n v="1263"/>
    <n v="397"/>
    <n v="357"/>
    <n v="25260"/>
    <n v="24615"/>
    <n v="137"/>
    <n v="7.984956452889945E-2"/>
    <n v="2017"/>
  </r>
  <r>
    <x v="5"/>
    <n v="3801"/>
    <n v="967"/>
    <n v="401"/>
    <n v="38010"/>
    <n v="37625"/>
    <n v="236"/>
    <n v="0.13599052880820836"/>
    <n v="5169"/>
  </r>
  <r>
    <x v="5"/>
    <n v="1431"/>
    <n v="951"/>
    <n v="26"/>
    <n v="8586"/>
    <n v="8396"/>
    <n v="150"/>
    <n v="0.28045655718611695"/>
    <n v="2408"/>
  </r>
  <r>
    <x v="5"/>
    <n v="2647"/>
    <n v="304"/>
    <n v="170"/>
    <n v="18529"/>
    <n v="17841"/>
    <n v="46"/>
    <n v="0.16843866371633656"/>
    <n v="3121"/>
  </r>
  <r>
    <x v="5"/>
    <n v="3182"/>
    <n v="559"/>
    <n v="160"/>
    <n v="57276"/>
    <n v="56890"/>
    <n v="163"/>
    <n v="6.8108806480899509E-2"/>
    <n v="3901"/>
  </r>
  <r>
    <x v="5"/>
    <n v="1238"/>
    <n v="366"/>
    <n v="444"/>
    <n v="19808"/>
    <n v="19334"/>
    <n v="123"/>
    <n v="0.10339256865912763"/>
    <n v="2048"/>
  </r>
  <r>
    <x v="3"/>
    <n v="4739"/>
    <n v="527"/>
    <n v="135"/>
    <n v="61607"/>
    <n v="61333"/>
    <n v="36"/>
    <n v="8.7668609086629767E-2"/>
    <n v="5401"/>
  </r>
  <r>
    <x v="5"/>
    <n v="1575"/>
    <n v="771"/>
    <n v="486"/>
    <n v="25200"/>
    <n v="24826"/>
    <n v="17"/>
    <n v="0.11238095238095239"/>
    <n v="2832"/>
  </r>
  <r>
    <x v="5"/>
    <n v="4171"/>
    <n v="548"/>
    <n v="86"/>
    <n v="66736"/>
    <n v="66634"/>
    <n v="173"/>
    <n v="7.2000119875329657E-2"/>
    <n v="4805"/>
  </r>
  <r>
    <x v="5"/>
    <n v="1766"/>
    <n v="92"/>
    <n v="424"/>
    <n v="24724"/>
    <n v="24333"/>
    <n v="52"/>
    <n v="9.2298980747451867E-2"/>
    <n v="2282"/>
  </r>
  <r>
    <x v="5"/>
    <n v="4450"/>
    <n v="983"/>
    <n v="143"/>
    <n v="75650"/>
    <n v="75008"/>
    <n v="12"/>
    <n v="7.3707865168539333E-2"/>
    <n v="5576"/>
  </r>
  <r>
    <x v="5"/>
    <n v="1000"/>
    <n v="978"/>
    <n v="162"/>
    <n v="6000"/>
    <n v="5221"/>
    <n v="223"/>
    <n v="0.35666666666666669"/>
    <n v="2140"/>
  </r>
  <r>
    <x v="5"/>
    <n v="3689"/>
    <n v="48"/>
    <n v="306"/>
    <n v="40579"/>
    <n v="39588"/>
    <n v="212"/>
    <n v="9.9632815002833983E-2"/>
    <n v="4043"/>
  </r>
  <r>
    <x v="5"/>
    <n v="3655"/>
    <n v="568"/>
    <n v="286"/>
    <n v="32895"/>
    <n v="32015"/>
    <n v="199"/>
    <n v="0.13707250341997265"/>
    <n v="4509"/>
  </r>
  <r>
    <x v="5"/>
    <n v="498"/>
    <n v="38"/>
    <n v="42"/>
    <n v="4482"/>
    <n v="3647"/>
    <n v="32"/>
    <n v="0.12896028558679162"/>
    <n v="578"/>
  </r>
  <r>
    <x v="5"/>
    <n v="4619"/>
    <n v="821"/>
    <n v="499"/>
    <n v="69285"/>
    <n v="69141"/>
    <n v="298"/>
    <n v="8.5718409468138843E-2"/>
    <n v="5939"/>
  </r>
  <r>
    <x v="5"/>
    <n v="4832"/>
    <n v="893"/>
    <n v="10"/>
    <n v="91808"/>
    <n v="91296"/>
    <n v="182"/>
    <n v="6.2467323109097243E-2"/>
    <n v="5735"/>
  </r>
  <r>
    <x v="5"/>
    <n v="4050"/>
    <n v="871"/>
    <n v="347"/>
    <n v="52650"/>
    <n v="51755"/>
    <n v="209"/>
    <n v="0.10005698005698006"/>
    <n v="5268"/>
  </r>
  <r>
    <x v="5"/>
    <n v="3649"/>
    <n v="215"/>
    <n v="413"/>
    <n v="25543"/>
    <n v="24963"/>
    <n v="167"/>
    <n v="0.16744313510550835"/>
    <n v="4277"/>
  </r>
  <r>
    <x v="5"/>
    <n v="3523"/>
    <n v="753"/>
    <n v="482"/>
    <n v="38753"/>
    <n v="38579"/>
    <n v="270"/>
    <n v="0.12277759141227776"/>
    <n v="4758"/>
  </r>
  <r>
    <x v="5"/>
    <n v="2719"/>
    <n v="17"/>
    <n v="285"/>
    <n v="40785"/>
    <n v="40281"/>
    <n v="40"/>
    <n v="7.4071349760941527E-2"/>
    <n v="3021"/>
  </r>
  <r>
    <x v="5"/>
    <n v="1957"/>
    <n v="877"/>
    <n v="238"/>
    <n v="17613"/>
    <n v="16865"/>
    <n v="297"/>
    <n v="0.17441662408448305"/>
    <n v="3072"/>
  </r>
  <r>
    <x v="5"/>
    <n v="4419"/>
    <n v="236"/>
    <n v="369"/>
    <n v="44190"/>
    <n v="43582"/>
    <n v="10"/>
    <n v="0.11369088028965829"/>
    <n v="5024"/>
  </r>
  <r>
    <x v="5"/>
    <n v="4000"/>
    <n v="689"/>
    <n v="488"/>
    <n v="40000"/>
    <n v="39569"/>
    <n v="44"/>
    <n v="0.12942500000000001"/>
    <n v="5177"/>
  </r>
  <r>
    <x v="3"/>
    <n v="2493"/>
    <n v="97"/>
    <n v="44"/>
    <n v="42381"/>
    <n v="41991"/>
    <n v="242"/>
    <n v="6.2150491965739366E-2"/>
    <n v="2634"/>
  </r>
  <r>
    <x v="5"/>
    <n v="3704"/>
    <n v="186"/>
    <n v="458"/>
    <n v="25928"/>
    <n v="25081"/>
    <n v="131"/>
    <n v="0.16769515581610614"/>
    <n v="4348"/>
  </r>
  <r>
    <x v="5"/>
    <n v="1606"/>
    <n v="451"/>
    <n v="405"/>
    <n v="20878"/>
    <n v="20190"/>
    <n v="219"/>
    <n v="0.11792317271769326"/>
    <n v="2462"/>
  </r>
  <r>
    <x v="5"/>
    <n v="4551"/>
    <n v="714"/>
    <n v="207"/>
    <n v="68265"/>
    <n v="67754"/>
    <n v="57"/>
    <n v="8.0158206987475278E-2"/>
    <n v="5472"/>
  </r>
  <r>
    <x v="5"/>
    <n v="1970"/>
    <n v="675"/>
    <n v="478"/>
    <n v="9850"/>
    <n v="8924"/>
    <n v="117"/>
    <n v="0.31705583756345179"/>
    <n v="3123"/>
  </r>
  <r>
    <x v="5"/>
    <n v="780"/>
    <n v="928"/>
    <n v="301"/>
    <n v="8580"/>
    <n v="8081"/>
    <n v="91"/>
    <n v="0.23414918414918415"/>
    <n v="2009"/>
  </r>
  <r>
    <x v="5"/>
    <n v="498"/>
    <n v="701"/>
    <n v="412"/>
    <n v="4980"/>
    <n v="4185"/>
    <n v="185"/>
    <n v="0.32349397590361445"/>
    <n v="1611"/>
  </r>
  <r>
    <x v="5"/>
    <n v="3432"/>
    <n v="869"/>
    <n v="123"/>
    <n v="54912"/>
    <n v="53916"/>
    <n v="264"/>
    <n v="8.0565268065268064E-2"/>
    <n v="4424"/>
  </r>
  <r>
    <x v="5"/>
    <n v="4363"/>
    <n v="649"/>
    <n v="140"/>
    <n v="21815"/>
    <n v="21481"/>
    <n v="157"/>
    <n v="0.23616777446710979"/>
    <n v="5152"/>
  </r>
  <r>
    <x v="5"/>
    <n v="736"/>
    <n v="771"/>
    <n v="225"/>
    <n v="5152"/>
    <n v="4706"/>
    <n v="19"/>
    <n v="0.33618012422360249"/>
    <n v="1732"/>
  </r>
  <r>
    <x v="5"/>
    <n v="3811"/>
    <n v="866"/>
    <n v="216"/>
    <n v="34299"/>
    <n v="34088"/>
    <n v="233"/>
    <n v="0.14265722032712325"/>
    <n v="4893"/>
  </r>
  <r>
    <x v="5"/>
    <n v="4158"/>
    <n v="167"/>
    <n v="241"/>
    <n v="45738"/>
    <n v="45183"/>
    <n v="142"/>
    <n v="9.9829463465827106E-2"/>
    <n v="4566"/>
  </r>
  <r>
    <x v="5"/>
    <n v="3452"/>
    <n v="652"/>
    <n v="442"/>
    <n v="65588"/>
    <n v="65049"/>
    <n v="158"/>
    <n v="6.9311459413307311E-2"/>
    <n v="4546"/>
  </r>
  <r>
    <x v="5"/>
    <n v="3092"/>
    <n v="106"/>
    <n v="291"/>
    <n v="27828"/>
    <n v="27217"/>
    <n v="102"/>
    <n v="0.12537731780940059"/>
    <n v="3489"/>
  </r>
  <r>
    <x v="5"/>
    <n v="2147"/>
    <n v="430"/>
    <n v="393"/>
    <n v="17176"/>
    <n v="16483"/>
    <n v="170"/>
    <n v="0.17291569632044715"/>
    <n v="2970"/>
  </r>
  <r>
    <x v="5"/>
    <n v="2936"/>
    <n v="439"/>
    <n v="44"/>
    <n v="38168"/>
    <n v="37571"/>
    <n v="22"/>
    <n v="8.9577656675749323E-2"/>
    <n v="3419"/>
  </r>
  <r>
    <x v="5"/>
    <n v="4840"/>
    <n v="658"/>
    <n v="211"/>
    <n v="43560"/>
    <n v="43225"/>
    <n v="57"/>
    <n v="0.13106060606060607"/>
    <n v="5709"/>
  </r>
  <r>
    <x v="5"/>
    <n v="1947"/>
    <n v="842"/>
    <n v="101"/>
    <n v="21417"/>
    <n v="20967"/>
    <n v="186"/>
    <n v="0.13493953401503478"/>
    <n v="2890"/>
  </r>
  <r>
    <x v="5"/>
    <n v="2072"/>
    <n v="532"/>
    <n v="71"/>
    <n v="37296"/>
    <n v="36467"/>
    <n v="25"/>
    <n v="7.172350922350923E-2"/>
    <n v="2675"/>
  </r>
  <r>
    <x v="5"/>
    <n v="3731"/>
    <n v="115"/>
    <n v="135"/>
    <n v="55965"/>
    <n v="55436"/>
    <n v="103"/>
    <n v="7.1133744304476013E-2"/>
    <n v="3981"/>
  </r>
  <r>
    <x v="5"/>
    <n v="4213"/>
    <n v="253"/>
    <n v="434"/>
    <n v="75834"/>
    <n v="75437"/>
    <n v="272"/>
    <n v="6.461481657304112E-2"/>
    <n v="4900"/>
  </r>
  <r>
    <x v="5"/>
    <n v="3134"/>
    <n v="888"/>
    <n v="444"/>
    <n v="21938"/>
    <n v="21337"/>
    <n v="130"/>
    <n v="0.20357370772176134"/>
    <n v="4466"/>
  </r>
  <r>
    <x v="5"/>
    <n v="3008"/>
    <n v="94"/>
    <n v="37"/>
    <n v="15040"/>
    <n v="14639"/>
    <n v="277"/>
    <n v="0.20871010638297871"/>
    <n v="3139"/>
  </r>
  <r>
    <x v="5"/>
    <n v="305"/>
    <n v="187"/>
    <n v="243"/>
    <n v="4575"/>
    <n v="3704"/>
    <n v="234"/>
    <n v="0.16065573770491803"/>
    <n v="735"/>
  </r>
  <r>
    <x v="5"/>
    <n v="2746"/>
    <n v="156"/>
    <n v="203"/>
    <n v="32952"/>
    <n v="32147"/>
    <n v="147"/>
    <n v="9.422796795338674E-2"/>
    <n v="3105"/>
  </r>
  <r>
    <x v="6"/>
    <n v="2291"/>
    <n v="78"/>
    <n v="485"/>
    <n v="18328"/>
    <n v="18101"/>
    <n v="10"/>
    <n v="0.15571802706241816"/>
    <n v="2854"/>
  </r>
  <r>
    <x v="5"/>
    <n v="3170"/>
    <n v="857"/>
    <n v="379"/>
    <n v="19020"/>
    <n v="18559"/>
    <n v="240"/>
    <n v="0.2316508937960042"/>
    <n v="4406"/>
  </r>
  <r>
    <x v="5"/>
    <n v="2070"/>
    <n v="275"/>
    <n v="386"/>
    <n v="39330"/>
    <n v="38627"/>
    <n v="114"/>
    <n v="6.9438087973557078E-2"/>
    <n v="2731"/>
  </r>
  <r>
    <x v="5"/>
    <n v="80"/>
    <n v="362"/>
    <n v="80"/>
    <n v="1040"/>
    <n v="349"/>
    <n v="117"/>
    <n v="0.50192307692307692"/>
    <n v="522"/>
  </r>
  <r>
    <x v="5"/>
    <n v="4929"/>
    <n v="749"/>
    <n v="452"/>
    <n v="93651"/>
    <n v="92810"/>
    <n v="66"/>
    <n v="6.5455787978772245E-2"/>
    <n v="6130"/>
  </r>
  <r>
    <x v="5"/>
    <n v="1878"/>
    <n v="62"/>
    <n v="179"/>
    <n v="37560"/>
    <n v="36874"/>
    <n v="142"/>
    <n v="5.6416400425985093E-2"/>
    <n v="2119"/>
  </r>
  <r>
    <x v="3"/>
    <n v="3065"/>
    <n v="772"/>
    <n v="142"/>
    <n v="18390"/>
    <n v="17875"/>
    <n v="200"/>
    <n v="0.21636759108210984"/>
    <n v="3979"/>
  </r>
  <r>
    <x v="5"/>
    <n v="3256"/>
    <n v="459"/>
    <n v="266"/>
    <n v="26048"/>
    <n v="25529"/>
    <n v="143"/>
    <n v="0.15283323095823095"/>
    <n v="3981"/>
  </r>
  <r>
    <x v="5"/>
    <n v="4133"/>
    <n v="466"/>
    <n v="327"/>
    <n v="24798"/>
    <n v="24620"/>
    <n v="176"/>
    <n v="0.19864505202032423"/>
    <n v="4926"/>
  </r>
  <r>
    <x v="5"/>
    <n v="1702"/>
    <n v="750"/>
    <n v="179"/>
    <n v="34040"/>
    <n v="33174"/>
    <n v="76"/>
    <n v="7.7291421856639245E-2"/>
    <n v="2631"/>
  </r>
  <r>
    <x v="5"/>
    <n v="4295"/>
    <n v="853"/>
    <n v="325"/>
    <n v="85900"/>
    <n v="85788"/>
    <n v="290"/>
    <n v="6.3713620488940623E-2"/>
    <n v="5473"/>
  </r>
  <r>
    <x v="5"/>
    <n v="3559"/>
    <n v="59"/>
    <n v="289"/>
    <n v="35590"/>
    <n v="35105"/>
    <n v="122"/>
    <n v="0.10977802753582468"/>
    <n v="3907"/>
  </r>
  <r>
    <x v="5"/>
    <n v="4804"/>
    <n v="550"/>
    <n v="270"/>
    <n v="28824"/>
    <n v="28370"/>
    <n v="47"/>
    <n v="0.19511518179295032"/>
    <n v="5624"/>
  </r>
  <r>
    <x v="5"/>
    <n v="754"/>
    <n v="197"/>
    <n v="257"/>
    <n v="6786"/>
    <n v="6221"/>
    <n v="212"/>
    <n v="0.17801355732390214"/>
    <n v="1208"/>
  </r>
  <r>
    <x v="5"/>
    <n v="985"/>
    <n v="932"/>
    <n v="287"/>
    <n v="6895"/>
    <n v="6757"/>
    <n v="64"/>
    <n v="0.31965192168237855"/>
    <n v="2204"/>
  </r>
  <r>
    <x v="5"/>
    <n v="2283"/>
    <n v="210"/>
    <n v="130"/>
    <n v="22830"/>
    <n v="22617"/>
    <n v="143"/>
    <n v="0.11489268506351293"/>
    <n v="2623"/>
  </r>
  <r>
    <x v="5"/>
    <n v="3352"/>
    <n v="941"/>
    <n v="482"/>
    <n v="43576"/>
    <n v="43338"/>
    <n v="240"/>
    <n v="0.1095786671562328"/>
    <n v="4775"/>
  </r>
  <r>
    <x v="5"/>
    <n v="4775"/>
    <n v="173"/>
    <n v="206"/>
    <n v="47750"/>
    <n v="47544"/>
    <n v="187"/>
    <n v="0.10793717277486911"/>
    <n v="5154"/>
  </r>
  <r>
    <x v="5"/>
    <n v="1762"/>
    <n v="405"/>
    <n v="423"/>
    <n v="22906"/>
    <n v="21925"/>
    <n v="25"/>
    <n v="0.11307081114118571"/>
    <n v="2590"/>
  </r>
  <r>
    <x v="5"/>
    <n v="2120"/>
    <n v="158"/>
    <n v="488"/>
    <n v="12720"/>
    <n v="12085"/>
    <n v="17"/>
    <n v="0.21745283018867925"/>
    <n v="2766"/>
  </r>
  <r>
    <x v="5"/>
    <n v="1082"/>
    <n v="209"/>
    <n v="484"/>
    <n v="19476"/>
    <n v="18654"/>
    <n v="20"/>
    <n v="9.1137810638734856E-2"/>
    <n v="1775"/>
  </r>
  <r>
    <x v="5"/>
    <n v="4671"/>
    <n v="876"/>
    <n v="366"/>
    <n v="51381"/>
    <n v="50565"/>
    <n v="245"/>
    <n v="0.11508145034156594"/>
    <n v="5913"/>
  </r>
  <r>
    <x v="5"/>
    <n v="3430"/>
    <n v="566"/>
    <n v="164"/>
    <n v="48020"/>
    <n v="47305"/>
    <n v="120"/>
    <n v="8.6630570595585168E-2"/>
    <n v="4160"/>
  </r>
  <r>
    <x v="5"/>
    <n v="4501"/>
    <n v="375"/>
    <n v="323"/>
    <n v="22505"/>
    <n v="21836"/>
    <n v="132"/>
    <n v="0.23101532992668297"/>
    <n v="5199"/>
  </r>
  <r>
    <x v="3"/>
    <n v="4934"/>
    <n v="971"/>
    <n v="156"/>
    <n v="39472"/>
    <n v="39025"/>
    <n v="169"/>
    <n v="0.15355188488042157"/>
    <n v="6061"/>
  </r>
  <r>
    <x v="5"/>
    <n v="3239"/>
    <n v="43"/>
    <n v="211"/>
    <n v="22673"/>
    <n v="22171"/>
    <n v="230"/>
    <n v="0.15405989502933004"/>
    <n v="3493"/>
  </r>
  <r>
    <x v="5"/>
    <n v="1076"/>
    <n v="313"/>
    <n v="306"/>
    <n v="11836"/>
    <n v="11596"/>
    <n v="104"/>
    <n v="0.14320716458262928"/>
    <n v="1695"/>
  </r>
  <r>
    <x v="5"/>
    <n v="4771"/>
    <n v="818"/>
    <n v="56"/>
    <n v="57252"/>
    <n v="56378"/>
    <n v="150"/>
    <n v="9.859917557465242E-2"/>
    <n v="5645"/>
  </r>
  <r>
    <x v="5"/>
    <n v="2418"/>
    <n v="754"/>
    <n v="54"/>
    <n v="43524"/>
    <n v="42743"/>
    <n v="182"/>
    <n v="7.412002573292896E-2"/>
    <n v="3226"/>
  </r>
  <r>
    <x v="5"/>
    <n v="3809"/>
    <n v="273"/>
    <n v="200"/>
    <n v="34281"/>
    <n v="33534"/>
    <n v="83"/>
    <n v="0.12490884163239112"/>
    <n v="4282"/>
  </r>
  <r>
    <x v="5"/>
    <n v="3577"/>
    <n v="596"/>
    <n v="493"/>
    <n v="67963"/>
    <n v="67839"/>
    <n v="53"/>
    <n v="6.8655003457763777E-2"/>
    <n v="4666"/>
  </r>
  <r>
    <x v="5"/>
    <n v="1018"/>
    <n v="447"/>
    <n v="332"/>
    <n v="18324"/>
    <n v="18164"/>
    <n v="38"/>
    <n v="9.8068107400130972E-2"/>
    <n v="1797"/>
  </r>
  <r>
    <x v="5"/>
    <n v="3073"/>
    <n v="553"/>
    <n v="174"/>
    <n v="52241"/>
    <n v="51605"/>
    <n v="246"/>
    <n v="7.2739802071170159E-2"/>
    <n v="3800"/>
  </r>
  <r>
    <x v="5"/>
    <n v="1330"/>
    <n v="925"/>
    <n v="35"/>
    <n v="15960"/>
    <n v="15379"/>
    <n v="229"/>
    <n v="0.14348370927318296"/>
    <n v="2290"/>
  </r>
  <r>
    <x v="5"/>
    <n v="3828"/>
    <n v="148"/>
    <n v="253"/>
    <n v="30624"/>
    <n v="30229"/>
    <n v="235"/>
    <n v="0.13809430512016718"/>
    <n v="4229"/>
  </r>
  <r>
    <x v="5"/>
    <n v="142"/>
    <n v="784"/>
    <n v="183"/>
    <n v="1704"/>
    <n v="995"/>
    <n v="154"/>
    <n v="0.6508215962441315"/>
    <n v="1109"/>
  </r>
  <r>
    <x v="5"/>
    <n v="3798"/>
    <n v="31"/>
    <n v="279"/>
    <n v="75960"/>
    <n v="75813"/>
    <n v="266"/>
    <n v="5.4081095313322801E-2"/>
    <n v="4108"/>
  </r>
  <r>
    <x v="5"/>
    <n v="3099"/>
    <n v="694"/>
    <n v="171"/>
    <n v="43386"/>
    <n v="42921"/>
    <n v="52"/>
    <n v="9.1365878393951966E-2"/>
    <n v="3964"/>
  </r>
  <r>
    <x v="5"/>
    <n v="129"/>
    <n v="643"/>
    <n v="136"/>
    <n v="1290"/>
    <n v="839"/>
    <n v="238"/>
    <n v="0.70387596899224802"/>
    <n v="908"/>
  </r>
  <r>
    <x v="5"/>
    <n v="3796"/>
    <n v="667"/>
    <n v="395"/>
    <n v="64532"/>
    <n v="63550"/>
    <n v="292"/>
    <n v="7.5280481001673588E-2"/>
    <n v="4858"/>
  </r>
  <r>
    <x v="5"/>
    <n v="3711"/>
    <n v="352"/>
    <n v="290"/>
    <n v="48243"/>
    <n v="47579"/>
    <n v="11"/>
    <n v="9.023070704558174E-2"/>
    <n v="4353"/>
  </r>
  <r>
    <x v="5"/>
    <n v="606"/>
    <n v="789"/>
    <n v="470"/>
    <n v="7878"/>
    <n v="7389"/>
    <n v="239"/>
    <n v="0.23673521198273673"/>
    <n v="1865"/>
  </r>
  <r>
    <x v="5"/>
    <n v="4689"/>
    <n v="134"/>
    <n v="403"/>
    <n v="51579"/>
    <n v="50924"/>
    <n v="173"/>
    <n v="0.10132030477519921"/>
    <n v="5226"/>
  </r>
  <r>
    <x v="5"/>
    <n v="360"/>
    <n v="590"/>
    <n v="393"/>
    <n v="4680"/>
    <n v="4322"/>
    <n v="208"/>
    <n v="0.28696581196581195"/>
    <n v="1343"/>
  </r>
  <r>
    <x v="5"/>
    <n v="3215"/>
    <n v="960"/>
    <n v="202"/>
    <n v="32150"/>
    <n v="31404"/>
    <n v="251"/>
    <n v="0.13614307931570763"/>
    <n v="4377"/>
  </r>
  <r>
    <x v="5"/>
    <n v="4523"/>
    <n v="61"/>
    <n v="157"/>
    <n v="49753"/>
    <n v="49329"/>
    <n v="71"/>
    <n v="9.5290736237010829E-2"/>
    <n v="4741"/>
  </r>
  <r>
    <x v="5"/>
    <n v="4292"/>
    <n v="51"/>
    <n v="392"/>
    <n v="55796"/>
    <n v="54826"/>
    <n v="264"/>
    <n v="8.4862714173059003E-2"/>
    <n v="4735"/>
  </r>
  <r>
    <x v="5"/>
    <n v="1644"/>
    <n v="546"/>
    <n v="150"/>
    <n v="27948"/>
    <n v="27184"/>
    <n v="300"/>
    <n v="8.3726921425504502E-2"/>
    <n v="2340"/>
  </r>
  <r>
    <x v="5"/>
    <n v="2728"/>
    <n v="533"/>
    <n v="215"/>
    <n v="40920"/>
    <n v="40816"/>
    <n v="137"/>
    <n v="8.4946236559139784E-2"/>
    <n v="3476"/>
  </r>
  <r>
    <x v="5"/>
    <n v="3360"/>
    <n v="525"/>
    <n v="500"/>
    <n v="60480"/>
    <n v="59610"/>
    <n v="192"/>
    <n v="7.2503306878306875E-2"/>
    <n v="4385"/>
  </r>
  <r>
    <x v="5"/>
    <n v="1963"/>
    <n v="213"/>
    <n v="19"/>
    <n v="39260"/>
    <n v="38771"/>
    <n v="145"/>
    <n v="5.5909322465613857E-2"/>
    <n v="2195"/>
  </r>
  <r>
    <x v="5"/>
    <n v="4285"/>
    <n v="886"/>
    <n v="376"/>
    <n v="55705"/>
    <n v="55556"/>
    <n v="51"/>
    <n v="9.9578134817341346E-2"/>
    <n v="5547"/>
  </r>
  <r>
    <x v="5"/>
    <n v="1176"/>
    <n v="464"/>
    <n v="394"/>
    <n v="14112"/>
    <n v="13588"/>
    <n v="272"/>
    <n v="0.1441326530612245"/>
    <n v="2034"/>
  </r>
  <r>
    <x v="5"/>
    <n v="4858"/>
    <n v="317"/>
    <n v="129"/>
    <n v="53438"/>
    <n v="52687"/>
    <n v="223"/>
    <n v="9.9255211647142488E-2"/>
    <n v="5304"/>
  </r>
  <r>
    <x v="5"/>
    <n v="4350"/>
    <n v="771"/>
    <n v="7"/>
    <n v="60900"/>
    <n v="60592"/>
    <n v="195"/>
    <n v="8.4203612479474554E-2"/>
    <n v="5128"/>
  </r>
  <r>
    <x v="1"/>
    <n v="914"/>
    <n v="464"/>
    <n v="246"/>
    <n v="11882"/>
    <n v="11500"/>
    <n v="282"/>
    <n v="0.13667732704931829"/>
    <n v="1624"/>
  </r>
  <r>
    <x v="5"/>
    <n v="1813"/>
    <n v="623"/>
    <n v="72"/>
    <n v="19943"/>
    <n v="18959"/>
    <n v="85"/>
    <n v="0.12575841147269717"/>
    <n v="2508"/>
  </r>
  <r>
    <x v="5"/>
    <n v="4782"/>
    <n v="721"/>
    <n v="82"/>
    <n v="86076"/>
    <n v="85339"/>
    <n v="19"/>
    <n v="6.4884520656164318E-2"/>
    <n v="5585"/>
  </r>
  <r>
    <x v="5"/>
    <n v="1048"/>
    <n v="374"/>
    <n v="450"/>
    <n v="9432"/>
    <n v="8882"/>
    <n v="158"/>
    <n v="0.19847328244274809"/>
    <n v="1872"/>
  </r>
  <r>
    <x v="5"/>
    <n v="2509"/>
    <n v="324"/>
    <n v="171"/>
    <n v="35126"/>
    <n v="34685"/>
    <n v="277"/>
    <n v="8.5520696919660646E-2"/>
    <n v="3004"/>
  </r>
  <r>
    <x v="5"/>
    <n v="3718"/>
    <n v="385"/>
    <n v="310"/>
    <n v="70642"/>
    <n v="69749"/>
    <n v="233"/>
    <n v="6.246991874522239E-2"/>
    <n v="4413"/>
  </r>
  <r>
    <x v="5"/>
    <n v="802"/>
    <n v="262"/>
    <n v="244"/>
    <n v="14436"/>
    <n v="14280"/>
    <n v="49"/>
    <n v="9.0606816292601824E-2"/>
    <n v="1308"/>
  </r>
  <r>
    <x v="5"/>
    <n v="1871"/>
    <n v="252"/>
    <n v="335"/>
    <n v="29936"/>
    <n v="29576"/>
    <n v="288"/>
    <n v="8.2108498129342594E-2"/>
    <n v="2458"/>
  </r>
  <r>
    <x v="5"/>
    <n v="3773"/>
    <n v="299"/>
    <n v="38"/>
    <n v="71687"/>
    <n v="71447"/>
    <n v="286"/>
    <n v="5.7332570758993957E-2"/>
    <n v="4110"/>
  </r>
  <r>
    <x v="5"/>
    <n v="2234"/>
    <n v="653"/>
    <n v="432"/>
    <n v="11170"/>
    <n v="10569"/>
    <n v="198"/>
    <n v="0.29713518352730528"/>
    <n v="3319"/>
  </r>
  <r>
    <x v="6"/>
    <n v="3820"/>
    <n v="697"/>
    <n v="268"/>
    <n v="45840"/>
    <n v="45631"/>
    <n v="171"/>
    <n v="0.1043848167539267"/>
    <n v="4785"/>
  </r>
  <r>
    <x v="5"/>
    <n v="941"/>
    <n v="121"/>
    <n v="458"/>
    <n v="14115"/>
    <n v="13838"/>
    <n v="87"/>
    <n v="0.10768685795253277"/>
    <n v="1520"/>
  </r>
  <r>
    <x v="6"/>
    <n v="4274"/>
    <n v="340"/>
    <n v="281"/>
    <n v="34192"/>
    <n v="33446"/>
    <n v="129"/>
    <n v="0.14316214319138981"/>
    <n v="4895"/>
  </r>
  <r>
    <x v="5"/>
    <n v="2949"/>
    <n v="476"/>
    <n v="403"/>
    <n v="44235"/>
    <n v="43705"/>
    <n v="135"/>
    <n v="8.6537809426924378E-2"/>
    <n v="3828"/>
  </r>
  <r>
    <x v="3"/>
    <n v="3160"/>
    <n v="204"/>
    <n v="297"/>
    <n v="44240"/>
    <n v="43666"/>
    <n v="49"/>
    <n v="8.2753164556962022E-2"/>
    <n v="3661"/>
  </r>
  <r>
    <x v="5"/>
    <n v="257"/>
    <n v="966"/>
    <n v="398"/>
    <n v="3341"/>
    <n v="2753"/>
    <n v="287"/>
    <n v="0.48518407662376534"/>
    <n v="1621"/>
  </r>
  <r>
    <x v="5"/>
    <n v="2120"/>
    <n v="38"/>
    <n v="212"/>
    <n v="12720"/>
    <n v="12564"/>
    <n v="21"/>
    <n v="0.18632075471698112"/>
    <n v="2370"/>
  </r>
  <r>
    <x v="5"/>
    <n v="3874"/>
    <n v="884"/>
    <n v="19"/>
    <n v="38740"/>
    <n v="38552"/>
    <n v="219"/>
    <n v="0.123309241094476"/>
    <n v="4777"/>
  </r>
  <r>
    <x v="5"/>
    <n v="2696"/>
    <n v="628"/>
    <n v="443"/>
    <n v="45832"/>
    <n v="45632"/>
    <n v="248"/>
    <n v="8.21914819340199E-2"/>
    <n v="3767"/>
  </r>
  <r>
    <x v="5"/>
    <n v="521"/>
    <n v="746"/>
    <n v="315"/>
    <n v="4168"/>
    <n v="3399"/>
    <n v="282"/>
    <n v="0.37955854126679461"/>
    <n v="1582"/>
  </r>
  <r>
    <x v="5"/>
    <n v="4872"/>
    <n v="925"/>
    <n v="176"/>
    <n v="82824"/>
    <n v="82543"/>
    <n v="89"/>
    <n v="7.2116777745580993E-2"/>
    <n v="5973"/>
  </r>
  <r>
    <x v="5"/>
    <n v="1509"/>
    <n v="88"/>
    <n v="163"/>
    <n v="30180"/>
    <n v="29689"/>
    <n v="119"/>
    <n v="5.8316766070245198E-2"/>
    <n v="1760"/>
  </r>
  <r>
    <x v="5"/>
    <n v="4606"/>
    <n v="931"/>
    <n v="230"/>
    <n v="92120"/>
    <n v="91440"/>
    <n v="56"/>
    <n v="6.2603126356925748E-2"/>
    <n v="5767"/>
  </r>
  <r>
    <x v="5"/>
    <n v="1869"/>
    <n v="453"/>
    <n v="490"/>
    <n v="14952"/>
    <n v="14309"/>
    <n v="275"/>
    <n v="0.18806848582129482"/>
    <n v="2812"/>
  </r>
  <r>
    <x v="5"/>
    <n v="1188"/>
    <n v="470"/>
    <n v="174"/>
    <n v="7128"/>
    <n v="6145"/>
    <n v="270"/>
    <n v="0.25701459034792368"/>
    <n v="1832"/>
  </r>
  <r>
    <x v="5"/>
    <n v="84"/>
    <n v="897"/>
    <n v="85"/>
    <n v="588"/>
    <n v="8"/>
    <n v="12"/>
    <n v="1.8129251700680271"/>
    <n v="1066"/>
  </r>
  <r>
    <x v="5"/>
    <n v="4453"/>
    <n v="111"/>
    <n v="420"/>
    <n v="31171"/>
    <n v="30565"/>
    <n v="23"/>
    <n v="0.15989220750056141"/>
    <n v="4984"/>
  </r>
  <r>
    <x v="6"/>
    <n v="1814"/>
    <n v="653"/>
    <n v="363"/>
    <n v="25396"/>
    <n v="25286"/>
    <n v="39"/>
    <n v="0.11143487163332809"/>
    <n v="2830"/>
  </r>
  <r>
    <x v="5"/>
    <n v="3338"/>
    <n v="277"/>
    <n v="118"/>
    <n v="60084"/>
    <n v="59842"/>
    <n v="252"/>
    <n v="6.2129685107516146E-2"/>
    <n v="3733"/>
  </r>
  <r>
    <x v="5"/>
    <n v="602"/>
    <n v="594"/>
    <n v="156"/>
    <n v="4214"/>
    <n v="3363"/>
    <n v="164"/>
    <n v="0.32083531086853345"/>
    <n v="1352"/>
  </r>
  <r>
    <x v="5"/>
    <n v="4672"/>
    <n v="325"/>
    <n v="32"/>
    <n v="88768"/>
    <n v="87833"/>
    <n v="118"/>
    <n v="5.6653298485940883E-2"/>
    <n v="5029"/>
  </r>
  <r>
    <x v="5"/>
    <n v="1741"/>
    <n v="164"/>
    <n v="318"/>
    <n v="8705"/>
    <n v="8272"/>
    <n v="121"/>
    <n v="0.25537047673750718"/>
    <n v="2223"/>
  </r>
  <r>
    <x v="5"/>
    <n v="246"/>
    <n v="149"/>
    <n v="130"/>
    <n v="4674"/>
    <n v="4390"/>
    <n v="217"/>
    <n v="0.11232349165596919"/>
    <n v="525"/>
  </r>
  <r>
    <x v="5"/>
    <n v="4808"/>
    <n v="772"/>
    <n v="320"/>
    <n v="72120"/>
    <n v="71696"/>
    <n v="195"/>
    <n v="8.1808097615085965E-2"/>
    <n v="5900"/>
  </r>
  <r>
    <x v="5"/>
    <n v="4799"/>
    <n v="694"/>
    <n v="289"/>
    <n v="43191"/>
    <n v="42228"/>
    <n v="118"/>
    <n v="0.13387048227640017"/>
    <n v="5782"/>
  </r>
  <r>
    <x v="5"/>
    <n v="3663"/>
    <n v="17"/>
    <n v="295"/>
    <n v="51282"/>
    <n v="50567"/>
    <n v="84"/>
    <n v="7.7512577512577507E-2"/>
    <n v="3975"/>
  </r>
  <r>
    <x v="5"/>
    <n v="1430"/>
    <n v="376"/>
    <n v="33"/>
    <n v="21450"/>
    <n v="20509"/>
    <n v="251"/>
    <n v="8.5734265734265735E-2"/>
    <n v="1839"/>
  </r>
  <r>
    <x v="5"/>
    <n v="249"/>
    <n v="592"/>
    <n v="230"/>
    <n v="1494"/>
    <n v="1044"/>
    <n v="201"/>
    <n v="0.7168674698795181"/>
    <n v="1071"/>
  </r>
  <r>
    <x v="5"/>
    <n v="2382"/>
    <n v="265"/>
    <n v="134"/>
    <n v="38112"/>
    <n v="37437"/>
    <n v="249"/>
    <n v="7.2969143576826198E-2"/>
    <n v="2781"/>
  </r>
  <r>
    <x v="5"/>
    <n v="1272"/>
    <n v="465"/>
    <n v="99"/>
    <n v="24168"/>
    <n v="23719"/>
    <n v="42"/>
    <n v="7.5968222442899705E-2"/>
    <n v="1836"/>
  </r>
  <r>
    <x v="5"/>
    <n v="3196"/>
    <n v="941"/>
    <n v="376"/>
    <n v="35156"/>
    <n v="34444"/>
    <n v="241"/>
    <n v="0.1283706906360223"/>
    <n v="4513"/>
  </r>
  <r>
    <x v="3"/>
    <n v="1257"/>
    <n v="19"/>
    <n v="351"/>
    <n v="12570"/>
    <n v="11660"/>
    <n v="194"/>
    <n v="0.12943516308671441"/>
    <n v="1627"/>
  </r>
  <r>
    <x v="5"/>
    <n v="3770"/>
    <n v="917"/>
    <n v="129"/>
    <n v="71630"/>
    <n v="71322"/>
    <n v="76"/>
    <n v="6.7234398994834563E-2"/>
    <n v="4816"/>
  </r>
  <r>
    <x v="5"/>
    <n v="4725"/>
    <n v="400"/>
    <n v="362"/>
    <n v="75600"/>
    <n v="74927"/>
    <n v="43"/>
    <n v="7.2579365079365077E-2"/>
    <n v="5487"/>
  </r>
  <r>
    <x v="5"/>
    <n v="4188"/>
    <n v="942"/>
    <n v="118"/>
    <n v="20940"/>
    <n v="20471"/>
    <n v="102"/>
    <n v="0.25062082139446035"/>
    <n v="5248"/>
  </r>
  <r>
    <x v="1"/>
    <n v="929"/>
    <n v="192"/>
    <n v="322"/>
    <n v="16722"/>
    <n v="15996"/>
    <n v="145"/>
    <n v="8.6293505561535699E-2"/>
    <n v="1443"/>
  </r>
  <r>
    <x v="5"/>
    <n v="4321"/>
    <n v="874"/>
    <n v="172"/>
    <n v="30247"/>
    <n v="29254"/>
    <n v="122"/>
    <n v="0.17743908486792079"/>
    <n v="5367"/>
  </r>
  <r>
    <x v="5"/>
    <n v="4767"/>
    <n v="190"/>
    <n v="340"/>
    <n v="28602"/>
    <n v="28044"/>
    <n v="210"/>
    <n v="0.18519683938186141"/>
    <n v="5297"/>
  </r>
  <r>
    <x v="5"/>
    <n v="3592"/>
    <n v="911"/>
    <n v="375"/>
    <n v="50288"/>
    <n v="49490"/>
    <n v="32"/>
    <n v="9.7001272669424113E-2"/>
    <n v="4878"/>
  </r>
  <r>
    <x v="5"/>
    <n v="4661"/>
    <n v="935"/>
    <n v="433"/>
    <n v="23305"/>
    <n v="22583"/>
    <n v="63"/>
    <n v="0.25869984981763572"/>
    <n v="6029"/>
  </r>
  <r>
    <x v="5"/>
    <n v="4134"/>
    <n v="824"/>
    <n v="99"/>
    <n v="41340"/>
    <n v="41050"/>
    <n v="177"/>
    <n v="0.12232704402515723"/>
    <n v="5057"/>
  </r>
  <r>
    <x v="5"/>
    <n v="400"/>
    <n v="680"/>
    <n v="434"/>
    <n v="6400"/>
    <n v="5472"/>
    <n v="160"/>
    <n v="0.23656250000000001"/>
    <n v="1514"/>
  </r>
  <r>
    <x v="2"/>
    <n v="3960"/>
    <n v="266"/>
    <n v="8"/>
    <n v="35640"/>
    <n v="34850"/>
    <n v="208"/>
    <n v="0.11879910213243547"/>
    <n v="4234"/>
  </r>
  <r>
    <x v="5"/>
    <n v="886"/>
    <n v="126"/>
    <n v="153"/>
    <n v="4430"/>
    <n v="4037"/>
    <n v="212"/>
    <n v="0.26297968397291194"/>
    <n v="1165"/>
  </r>
  <r>
    <x v="5"/>
    <n v="827"/>
    <n v="77"/>
    <n v="402"/>
    <n v="14886"/>
    <n v="14129"/>
    <n v="254"/>
    <n v="8.7733440816874911E-2"/>
    <n v="1306"/>
  </r>
  <r>
    <x v="5"/>
    <n v="3813"/>
    <n v="935"/>
    <n v="274"/>
    <n v="68634"/>
    <n v="68488"/>
    <n v="251"/>
    <n v="7.3170731707317069E-2"/>
    <n v="5022"/>
  </r>
  <r>
    <x v="5"/>
    <n v="1377"/>
    <n v="796"/>
    <n v="387"/>
    <n v="22032"/>
    <n v="21869"/>
    <n v="189"/>
    <n v="0.11619462599854757"/>
    <n v="2560"/>
  </r>
  <r>
    <x v="5"/>
    <n v="2089"/>
    <n v="476"/>
    <n v="69"/>
    <n v="16712"/>
    <n v="16309"/>
    <n v="64"/>
    <n v="0.15761129727142173"/>
    <n v="2634"/>
  </r>
  <r>
    <x v="5"/>
    <n v="3791"/>
    <n v="593"/>
    <n v="228"/>
    <n v="53074"/>
    <n v="52613"/>
    <n v="205"/>
    <n v="8.6897539284772202E-2"/>
    <n v="4612"/>
  </r>
  <r>
    <x v="5"/>
    <n v="2692"/>
    <n v="115"/>
    <n v="64"/>
    <n v="21536"/>
    <n v="21120"/>
    <n v="224"/>
    <n v="0.13331166419019316"/>
    <n v="2871"/>
  </r>
  <r>
    <x v="5"/>
    <n v="3767"/>
    <n v="514"/>
    <n v="238"/>
    <n v="37670"/>
    <n v="36807"/>
    <n v="226"/>
    <n v="0.11996283514733209"/>
    <n v="4519"/>
  </r>
  <r>
    <x v="5"/>
    <n v="2143"/>
    <n v="12"/>
    <n v="204"/>
    <n v="40717"/>
    <n v="40125"/>
    <n v="248"/>
    <n v="5.7936488444630008E-2"/>
    <n v="2359"/>
  </r>
  <r>
    <x v="2"/>
    <n v="3090"/>
    <n v="697"/>
    <n v="164"/>
    <n v="49440"/>
    <n v="48524"/>
    <n v="25"/>
    <n v="7.9915048543689318E-2"/>
    <n v="3951"/>
  </r>
  <r>
    <x v="5"/>
    <n v="3601"/>
    <n v="695"/>
    <n v="75"/>
    <n v="21606"/>
    <n v="21454"/>
    <n v="172"/>
    <n v="0.2023049153013052"/>
    <n v="4371"/>
  </r>
  <r>
    <x v="5"/>
    <n v="562"/>
    <n v="158"/>
    <n v="149"/>
    <n v="3372"/>
    <n v="2940"/>
    <n v="93"/>
    <n v="0.25771055753262156"/>
    <n v="869"/>
  </r>
  <r>
    <x v="2"/>
    <n v="4332"/>
    <n v="771"/>
    <n v="219"/>
    <n v="60648"/>
    <n v="60397"/>
    <n v="10"/>
    <n v="8.7752275425405618E-2"/>
    <n v="5322"/>
  </r>
  <r>
    <x v="5"/>
    <n v="4853"/>
    <n v="837"/>
    <n v="340"/>
    <n v="72795"/>
    <n v="72237"/>
    <n v="170"/>
    <n v="8.2835359571399134E-2"/>
    <n v="6030"/>
  </r>
  <r>
    <x v="5"/>
    <n v="1206"/>
    <n v="238"/>
    <n v="36"/>
    <n v="9648"/>
    <n v="9417"/>
    <n v="237"/>
    <n v="0.15339966832504145"/>
    <n v="1480"/>
  </r>
  <r>
    <x v="5"/>
    <n v="2603"/>
    <n v="690"/>
    <n v="205"/>
    <n v="13015"/>
    <n v="12130"/>
    <n v="20"/>
    <n v="0.26876680752977333"/>
    <n v="3498"/>
  </r>
  <r>
    <x v="5"/>
    <n v="59"/>
    <n v="163"/>
    <n v="93"/>
    <n v="590"/>
    <n v="475"/>
    <n v="293"/>
    <n v="0.53389830508474578"/>
    <n v="315"/>
  </r>
  <r>
    <x v="5"/>
    <n v="1877"/>
    <n v="745"/>
    <n v="225"/>
    <n v="11262"/>
    <n v="10967"/>
    <n v="41"/>
    <n v="0.25279701651571657"/>
    <n v="2847"/>
  </r>
  <r>
    <x v="5"/>
    <n v="4182"/>
    <n v="640"/>
    <n v="240"/>
    <n v="50184"/>
    <n v="49351"/>
    <n v="10"/>
    <n v="0.10086880280567512"/>
    <n v="5062"/>
  </r>
  <r>
    <x v="5"/>
    <n v="4187"/>
    <n v="66"/>
    <n v="31"/>
    <n v="66992"/>
    <n v="66614"/>
    <n v="62"/>
    <n v="6.3947934081681396E-2"/>
    <n v="4284"/>
  </r>
  <r>
    <x v="5"/>
    <n v="4579"/>
    <n v="125"/>
    <n v="300"/>
    <n v="59527"/>
    <n v="59400"/>
    <n v="269"/>
    <n v="8.4062694239588759E-2"/>
    <n v="5004"/>
  </r>
  <r>
    <x v="5"/>
    <n v="4561"/>
    <n v="51"/>
    <n v="441"/>
    <n v="22805"/>
    <n v="21890"/>
    <n v="45"/>
    <n v="0.22157421618066214"/>
    <n v="5053"/>
  </r>
  <r>
    <x v="5"/>
    <n v="3774"/>
    <n v="239"/>
    <n v="39"/>
    <n v="60384"/>
    <n v="59490"/>
    <n v="241"/>
    <n v="6.7103868574456813E-2"/>
    <n v="4052"/>
  </r>
  <r>
    <x v="5"/>
    <n v="3575"/>
    <n v="749"/>
    <n v="111"/>
    <n v="21450"/>
    <n v="20785"/>
    <n v="195"/>
    <n v="0.20675990675990677"/>
    <n v="4435"/>
  </r>
  <r>
    <x v="5"/>
    <n v="4941"/>
    <n v="414"/>
    <n v="266"/>
    <n v="39528"/>
    <n v="39154"/>
    <n v="217"/>
    <n v="0.14220299534507186"/>
    <n v="5621"/>
  </r>
  <r>
    <x v="5"/>
    <n v="3641"/>
    <n v="226"/>
    <n v="46"/>
    <n v="40051"/>
    <n v="39319"/>
    <n v="296"/>
    <n v="9.7700431949264685E-2"/>
    <n v="3913"/>
  </r>
  <r>
    <x v="5"/>
    <n v="3535"/>
    <n v="494"/>
    <n v="152"/>
    <n v="53025"/>
    <n v="52791"/>
    <n v="44"/>
    <n v="7.8849599245638849E-2"/>
    <n v="4181"/>
  </r>
  <r>
    <x v="5"/>
    <n v="1741"/>
    <n v="831"/>
    <n v="345"/>
    <n v="17410"/>
    <n v="16844"/>
    <n v="58"/>
    <n v="0.16754738655944859"/>
    <n v="2917"/>
  </r>
  <r>
    <x v="5"/>
    <n v="1556"/>
    <n v="195"/>
    <n v="131"/>
    <n v="9336"/>
    <n v="8875"/>
    <n v="137"/>
    <n v="0.2015852613538989"/>
    <n v="1882"/>
  </r>
  <r>
    <x v="5"/>
    <n v="4236"/>
    <n v="711"/>
    <n v="298"/>
    <n v="21180"/>
    <n v="20516"/>
    <n v="238"/>
    <n v="0.24763928234183191"/>
    <n v="5245"/>
  </r>
  <r>
    <x v="5"/>
    <n v="4516"/>
    <n v="836"/>
    <n v="169"/>
    <n v="49676"/>
    <n v="49257"/>
    <n v="282"/>
    <n v="0.11114018842096787"/>
    <n v="5521"/>
  </r>
  <r>
    <x v="5"/>
    <n v="4905"/>
    <n v="845"/>
    <n v="129"/>
    <n v="98100"/>
    <n v="97772"/>
    <n v="279"/>
    <n v="5.9928644240570844E-2"/>
    <n v="5879"/>
  </r>
  <r>
    <x v="1"/>
    <n v="4275"/>
    <n v="680"/>
    <n v="385"/>
    <n v="64125"/>
    <n v="63650"/>
    <n v="104"/>
    <n v="8.3274853801169585E-2"/>
    <n v="5340"/>
  </r>
  <r>
    <x v="5"/>
    <n v="3166"/>
    <n v="90"/>
    <n v="341"/>
    <n v="56988"/>
    <n v="56125"/>
    <n v="135"/>
    <n v="6.3118551273952411E-2"/>
    <n v="3597"/>
  </r>
  <r>
    <x v="5"/>
    <n v="1488"/>
    <n v="417"/>
    <n v="168"/>
    <n v="19344"/>
    <n v="18395"/>
    <n v="30"/>
    <n v="0.1071650124069479"/>
    <n v="2073"/>
  </r>
  <r>
    <x v="5"/>
    <n v="3367"/>
    <n v="302"/>
    <n v="57"/>
    <n v="63973"/>
    <n v="63789"/>
    <n v="157"/>
    <n v="5.8243321401216137E-2"/>
    <n v="3726"/>
  </r>
  <r>
    <x v="5"/>
    <n v="571"/>
    <n v="190"/>
    <n v="352"/>
    <n v="9707"/>
    <n v="9418"/>
    <n v="231"/>
    <n v="0.11465952405480581"/>
    <n v="1113"/>
  </r>
  <r>
    <x v="5"/>
    <n v="4021"/>
    <n v="794"/>
    <n v="77"/>
    <n v="36189"/>
    <n v="35505"/>
    <n v="174"/>
    <n v="0.13517919809886983"/>
    <n v="4892"/>
  </r>
  <r>
    <x v="5"/>
    <n v="3389"/>
    <n v="344"/>
    <n v="229"/>
    <n v="20334"/>
    <n v="19443"/>
    <n v="228"/>
    <n v="0.19484607062063539"/>
    <n v="3962"/>
  </r>
  <r>
    <x v="5"/>
    <n v="1164"/>
    <n v="616"/>
    <n v="324"/>
    <n v="6984"/>
    <n v="6636"/>
    <n v="82"/>
    <n v="0.30126002290950743"/>
    <n v="2104"/>
  </r>
  <r>
    <x v="5"/>
    <n v="4780"/>
    <n v="691"/>
    <n v="380"/>
    <n v="86040"/>
    <n v="85743"/>
    <n v="262"/>
    <n v="6.800325430032543E-2"/>
    <n v="5851"/>
  </r>
  <r>
    <x v="5"/>
    <n v="2751"/>
    <n v="33"/>
    <n v="430"/>
    <n v="44016"/>
    <n v="43415"/>
    <n v="129"/>
    <n v="7.3018902217375503E-2"/>
    <n v="3214"/>
  </r>
  <r>
    <x v="5"/>
    <n v="2107"/>
    <n v="550"/>
    <n v="349"/>
    <n v="35819"/>
    <n v="35340"/>
    <n v="191"/>
    <n v="8.3921940869371006E-2"/>
    <n v="3006"/>
  </r>
  <r>
    <x v="5"/>
    <n v="4663"/>
    <n v="145"/>
    <n v="225"/>
    <n v="69945"/>
    <n v="69596"/>
    <n v="35"/>
    <n v="7.1956537279290869E-2"/>
    <n v="5033"/>
  </r>
  <r>
    <x v="3"/>
    <n v="880"/>
    <n v="297"/>
    <n v="345"/>
    <n v="12320"/>
    <n v="11978"/>
    <n v="238"/>
    <n v="0.12353896103896105"/>
    <n v="1522"/>
  </r>
  <r>
    <x v="5"/>
    <n v="2634"/>
    <n v="726"/>
    <n v="241"/>
    <n v="28974"/>
    <n v="28102"/>
    <n v="277"/>
    <n v="0.12428384068475185"/>
    <n v="3601"/>
  </r>
  <r>
    <x v="5"/>
    <n v="4731"/>
    <n v="173"/>
    <n v="276"/>
    <n v="28386"/>
    <n v="28185"/>
    <n v="89"/>
    <n v="0.18248432325794406"/>
    <n v="5180"/>
  </r>
  <r>
    <x v="1"/>
    <n v="1952"/>
    <n v="344"/>
    <n v="287"/>
    <n v="15616"/>
    <n v="15403"/>
    <n v="235"/>
    <n v="0.16540727459016394"/>
    <n v="2583"/>
  </r>
  <r>
    <x v="6"/>
    <n v="3440"/>
    <n v="13"/>
    <n v="20"/>
    <n v="58480"/>
    <n v="58146"/>
    <n v="210"/>
    <n v="5.9387824897400819E-2"/>
    <n v="3473"/>
  </r>
  <r>
    <x v="5"/>
    <n v="2166"/>
    <n v="354"/>
    <n v="117"/>
    <n v="10830"/>
    <n v="10245"/>
    <n v="24"/>
    <n v="0.24349030470914126"/>
    <n v="2637"/>
  </r>
  <r>
    <x v="5"/>
    <n v="4303"/>
    <n v="451"/>
    <n v="286"/>
    <n v="86060"/>
    <n v="85823"/>
    <n v="14"/>
    <n v="5.8563792702765516E-2"/>
    <n v="5040"/>
  </r>
  <r>
    <x v="5"/>
    <n v="2581"/>
    <n v="517"/>
    <n v="117"/>
    <n v="23229"/>
    <n v="22331"/>
    <n v="70"/>
    <n v="0.13840458048129492"/>
    <n v="3215"/>
  </r>
  <r>
    <x v="2"/>
    <n v="4494"/>
    <n v="717"/>
    <n v="45"/>
    <n v="62916"/>
    <n v="62688"/>
    <n v="191"/>
    <n v="8.3539958039290485E-2"/>
    <n v="5256"/>
  </r>
  <r>
    <x v="5"/>
    <n v="1461"/>
    <n v="184"/>
    <n v="344"/>
    <n v="21915"/>
    <n v="21675"/>
    <n v="15"/>
    <n v="9.0759753593429152E-2"/>
    <n v="1989"/>
  </r>
  <r>
    <x v="5"/>
    <n v="4054"/>
    <n v="389"/>
    <n v="493"/>
    <n v="64864"/>
    <n v="64383"/>
    <n v="117"/>
    <n v="7.6097681302417369E-2"/>
    <n v="4936"/>
  </r>
  <r>
    <x v="5"/>
    <n v="2795"/>
    <n v="105"/>
    <n v="49"/>
    <n v="53105"/>
    <n v="52307"/>
    <n v="204"/>
    <n v="5.5531494209584788E-2"/>
    <n v="2949"/>
  </r>
  <r>
    <x v="5"/>
    <n v="2404"/>
    <n v="363"/>
    <n v="138"/>
    <n v="19232"/>
    <n v="18636"/>
    <n v="128"/>
    <n v="0.15105033277870217"/>
    <n v="2905"/>
  </r>
  <r>
    <x v="5"/>
    <n v="3557"/>
    <n v="687"/>
    <n v="424"/>
    <n v="71140"/>
    <n v="70701"/>
    <n v="224"/>
    <n v="6.5617093055946027E-2"/>
    <n v="4668"/>
  </r>
  <r>
    <x v="5"/>
    <n v="2945"/>
    <n v="930"/>
    <n v="355"/>
    <n v="23560"/>
    <n v="23275"/>
    <n v="256"/>
    <n v="0.17954159592529711"/>
    <n v="4230"/>
  </r>
  <r>
    <x v="5"/>
    <n v="3860"/>
    <n v="201"/>
    <n v="279"/>
    <n v="61760"/>
    <n v="61660"/>
    <n v="235"/>
    <n v="7.0272020725388601E-2"/>
    <n v="4340"/>
  </r>
  <r>
    <x v="5"/>
    <n v="3929"/>
    <n v="262"/>
    <n v="278"/>
    <n v="43219"/>
    <n v="42841"/>
    <n v="39"/>
    <n v="0.10340359564080613"/>
    <n v="4469"/>
  </r>
  <r>
    <x v="5"/>
    <n v="3784"/>
    <n v="808"/>
    <n v="404"/>
    <n v="56760"/>
    <n v="56343"/>
    <n v="131"/>
    <n v="8.8019732205778717E-2"/>
    <n v="4996"/>
  </r>
  <r>
    <x v="5"/>
    <n v="4241"/>
    <n v="902"/>
    <n v="47"/>
    <n v="72097"/>
    <n v="71598"/>
    <n v="167"/>
    <n v="7.198635172059864E-2"/>
    <n v="5190"/>
  </r>
  <r>
    <x v="5"/>
    <n v="1792"/>
    <n v="614"/>
    <n v="497"/>
    <n v="25088"/>
    <n v="24675"/>
    <n v="65"/>
    <n v="0.11571269132653061"/>
    <n v="2903"/>
  </r>
  <r>
    <x v="5"/>
    <n v="1946"/>
    <n v="686"/>
    <n v="377"/>
    <n v="23352"/>
    <n v="22982"/>
    <n v="213"/>
    <n v="0.12885405960945528"/>
    <n v="3009"/>
  </r>
  <r>
    <x v="5"/>
    <n v="1171"/>
    <n v="286"/>
    <n v="231"/>
    <n v="22249"/>
    <n v="21282"/>
    <n v="114"/>
    <n v="7.5868578363072495E-2"/>
    <n v="1688"/>
  </r>
  <r>
    <x v="5"/>
    <n v="4242"/>
    <n v="555"/>
    <n v="131"/>
    <n v="33936"/>
    <n v="33802"/>
    <n v="265"/>
    <n v="0.14521452145214522"/>
    <n v="4928"/>
  </r>
  <r>
    <x v="5"/>
    <n v="3888"/>
    <n v="604"/>
    <n v="128"/>
    <n v="77760"/>
    <n v="77167"/>
    <n v="20"/>
    <n v="5.941358024691358E-2"/>
    <n v="4620"/>
  </r>
  <r>
    <x v="5"/>
    <n v="3452"/>
    <n v="377"/>
    <n v="360"/>
    <n v="55232"/>
    <n v="55075"/>
    <n v="87"/>
    <n v="7.5843713789107758E-2"/>
    <n v="4189"/>
  </r>
  <r>
    <x v="5"/>
    <n v="4441"/>
    <n v="511"/>
    <n v="70"/>
    <n v="53292"/>
    <n v="53082"/>
    <n v="159"/>
    <n v="9.4235532537716729E-2"/>
    <n v="5022"/>
  </r>
  <r>
    <x v="5"/>
    <n v="3000"/>
    <n v="382"/>
    <n v="325"/>
    <n v="36000"/>
    <n v="35819"/>
    <n v="19"/>
    <n v="0.10297222222222223"/>
    <n v="3707"/>
  </r>
  <r>
    <x v="5"/>
    <n v="1071"/>
    <n v="519"/>
    <n v="22"/>
    <n v="16065"/>
    <n v="15865"/>
    <n v="103"/>
    <n v="0.10034235916588857"/>
    <n v="1612"/>
  </r>
  <r>
    <x v="5"/>
    <n v="4054"/>
    <n v="488"/>
    <n v="373"/>
    <n v="77026"/>
    <n v="76881"/>
    <n v="25"/>
    <n v="6.3809622724794221E-2"/>
    <n v="4915"/>
  </r>
  <r>
    <x v="5"/>
    <n v="4838"/>
    <n v="640"/>
    <n v="128"/>
    <n v="72570"/>
    <n v="72396"/>
    <n v="83"/>
    <n v="7.7249552156538517E-2"/>
    <n v="5606"/>
  </r>
  <r>
    <x v="5"/>
    <n v="1570"/>
    <n v="187"/>
    <n v="260"/>
    <n v="25120"/>
    <n v="24613"/>
    <n v="133"/>
    <n v="8.0294585987261149E-2"/>
    <n v="2017"/>
  </r>
  <r>
    <x v="5"/>
    <n v="1606"/>
    <n v="547"/>
    <n v="316"/>
    <n v="32120"/>
    <n v="31736"/>
    <n v="225"/>
    <n v="7.6867995018679955E-2"/>
    <n v="2469"/>
  </r>
  <r>
    <x v="5"/>
    <n v="3961"/>
    <n v="761"/>
    <n v="131"/>
    <n v="67337"/>
    <n v="66615"/>
    <n v="161"/>
    <n v="7.2070332803659209E-2"/>
    <n v="4853"/>
  </r>
  <r>
    <x v="5"/>
    <n v="3128"/>
    <n v="211"/>
    <n v="197"/>
    <n v="59432"/>
    <n v="59182"/>
    <n v="238"/>
    <n v="5.9496567505720827E-2"/>
    <n v="3536"/>
  </r>
  <r>
    <x v="5"/>
    <n v="3009"/>
    <n v="413"/>
    <n v="358"/>
    <n v="42126"/>
    <n v="41309"/>
    <n v="211"/>
    <n v="8.9730807577268201E-2"/>
    <n v="3780"/>
  </r>
  <r>
    <x v="5"/>
    <n v="2076"/>
    <n v="195"/>
    <n v="104"/>
    <n v="33216"/>
    <n v="32244"/>
    <n v="51"/>
    <n v="7.1501685934489398E-2"/>
    <n v="2375"/>
  </r>
  <r>
    <x v="5"/>
    <n v="432"/>
    <n v="624"/>
    <n v="123"/>
    <n v="6912"/>
    <n v="6259"/>
    <n v="79"/>
    <n v="0.17057291666666666"/>
    <n v="1179"/>
  </r>
  <r>
    <x v="5"/>
    <n v="2566"/>
    <n v="118"/>
    <n v="37"/>
    <n v="12830"/>
    <n v="12264"/>
    <n v="221"/>
    <n v="0.21208106001558846"/>
    <n v="2721"/>
  </r>
  <r>
    <x v="5"/>
    <n v="3095"/>
    <n v="39"/>
    <n v="78"/>
    <n v="55710"/>
    <n v="54808"/>
    <n v="93"/>
    <n v="5.7655717106444085E-2"/>
    <n v="3212"/>
  </r>
  <r>
    <x v="5"/>
    <n v="438"/>
    <n v="153"/>
    <n v="275"/>
    <n v="3066"/>
    <n v="2701"/>
    <n v="282"/>
    <n v="0.28245270711024134"/>
    <n v="866"/>
  </r>
  <r>
    <x v="5"/>
    <n v="2278"/>
    <n v="10"/>
    <n v="321"/>
    <n v="13668"/>
    <n v="12676"/>
    <n v="275"/>
    <n v="0.19088381621305239"/>
    <n v="2609"/>
  </r>
  <r>
    <x v="5"/>
    <n v="1407"/>
    <n v="400"/>
    <n v="351"/>
    <n v="16884"/>
    <n v="15954"/>
    <n v="113"/>
    <n v="0.12781331438047855"/>
    <n v="2158"/>
  </r>
  <r>
    <x v="5"/>
    <n v="1652"/>
    <n v="89"/>
    <n v="357"/>
    <n v="29736"/>
    <n v="28771"/>
    <n v="215"/>
    <n v="7.055421038471886E-2"/>
    <n v="2098"/>
  </r>
  <r>
    <x v="5"/>
    <n v="3775"/>
    <n v="16"/>
    <n v="239"/>
    <n v="33975"/>
    <n v="33310"/>
    <n v="271"/>
    <n v="0.11861662987490802"/>
    <n v="4030"/>
  </r>
  <r>
    <x v="5"/>
    <n v="4518"/>
    <n v="285"/>
    <n v="383"/>
    <n v="67770"/>
    <n v="67621"/>
    <n v="31"/>
    <n v="7.6523535487678915E-2"/>
    <n v="5186"/>
  </r>
  <r>
    <x v="5"/>
    <n v="3024"/>
    <n v="925"/>
    <n v="350"/>
    <n v="24192"/>
    <n v="23518"/>
    <n v="36"/>
    <n v="0.17770337301587302"/>
    <n v="4299"/>
  </r>
  <r>
    <x v="5"/>
    <n v="3138"/>
    <n v="123"/>
    <n v="291"/>
    <n v="28242"/>
    <n v="27550"/>
    <n v="87"/>
    <n v="0.12577012959422137"/>
    <n v="3552"/>
  </r>
  <r>
    <x v="5"/>
    <n v="3564"/>
    <n v="629"/>
    <n v="177"/>
    <n v="60588"/>
    <n v="59627"/>
    <n v="92"/>
    <n v="7.2126493695121141E-2"/>
    <n v="4370"/>
  </r>
  <r>
    <x v="5"/>
    <n v="4750"/>
    <n v="151"/>
    <n v="415"/>
    <n v="38000"/>
    <n v="37792"/>
    <n v="299"/>
    <n v="0.13989473684210527"/>
    <n v="5316"/>
  </r>
  <r>
    <x v="5"/>
    <n v="456"/>
    <n v="629"/>
    <n v="428"/>
    <n v="8208"/>
    <n v="7377"/>
    <n v="205"/>
    <n v="0.18433235867446393"/>
    <n v="1513"/>
  </r>
  <r>
    <x v="5"/>
    <n v="1543"/>
    <n v="820"/>
    <n v="333"/>
    <n v="12344"/>
    <n v="11496"/>
    <n v="241"/>
    <n v="0.21840570317563188"/>
    <n v="2696"/>
  </r>
  <r>
    <x v="5"/>
    <n v="2174"/>
    <n v="658"/>
    <n v="15"/>
    <n v="13044"/>
    <n v="12206"/>
    <n v="137"/>
    <n v="0.21826126954921804"/>
    <n v="2847"/>
  </r>
  <r>
    <x v="5"/>
    <n v="2358"/>
    <n v="784"/>
    <n v="344"/>
    <n v="35370"/>
    <n v="34475"/>
    <n v="216"/>
    <n v="9.8558100084817649E-2"/>
    <n v="3486"/>
  </r>
  <r>
    <x v="5"/>
    <n v="3371"/>
    <n v="106"/>
    <n v="327"/>
    <n v="50565"/>
    <n v="49816"/>
    <n v="176"/>
    <n v="7.5229902106199939E-2"/>
    <n v="3804"/>
  </r>
  <r>
    <x v="5"/>
    <n v="1108"/>
    <n v="177"/>
    <n v="212"/>
    <n v="8864"/>
    <n v="8710"/>
    <n v="97"/>
    <n v="0.16888537906137185"/>
    <n v="1497"/>
  </r>
  <r>
    <x v="5"/>
    <n v="2704"/>
    <n v="752"/>
    <n v="153"/>
    <n v="21632"/>
    <n v="20792"/>
    <n v="127"/>
    <n v="0.16683616863905326"/>
    <n v="3609"/>
  </r>
  <r>
    <x v="5"/>
    <n v="1950"/>
    <n v="295"/>
    <n v="478"/>
    <n v="37050"/>
    <n v="36272"/>
    <n v="119"/>
    <n v="7.349527665317139E-2"/>
    <n v="2723"/>
  </r>
  <r>
    <x v="5"/>
    <n v="2164"/>
    <n v="549"/>
    <n v="274"/>
    <n v="28132"/>
    <n v="27361"/>
    <n v="177"/>
    <n v="0.10617801791554102"/>
    <n v="2987"/>
  </r>
  <r>
    <x v="5"/>
    <n v="2754"/>
    <n v="130"/>
    <n v="90"/>
    <n v="22032"/>
    <n v="21288"/>
    <n v="112"/>
    <n v="0.13498547567175018"/>
    <n v="2974"/>
  </r>
  <r>
    <x v="5"/>
    <n v="2200"/>
    <n v="504"/>
    <n v="239"/>
    <n v="37400"/>
    <n v="36938"/>
    <n v="225"/>
    <n v="7.8689839572192513E-2"/>
    <n v="2943"/>
  </r>
  <r>
    <x v="5"/>
    <n v="947"/>
    <n v="338"/>
    <n v="350"/>
    <n v="10417"/>
    <n v="9730"/>
    <n v="34"/>
    <n v="0.1569549774407219"/>
    <n v="1635"/>
  </r>
  <r>
    <x v="5"/>
    <n v="804"/>
    <n v="639"/>
    <n v="43"/>
    <n v="4020"/>
    <n v="3144"/>
    <n v="11"/>
    <n v="0.36965174129353234"/>
    <n v="1486"/>
  </r>
  <r>
    <x v="5"/>
    <n v="1686"/>
    <n v="904"/>
    <n v="472"/>
    <n v="18546"/>
    <n v="18171"/>
    <n v="52"/>
    <n v="0.16510298716704411"/>
    <n v="3062"/>
  </r>
  <r>
    <x v="5"/>
    <n v="1226"/>
    <n v="119"/>
    <n v="7"/>
    <n v="14712"/>
    <n v="14049"/>
    <n v="123"/>
    <n v="9.1897770527460579E-2"/>
    <n v="1352"/>
  </r>
  <r>
    <x v="5"/>
    <n v="2946"/>
    <n v="498"/>
    <n v="367"/>
    <n v="29460"/>
    <n v="28527"/>
    <n v="60"/>
    <n v="0.12936184657162253"/>
    <n v="3811"/>
  </r>
  <r>
    <x v="5"/>
    <n v="2825"/>
    <n v="535"/>
    <n v="295"/>
    <n v="45200"/>
    <n v="44739"/>
    <n v="169"/>
    <n v="8.0862831858407078E-2"/>
    <n v="3655"/>
  </r>
  <r>
    <x v="5"/>
    <n v="103"/>
    <n v="770"/>
    <n v="19"/>
    <n v="1030"/>
    <n v="410"/>
    <n v="262"/>
    <n v="0.86601941747572819"/>
    <n v="892"/>
  </r>
  <r>
    <x v="5"/>
    <n v="2180"/>
    <n v="263"/>
    <n v="387"/>
    <n v="30520"/>
    <n v="30059"/>
    <n v="174"/>
    <n v="9.2726081258191345E-2"/>
    <n v="2830"/>
  </r>
  <r>
    <x v="3"/>
    <n v="904"/>
    <n v="973"/>
    <n v="63"/>
    <n v="11752"/>
    <n v="11580"/>
    <n v="84"/>
    <n v="0.1650782845473111"/>
    <n v="1940"/>
  </r>
  <r>
    <x v="5"/>
    <n v="4886"/>
    <n v="983"/>
    <n v="409"/>
    <n v="43974"/>
    <n v="43239"/>
    <n v="65"/>
    <n v="0.14276618001546368"/>
    <n v="6278"/>
  </r>
  <r>
    <x v="5"/>
    <n v="53"/>
    <n v="81"/>
    <n v="379"/>
    <n v="954"/>
    <n v="7"/>
    <n v="148"/>
    <n v="0.53773584905660377"/>
    <n v="513"/>
  </r>
  <r>
    <x v="5"/>
    <n v="4507"/>
    <n v="217"/>
    <n v="13"/>
    <n v="90140"/>
    <n v="89591"/>
    <n v="125"/>
    <n v="5.2551586421122697E-2"/>
    <n v="4737"/>
  </r>
  <r>
    <x v="5"/>
    <n v="2878"/>
    <n v="248"/>
    <n v="416"/>
    <n v="43170"/>
    <n v="42667"/>
    <n v="75"/>
    <n v="8.2047718322909427E-2"/>
    <n v="3542"/>
  </r>
  <r>
    <x v="5"/>
    <n v="1881"/>
    <n v="501"/>
    <n v="99"/>
    <n v="20691"/>
    <n v="19987"/>
    <n v="289"/>
    <n v="0.11990720603160794"/>
    <n v="2481"/>
  </r>
  <r>
    <x v="5"/>
    <n v="432"/>
    <n v="171"/>
    <n v="280"/>
    <n v="3024"/>
    <n v="2285"/>
    <n v="184"/>
    <n v="0.29199735449735448"/>
    <n v="883"/>
  </r>
  <r>
    <x v="5"/>
    <n v="4712"/>
    <n v="568"/>
    <n v="127"/>
    <n v="84816"/>
    <n v="84691"/>
    <n v="100"/>
    <n v="6.3749764195434822E-2"/>
    <n v="5407"/>
  </r>
  <r>
    <x v="5"/>
    <n v="2610"/>
    <n v="126"/>
    <n v="288"/>
    <n v="15660"/>
    <n v="15145"/>
    <n v="73"/>
    <n v="0.19310344827586207"/>
    <n v="3024"/>
  </r>
  <r>
    <x v="5"/>
    <n v="1292"/>
    <n v="626"/>
    <n v="496"/>
    <n v="25840"/>
    <n v="24916"/>
    <n v="149"/>
    <n v="9.3421052631578946E-2"/>
    <n v="2414"/>
  </r>
  <r>
    <x v="5"/>
    <n v="199"/>
    <n v="772"/>
    <n v="400"/>
    <n v="3582"/>
    <n v="2988"/>
    <n v="43"/>
    <n v="0.38274706867671693"/>
    <n v="1371"/>
  </r>
  <r>
    <x v="5"/>
    <n v="2551"/>
    <n v="915"/>
    <n v="205"/>
    <n v="30612"/>
    <n v="30360"/>
    <n v="227"/>
    <n v="0.1199202926956749"/>
    <n v="3671"/>
  </r>
  <r>
    <x v="5"/>
    <n v="296"/>
    <n v="60"/>
    <n v="141"/>
    <n v="5624"/>
    <n v="5239"/>
    <n v="88"/>
    <n v="8.837126600284495E-2"/>
    <n v="497"/>
  </r>
  <r>
    <x v="5"/>
    <n v="4126"/>
    <n v="426"/>
    <n v="486"/>
    <n v="78394"/>
    <n v="77798"/>
    <n v="88"/>
    <n v="6.4265122330790625E-2"/>
    <n v="5038"/>
  </r>
  <r>
    <x v="5"/>
    <n v="1855"/>
    <n v="200"/>
    <n v="174"/>
    <n v="16695"/>
    <n v="16330"/>
    <n v="123"/>
    <n v="0.13351302785265048"/>
    <n v="2229"/>
  </r>
  <r>
    <x v="5"/>
    <n v="1674"/>
    <n v="929"/>
    <n v="37"/>
    <n v="21762"/>
    <n v="20998"/>
    <n v="255"/>
    <n v="0.12131237937689551"/>
    <n v="2640"/>
  </r>
  <r>
    <x v="5"/>
    <n v="1121"/>
    <n v="135"/>
    <n v="18"/>
    <n v="15694"/>
    <n v="14957"/>
    <n v="99"/>
    <n v="8.1177520071364848E-2"/>
    <n v="1274"/>
  </r>
  <r>
    <x v="5"/>
    <n v="1249"/>
    <n v="116"/>
    <n v="420"/>
    <n v="8743"/>
    <n v="8538"/>
    <n v="63"/>
    <n v="0.20416333066453163"/>
    <n v="1785"/>
  </r>
  <r>
    <x v="5"/>
    <n v="954"/>
    <n v="324"/>
    <n v="288"/>
    <n v="19080"/>
    <n v="18859"/>
    <n v="21"/>
    <n v="8.2075471698113203E-2"/>
    <n v="1566"/>
  </r>
  <r>
    <x v="5"/>
    <n v="3068"/>
    <n v="137"/>
    <n v="329"/>
    <n v="39884"/>
    <n v="39404"/>
    <n v="266"/>
    <n v="8.860696018453515E-2"/>
    <n v="3534"/>
  </r>
  <r>
    <x v="5"/>
    <n v="2103"/>
    <n v="892"/>
    <n v="103"/>
    <n v="39957"/>
    <n v="39466"/>
    <n v="28"/>
    <n v="7.7533348349475686E-2"/>
    <n v="3098"/>
  </r>
  <r>
    <x v="5"/>
    <n v="1816"/>
    <n v="29"/>
    <n v="41"/>
    <n v="19976"/>
    <n v="19262"/>
    <n v="283"/>
    <n v="9.4413295955146179E-2"/>
    <n v="1886"/>
  </r>
  <r>
    <x v="3"/>
    <n v="725"/>
    <n v="88"/>
    <n v="428"/>
    <n v="14500"/>
    <n v="13637"/>
    <n v="200"/>
    <n v="8.558620689655172E-2"/>
    <n v="1241"/>
  </r>
  <r>
    <x v="5"/>
    <n v="1094"/>
    <n v="472"/>
    <n v="21"/>
    <n v="9846"/>
    <n v="9609"/>
    <n v="112"/>
    <n v="0.16118220597196831"/>
    <n v="1587"/>
  </r>
  <r>
    <x v="5"/>
    <n v="1841"/>
    <n v="851"/>
    <n v="342"/>
    <n v="34979"/>
    <n v="34154"/>
    <n v="255"/>
    <n v="8.6737756939878216E-2"/>
    <n v="3034"/>
  </r>
  <r>
    <x v="5"/>
    <n v="4177"/>
    <n v="569"/>
    <n v="55"/>
    <n v="25062"/>
    <n v="24847"/>
    <n v="230"/>
    <n v="0.19156491900087783"/>
    <n v="4801"/>
  </r>
  <r>
    <x v="5"/>
    <n v="3428"/>
    <n v="305"/>
    <n v="85"/>
    <n v="58276"/>
    <n v="58052"/>
    <n v="242"/>
    <n v="6.5515821264328367E-2"/>
    <n v="3818"/>
  </r>
  <r>
    <x v="5"/>
    <n v="1436"/>
    <n v="765"/>
    <n v="496"/>
    <n v="12924"/>
    <n v="12701"/>
    <n v="197"/>
    <n v="0.20868152274837512"/>
    <n v="2697"/>
  </r>
  <r>
    <x v="5"/>
    <n v="302"/>
    <n v="47"/>
    <n v="430"/>
    <n v="5738"/>
    <n v="4890"/>
    <n v="25"/>
    <n v="0.13576158940397351"/>
    <n v="779"/>
  </r>
  <r>
    <x v="5"/>
    <n v="2214"/>
    <n v="249"/>
    <n v="152"/>
    <n v="15498"/>
    <n v="14800"/>
    <n v="180"/>
    <n v="0.16873144921925409"/>
    <n v="2615"/>
  </r>
  <r>
    <x v="5"/>
    <n v="3861"/>
    <n v="960"/>
    <n v="101"/>
    <n v="69498"/>
    <n v="68817"/>
    <n v="297"/>
    <n v="7.0822181933293038E-2"/>
    <n v="4922"/>
  </r>
  <r>
    <x v="5"/>
    <n v="1263"/>
    <n v="397"/>
    <n v="357"/>
    <n v="25260"/>
    <n v="24615"/>
    <n v="137"/>
    <n v="7.984956452889945E-2"/>
    <n v="2017"/>
  </r>
  <r>
    <x v="5"/>
    <n v="3801"/>
    <n v="967"/>
    <n v="401"/>
    <n v="38010"/>
    <n v="37625"/>
    <n v="236"/>
    <n v="0.13599052880820836"/>
    <n v="5169"/>
  </r>
  <r>
    <x v="5"/>
    <n v="1431"/>
    <n v="951"/>
    <n v="26"/>
    <n v="8586"/>
    <n v="8396"/>
    <n v="150"/>
    <n v="0.28045655718611695"/>
    <n v="2408"/>
  </r>
  <r>
    <x v="5"/>
    <n v="2647"/>
    <n v="304"/>
    <n v="170"/>
    <n v="18529"/>
    <n v="17841"/>
    <n v="46"/>
    <n v="0.16843866371633656"/>
    <n v="3121"/>
  </r>
  <r>
    <x v="5"/>
    <n v="3182"/>
    <n v="559"/>
    <n v="160"/>
    <n v="57276"/>
    <n v="56890"/>
    <n v="163"/>
    <n v="6.8108806480899509E-2"/>
    <n v="3901"/>
  </r>
  <r>
    <x v="5"/>
    <n v="1238"/>
    <n v="366"/>
    <n v="444"/>
    <n v="19808"/>
    <n v="19334"/>
    <n v="123"/>
    <n v="0.10339256865912763"/>
    <n v="2048"/>
  </r>
  <r>
    <x v="5"/>
    <n v="4739"/>
    <n v="527"/>
    <n v="135"/>
    <n v="61607"/>
    <n v="61333"/>
    <n v="36"/>
    <n v="8.7668609086629767E-2"/>
    <n v="5401"/>
  </r>
  <r>
    <x v="5"/>
    <n v="1575"/>
    <n v="771"/>
    <n v="486"/>
    <n v="25200"/>
    <n v="24826"/>
    <n v="17"/>
    <n v="0.11238095238095239"/>
    <n v="2832"/>
  </r>
  <r>
    <x v="5"/>
    <n v="4171"/>
    <n v="548"/>
    <n v="86"/>
    <n v="66736"/>
    <n v="66634"/>
    <n v="173"/>
    <n v="7.2000119875329657E-2"/>
    <n v="4805"/>
  </r>
  <r>
    <x v="5"/>
    <n v="1766"/>
    <n v="92"/>
    <n v="424"/>
    <n v="24724"/>
    <n v="24333"/>
    <n v="52"/>
    <n v="9.2298980747451867E-2"/>
    <n v="2282"/>
  </r>
  <r>
    <x v="5"/>
    <n v="4450"/>
    <n v="983"/>
    <n v="143"/>
    <n v="75650"/>
    <n v="75008"/>
    <n v="12"/>
    <n v="7.3707865168539333E-2"/>
    <n v="5576"/>
  </r>
  <r>
    <x v="5"/>
    <n v="1000"/>
    <n v="978"/>
    <n v="162"/>
    <n v="6000"/>
    <n v="5221"/>
    <n v="223"/>
    <n v="0.35666666666666669"/>
    <n v="2140"/>
  </r>
  <r>
    <x v="5"/>
    <n v="3689"/>
    <n v="48"/>
    <n v="306"/>
    <n v="40579"/>
    <n v="39588"/>
    <n v="212"/>
    <n v="9.9632815002833983E-2"/>
    <n v="4043"/>
  </r>
  <r>
    <x v="5"/>
    <n v="3655"/>
    <n v="568"/>
    <n v="286"/>
    <n v="32895"/>
    <n v="32015"/>
    <n v="199"/>
    <n v="0.13707250341997265"/>
    <n v="4509"/>
  </r>
  <r>
    <x v="5"/>
    <n v="498"/>
    <n v="38"/>
    <n v="42"/>
    <n v="4482"/>
    <n v="3647"/>
    <n v="32"/>
    <n v="0.12896028558679162"/>
    <n v="578"/>
  </r>
  <r>
    <x v="5"/>
    <n v="4619"/>
    <n v="821"/>
    <n v="499"/>
    <n v="69285"/>
    <n v="69141"/>
    <n v="298"/>
    <n v="8.5718409468138843E-2"/>
    <n v="5939"/>
  </r>
  <r>
    <x v="5"/>
    <n v="4832"/>
    <n v="893"/>
    <n v="10"/>
    <n v="91808"/>
    <n v="91296"/>
    <n v="182"/>
    <n v="6.2467323109097243E-2"/>
    <n v="5735"/>
  </r>
  <r>
    <x v="5"/>
    <n v="4050"/>
    <n v="871"/>
    <n v="347"/>
    <n v="52650"/>
    <n v="51755"/>
    <n v="209"/>
    <n v="0.10005698005698006"/>
    <n v="5268"/>
  </r>
  <r>
    <x v="5"/>
    <n v="3649"/>
    <n v="215"/>
    <n v="413"/>
    <n v="25543"/>
    <n v="24963"/>
    <n v="167"/>
    <n v="0.16744313510550835"/>
    <n v="4277"/>
  </r>
  <r>
    <x v="5"/>
    <n v="3523"/>
    <n v="753"/>
    <n v="482"/>
    <n v="38753"/>
    <n v="38579"/>
    <n v="270"/>
    <n v="0.12277759141227776"/>
    <n v="4758"/>
  </r>
  <r>
    <x v="5"/>
    <n v="2719"/>
    <n v="17"/>
    <n v="285"/>
    <n v="40785"/>
    <n v="40281"/>
    <n v="40"/>
    <n v="7.4071349760941527E-2"/>
    <n v="3021"/>
  </r>
  <r>
    <x v="5"/>
    <n v="1957"/>
    <n v="877"/>
    <n v="238"/>
    <n v="17613"/>
    <n v="16865"/>
    <n v="297"/>
    <n v="0.17441662408448305"/>
    <n v="3072"/>
  </r>
  <r>
    <x v="5"/>
    <n v="4419"/>
    <n v="236"/>
    <n v="369"/>
    <n v="44190"/>
    <n v="43582"/>
    <n v="10"/>
    <n v="0.11369088028965829"/>
    <n v="5024"/>
  </r>
  <r>
    <x v="5"/>
    <n v="4000"/>
    <n v="689"/>
    <n v="488"/>
    <n v="40000"/>
    <n v="39569"/>
    <n v="44"/>
    <n v="0.12942500000000001"/>
    <n v="5177"/>
  </r>
  <r>
    <x v="5"/>
    <n v="2493"/>
    <n v="97"/>
    <n v="44"/>
    <n v="42381"/>
    <n v="41991"/>
    <n v="242"/>
    <n v="6.2150491965739366E-2"/>
    <n v="2634"/>
  </r>
  <r>
    <x v="5"/>
    <n v="3704"/>
    <n v="186"/>
    <n v="458"/>
    <n v="25928"/>
    <n v="25081"/>
    <n v="131"/>
    <n v="0.16769515581610614"/>
    <n v="4348"/>
  </r>
  <r>
    <x v="5"/>
    <n v="1606"/>
    <n v="451"/>
    <n v="405"/>
    <n v="20878"/>
    <n v="20190"/>
    <n v="219"/>
    <n v="0.11792317271769326"/>
    <n v="2462"/>
  </r>
  <r>
    <x v="5"/>
    <n v="4551"/>
    <n v="714"/>
    <n v="207"/>
    <n v="68265"/>
    <n v="67754"/>
    <n v="57"/>
    <n v="8.0158206987475278E-2"/>
    <n v="5472"/>
  </r>
  <r>
    <x v="5"/>
    <n v="1970"/>
    <n v="675"/>
    <n v="478"/>
    <n v="9850"/>
    <n v="8924"/>
    <n v="117"/>
    <n v="0.31705583756345179"/>
    <n v="3123"/>
  </r>
  <r>
    <x v="5"/>
    <n v="780"/>
    <n v="928"/>
    <n v="301"/>
    <n v="8580"/>
    <n v="8081"/>
    <n v="91"/>
    <n v="0.23414918414918415"/>
    <n v="2009"/>
  </r>
  <r>
    <x v="5"/>
    <n v="498"/>
    <n v="701"/>
    <n v="412"/>
    <n v="4980"/>
    <n v="4185"/>
    <n v="185"/>
    <n v="0.32349397590361445"/>
    <n v="1611"/>
  </r>
  <r>
    <x v="5"/>
    <n v="3432"/>
    <n v="869"/>
    <n v="123"/>
    <n v="54912"/>
    <n v="53916"/>
    <n v="264"/>
    <n v="8.0565268065268064E-2"/>
    <n v="4424"/>
  </r>
  <r>
    <x v="5"/>
    <n v="4363"/>
    <n v="649"/>
    <n v="140"/>
    <n v="21815"/>
    <n v="21481"/>
    <n v="157"/>
    <n v="0.23616777446710979"/>
    <n v="5152"/>
  </r>
  <r>
    <x v="5"/>
    <n v="736"/>
    <n v="771"/>
    <n v="225"/>
    <n v="5152"/>
    <n v="4706"/>
    <n v="19"/>
    <n v="0.33618012422360249"/>
    <n v="1732"/>
  </r>
  <r>
    <x v="5"/>
    <n v="3811"/>
    <n v="866"/>
    <n v="216"/>
    <n v="34299"/>
    <n v="34088"/>
    <n v="233"/>
    <n v="0.14265722032712325"/>
    <n v="4893"/>
  </r>
  <r>
    <x v="5"/>
    <n v="4158"/>
    <n v="167"/>
    <n v="241"/>
    <n v="45738"/>
    <n v="45183"/>
    <n v="142"/>
    <n v="9.9829463465827106E-2"/>
    <n v="4566"/>
  </r>
  <r>
    <x v="5"/>
    <n v="3452"/>
    <n v="652"/>
    <n v="442"/>
    <n v="65588"/>
    <n v="65049"/>
    <n v="158"/>
    <n v="6.9311459413307311E-2"/>
    <n v="4546"/>
  </r>
  <r>
    <x v="5"/>
    <n v="3092"/>
    <n v="106"/>
    <n v="291"/>
    <n v="27828"/>
    <n v="27217"/>
    <n v="102"/>
    <n v="0.12537731780940059"/>
    <n v="3489"/>
  </r>
  <r>
    <x v="5"/>
    <n v="2147"/>
    <n v="430"/>
    <n v="393"/>
    <n v="17176"/>
    <n v="16483"/>
    <n v="170"/>
    <n v="0.17291569632044715"/>
    <n v="2970"/>
  </r>
  <r>
    <x v="5"/>
    <n v="2936"/>
    <n v="439"/>
    <n v="44"/>
    <n v="38168"/>
    <n v="37571"/>
    <n v="22"/>
    <n v="8.9577656675749323E-2"/>
    <n v="3419"/>
  </r>
  <r>
    <x v="5"/>
    <n v="4840"/>
    <n v="658"/>
    <n v="211"/>
    <n v="43560"/>
    <n v="43225"/>
    <n v="57"/>
    <n v="0.13106060606060607"/>
    <n v="5709"/>
  </r>
  <r>
    <x v="5"/>
    <n v="1947"/>
    <n v="842"/>
    <n v="101"/>
    <n v="21417"/>
    <n v="20967"/>
    <n v="186"/>
    <n v="0.13493953401503478"/>
    <n v="2890"/>
  </r>
  <r>
    <x v="5"/>
    <n v="2072"/>
    <n v="532"/>
    <n v="71"/>
    <n v="37296"/>
    <n v="36467"/>
    <n v="25"/>
    <n v="7.172350922350923E-2"/>
    <n v="2675"/>
  </r>
  <r>
    <x v="5"/>
    <n v="3731"/>
    <n v="115"/>
    <n v="135"/>
    <n v="55965"/>
    <n v="55436"/>
    <n v="103"/>
    <n v="7.1133744304476013E-2"/>
    <n v="3981"/>
  </r>
  <r>
    <x v="5"/>
    <n v="4213"/>
    <n v="253"/>
    <n v="434"/>
    <n v="75834"/>
    <n v="75437"/>
    <n v="272"/>
    <n v="6.461481657304112E-2"/>
    <n v="4900"/>
  </r>
  <r>
    <x v="5"/>
    <n v="3134"/>
    <n v="888"/>
    <n v="444"/>
    <n v="21938"/>
    <n v="21337"/>
    <n v="130"/>
    <n v="0.20357370772176134"/>
    <n v="4466"/>
  </r>
  <r>
    <x v="5"/>
    <n v="3008"/>
    <n v="94"/>
    <n v="37"/>
    <n v="15040"/>
    <n v="14639"/>
    <n v="277"/>
    <n v="0.20871010638297871"/>
    <n v="3139"/>
  </r>
  <r>
    <x v="5"/>
    <n v="305"/>
    <n v="187"/>
    <n v="243"/>
    <n v="4575"/>
    <n v="3704"/>
    <n v="234"/>
    <n v="0.16065573770491803"/>
    <n v="735"/>
  </r>
  <r>
    <x v="5"/>
    <n v="2746"/>
    <n v="156"/>
    <n v="203"/>
    <n v="32952"/>
    <n v="32147"/>
    <n v="147"/>
    <n v="9.422796795338674E-2"/>
    <n v="3105"/>
  </r>
  <r>
    <x v="5"/>
    <n v="2291"/>
    <n v="78"/>
    <n v="485"/>
    <n v="18328"/>
    <n v="18101"/>
    <n v="10"/>
    <n v="0.15571802706241816"/>
    <n v="2854"/>
  </r>
  <r>
    <x v="5"/>
    <n v="3170"/>
    <n v="857"/>
    <n v="379"/>
    <n v="19020"/>
    <n v="18559"/>
    <n v="240"/>
    <n v="0.2316508937960042"/>
    <n v="4406"/>
  </r>
  <r>
    <x v="5"/>
    <n v="2070"/>
    <n v="275"/>
    <n v="386"/>
    <n v="39330"/>
    <n v="38627"/>
    <n v="114"/>
    <n v="6.9438087973557078E-2"/>
    <n v="2731"/>
  </r>
  <r>
    <x v="5"/>
    <n v="80"/>
    <n v="362"/>
    <n v="80"/>
    <n v="1040"/>
    <n v="349"/>
    <n v="117"/>
    <n v="0.50192307692307692"/>
    <n v="522"/>
  </r>
  <r>
    <x v="5"/>
    <n v="4929"/>
    <n v="749"/>
    <n v="452"/>
    <n v="93651"/>
    <n v="92810"/>
    <n v="66"/>
    <n v="6.5455787978772245E-2"/>
    <n v="6130"/>
  </r>
  <r>
    <x v="5"/>
    <n v="1878"/>
    <n v="62"/>
    <n v="179"/>
    <n v="37560"/>
    <n v="36874"/>
    <n v="142"/>
    <n v="5.6416400425985093E-2"/>
    <n v="2119"/>
  </r>
  <r>
    <x v="5"/>
    <n v="3065"/>
    <n v="772"/>
    <n v="142"/>
    <n v="18390"/>
    <n v="17875"/>
    <n v="200"/>
    <n v="0.21636759108210984"/>
    <n v="3979"/>
  </r>
  <r>
    <x v="5"/>
    <n v="3256"/>
    <n v="459"/>
    <n v="266"/>
    <n v="26048"/>
    <n v="25529"/>
    <n v="143"/>
    <n v="0.15283323095823095"/>
    <n v="3981"/>
  </r>
  <r>
    <x v="5"/>
    <n v="4133"/>
    <n v="466"/>
    <n v="327"/>
    <n v="24798"/>
    <n v="24620"/>
    <n v="176"/>
    <n v="0.19864505202032423"/>
    <n v="4926"/>
  </r>
  <r>
    <x v="5"/>
    <n v="1702"/>
    <n v="750"/>
    <n v="179"/>
    <n v="34040"/>
    <n v="33174"/>
    <n v="76"/>
    <n v="7.7291421856639245E-2"/>
    <n v="2631"/>
  </r>
  <r>
    <x v="5"/>
    <n v="4295"/>
    <n v="853"/>
    <n v="325"/>
    <n v="85900"/>
    <n v="85788"/>
    <n v="290"/>
    <n v="6.3713620488940623E-2"/>
    <n v="5473"/>
  </r>
  <r>
    <x v="5"/>
    <n v="3559"/>
    <n v="59"/>
    <n v="289"/>
    <n v="35590"/>
    <n v="35105"/>
    <n v="122"/>
    <n v="0.10977802753582468"/>
    <n v="3907"/>
  </r>
  <r>
    <x v="5"/>
    <n v="4804"/>
    <n v="550"/>
    <n v="270"/>
    <n v="28824"/>
    <n v="28370"/>
    <n v="47"/>
    <n v="0.19511518179295032"/>
    <n v="5624"/>
  </r>
  <r>
    <x v="5"/>
    <n v="754"/>
    <n v="197"/>
    <n v="257"/>
    <n v="6786"/>
    <n v="6221"/>
    <n v="212"/>
    <n v="0.17801355732390214"/>
    <n v="1208"/>
  </r>
  <r>
    <x v="5"/>
    <n v="985"/>
    <n v="932"/>
    <n v="287"/>
    <n v="6895"/>
    <n v="6757"/>
    <n v="64"/>
    <n v="0.31965192168237855"/>
    <n v="2204"/>
  </r>
  <r>
    <x v="5"/>
    <n v="2283"/>
    <n v="210"/>
    <n v="130"/>
    <n v="22830"/>
    <n v="22617"/>
    <n v="143"/>
    <n v="0.11489268506351293"/>
    <n v="2623"/>
  </r>
  <r>
    <x v="5"/>
    <n v="3352"/>
    <n v="941"/>
    <n v="482"/>
    <n v="43576"/>
    <n v="43338"/>
    <n v="240"/>
    <n v="0.1095786671562328"/>
    <n v="4775"/>
  </r>
  <r>
    <x v="5"/>
    <n v="4775"/>
    <n v="173"/>
    <n v="206"/>
    <n v="47750"/>
    <n v="47544"/>
    <n v="187"/>
    <n v="0.10793717277486911"/>
    <n v="5154"/>
  </r>
  <r>
    <x v="5"/>
    <n v="1762"/>
    <n v="405"/>
    <n v="423"/>
    <n v="22906"/>
    <n v="21925"/>
    <n v="25"/>
    <n v="0.11307081114118571"/>
    <n v="2590"/>
  </r>
  <r>
    <x v="5"/>
    <n v="2120"/>
    <n v="158"/>
    <n v="488"/>
    <n v="12720"/>
    <n v="12085"/>
    <n v="17"/>
    <n v="0.21745283018867925"/>
    <n v="2766"/>
  </r>
  <r>
    <x v="5"/>
    <n v="1082"/>
    <n v="209"/>
    <n v="484"/>
    <n v="19476"/>
    <n v="18654"/>
    <n v="20"/>
    <n v="9.1137810638734856E-2"/>
    <n v="1775"/>
  </r>
  <r>
    <x v="5"/>
    <n v="4671"/>
    <n v="876"/>
    <n v="366"/>
    <n v="51381"/>
    <n v="50565"/>
    <n v="245"/>
    <n v="0.11508145034156594"/>
    <n v="5913"/>
  </r>
  <r>
    <x v="5"/>
    <n v="3430"/>
    <n v="566"/>
    <n v="164"/>
    <n v="48020"/>
    <n v="47305"/>
    <n v="120"/>
    <n v="8.6630570595585168E-2"/>
    <n v="4160"/>
  </r>
  <r>
    <x v="5"/>
    <n v="4501"/>
    <n v="375"/>
    <n v="323"/>
    <n v="22505"/>
    <n v="21836"/>
    <n v="132"/>
    <n v="0.23101532992668297"/>
    <n v="5199"/>
  </r>
  <r>
    <x v="5"/>
    <n v="4934"/>
    <n v="971"/>
    <n v="156"/>
    <n v="39472"/>
    <n v="39025"/>
    <n v="169"/>
    <n v="0.15355188488042157"/>
    <n v="6061"/>
  </r>
  <r>
    <x v="5"/>
    <n v="3239"/>
    <n v="43"/>
    <n v="211"/>
    <n v="22673"/>
    <n v="22171"/>
    <n v="230"/>
    <n v="0.15405989502933004"/>
    <n v="3493"/>
  </r>
  <r>
    <x v="5"/>
    <n v="1076"/>
    <n v="313"/>
    <n v="306"/>
    <n v="11836"/>
    <n v="11596"/>
    <n v="104"/>
    <n v="0.14320716458262928"/>
    <n v="1695"/>
  </r>
  <r>
    <x v="5"/>
    <n v="4771"/>
    <n v="818"/>
    <n v="56"/>
    <n v="57252"/>
    <n v="56378"/>
    <n v="150"/>
    <n v="9.859917557465242E-2"/>
    <n v="5645"/>
  </r>
  <r>
    <x v="5"/>
    <n v="2418"/>
    <n v="754"/>
    <n v="54"/>
    <n v="43524"/>
    <n v="42743"/>
    <n v="182"/>
    <n v="7.412002573292896E-2"/>
    <n v="3226"/>
  </r>
  <r>
    <x v="5"/>
    <n v="3809"/>
    <n v="273"/>
    <n v="200"/>
    <n v="34281"/>
    <n v="33534"/>
    <n v="83"/>
    <n v="0.12490884163239112"/>
    <n v="4282"/>
  </r>
  <r>
    <x v="5"/>
    <n v="3577"/>
    <n v="596"/>
    <n v="493"/>
    <n v="67963"/>
    <n v="67839"/>
    <n v="53"/>
    <n v="6.8655003457763777E-2"/>
    <n v="4666"/>
  </r>
  <r>
    <x v="5"/>
    <n v="1018"/>
    <n v="447"/>
    <n v="332"/>
    <n v="18324"/>
    <n v="18164"/>
    <n v="38"/>
    <n v="9.8068107400130972E-2"/>
    <n v="1797"/>
  </r>
  <r>
    <x v="5"/>
    <n v="3073"/>
    <n v="553"/>
    <n v="174"/>
    <n v="52241"/>
    <n v="51605"/>
    <n v="246"/>
    <n v="7.2739802071170159E-2"/>
    <n v="3800"/>
  </r>
  <r>
    <x v="5"/>
    <n v="1330"/>
    <n v="925"/>
    <n v="35"/>
    <n v="15960"/>
    <n v="15379"/>
    <n v="229"/>
    <n v="0.14348370927318296"/>
    <n v="2290"/>
  </r>
  <r>
    <x v="5"/>
    <n v="3828"/>
    <n v="148"/>
    <n v="253"/>
    <n v="30624"/>
    <n v="30229"/>
    <n v="235"/>
    <n v="0.13809430512016718"/>
    <n v="4229"/>
  </r>
  <r>
    <x v="5"/>
    <n v="142"/>
    <n v="784"/>
    <n v="183"/>
    <n v="1704"/>
    <n v="995"/>
    <n v="154"/>
    <n v="0.6508215962441315"/>
    <n v="1109"/>
  </r>
  <r>
    <x v="5"/>
    <n v="3798"/>
    <n v="31"/>
    <n v="279"/>
    <n v="75960"/>
    <n v="75813"/>
    <n v="266"/>
    <n v="5.4081095313322801E-2"/>
    <n v="4108"/>
  </r>
  <r>
    <x v="5"/>
    <n v="3099"/>
    <n v="694"/>
    <n v="171"/>
    <n v="43386"/>
    <n v="42921"/>
    <n v="52"/>
    <n v="9.1365878393951966E-2"/>
    <n v="3964"/>
  </r>
  <r>
    <x v="5"/>
    <n v="129"/>
    <n v="643"/>
    <n v="136"/>
    <n v="1290"/>
    <n v="839"/>
    <n v="238"/>
    <n v="0.70387596899224802"/>
    <n v="908"/>
  </r>
  <r>
    <x v="5"/>
    <n v="3796"/>
    <n v="667"/>
    <n v="395"/>
    <n v="64532"/>
    <n v="63550"/>
    <n v="292"/>
    <n v="7.5280481001673588E-2"/>
    <n v="4858"/>
  </r>
  <r>
    <x v="5"/>
    <n v="3711"/>
    <n v="352"/>
    <n v="290"/>
    <n v="48243"/>
    <n v="47579"/>
    <n v="11"/>
    <n v="9.023070704558174E-2"/>
    <n v="4353"/>
  </r>
  <r>
    <x v="5"/>
    <n v="606"/>
    <n v="789"/>
    <n v="470"/>
    <n v="7878"/>
    <n v="7389"/>
    <n v="239"/>
    <n v="0.23673521198273673"/>
    <n v="1865"/>
  </r>
  <r>
    <x v="5"/>
    <n v="4689"/>
    <n v="134"/>
    <n v="403"/>
    <n v="51579"/>
    <n v="50924"/>
    <n v="173"/>
    <n v="0.10132030477519921"/>
    <n v="5226"/>
  </r>
  <r>
    <x v="5"/>
    <n v="360"/>
    <n v="590"/>
    <n v="393"/>
    <n v="4680"/>
    <n v="4322"/>
    <n v="208"/>
    <n v="0.28696581196581195"/>
    <n v="1343"/>
  </r>
  <r>
    <x v="5"/>
    <n v="3215"/>
    <n v="960"/>
    <n v="202"/>
    <n v="32150"/>
    <n v="31404"/>
    <n v="251"/>
    <n v="0.13614307931570763"/>
    <n v="4377"/>
  </r>
  <r>
    <x v="5"/>
    <n v="4523"/>
    <n v="61"/>
    <n v="157"/>
    <n v="49753"/>
    <n v="49329"/>
    <n v="71"/>
    <n v="9.5290736237010829E-2"/>
    <n v="4741"/>
  </r>
  <r>
    <x v="5"/>
    <n v="4292"/>
    <n v="51"/>
    <n v="392"/>
    <n v="55796"/>
    <n v="54826"/>
    <n v="264"/>
    <n v="8.4862714173059003E-2"/>
    <n v="4735"/>
  </r>
  <r>
    <x v="5"/>
    <n v="1644"/>
    <n v="546"/>
    <n v="150"/>
    <n v="27948"/>
    <n v="27184"/>
    <n v="300"/>
    <n v="8.3726921425504502E-2"/>
    <n v="2340"/>
  </r>
  <r>
    <x v="5"/>
    <n v="2728"/>
    <n v="533"/>
    <n v="215"/>
    <n v="40920"/>
    <n v="40816"/>
    <n v="137"/>
    <n v="8.4946236559139784E-2"/>
    <n v="3476"/>
  </r>
  <r>
    <x v="5"/>
    <n v="3360"/>
    <n v="525"/>
    <n v="500"/>
    <n v="60480"/>
    <n v="59610"/>
    <n v="192"/>
    <n v="7.2503306878306875E-2"/>
    <n v="4385"/>
  </r>
  <r>
    <x v="5"/>
    <n v="1963"/>
    <n v="213"/>
    <n v="19"/>
    <n v="39260"/>
    <n v="38771"/>
    <n v="145"/>
    <n v="5.5909322465613857E-2"/>
    <n v="2195"/>
  </r>
  <r>
    <x v="5"/>
    <n v="4285"/>
    <n v="886"/>
    <n v="376"/>
    <n v="55705"/>
    <n v="55556"/>
    <n v="51"/>
    <n v="9.9578134817341346E-2"/>
    <n v="5547"/>
  </r>
  <r>
    <x v="5"/>
    <n v="1176"/>
    <n v="464"/>
    <n v="394"/>
    <n v="14112"/>
    <n v="13588"/>
    <n v="272"/>
    <n v="0.1441326530612245"/>
    <n v="2034"/>
  </r>
  <r>
    <x v="5"/>
    <n v="4858"/>
    <n v="317"/>
    <n v="129"/>
    <n v="53438"/>
    <n v="52687"/>
    <n v="223"/>
    <n v="9.9255211647142488E-2"/>
    <n v="5304"/>
  </r>
  <r>
    <x v="5"/>
    <n v="4350"/>
    <n v="771"/>
    <n v="7"/>
    <n v="60900"/>
    <n v="60592"/>
    <n v="195"/>
    <n v="8.4203612479474554E-2"/>
    <n v="5128"/>
  </r>
  <r>
    <x v="3"/>
    <n v="914"/>
    <n v="464"/>
    <n v="246"/>
    <n v="11882"/>
    <n v="11500"/>
    <n v="282"/>
    <n v="0.13667732704931829"/>
    <n v="1624"/>
  </r>
  <r>
    <x v="5"/>
    <n v="1813"/>
    <n v="623"/>
    <n v="72"/>
    <n v="19943"/>
    <n v="18959"/>
    <n v="85"/>
    <n v="0.12575841147269717"/>
    <n v="2508"/>
  </r>
  <r>
    <x v="5"/>
    <n v="4782"/>
    <n v="721"/>
    <n v="82"/>
    <n v="86076"/>
    <n v="85339"/>
    <n v="19"/>
    <n v="6.4884520656164318E-2"/>
    <n v="5585"/>
  </r>
  <r>
    <x v="5"/>
    <n v="1048"/>
    <n v="374"/>
    <n v="450"/>
    <n v="9432"/>
    <n v="8882"/>
    <n v="158"/>
    <n v="0.19847328244274809"/>
    <n v="1872"/>
  </r>
  <r>
    <x v="5"/>
    <n v="2509"/>
    <n v="324"/>
    <n v="171"/>
    <n v="35126"/>
    <n v="34685"/>
    <n v="277"/>
    <n v="8.5520696919660646E-2"/>
    <n v="3004"/>
  </r>
  <r>
    <x v="5"/>
    <n v="3718"/>
    <n v="385"/>
    <n v="310"/>
    <n v="70642"/>
    <n v="69749"/>
    <n v="233"/>
    <n v="6.246991874522239E-2"/>
    <n v="4413"/>
  </r>
  <r>
    <x v="5"/>
    <n v="802"/>
    <n v="262"/>
    <n v="244"/>
    <n v="14436"/>
    <n v="14280"/>
    <n v="49"/>
    <n v="9.0606816292601824E-2"/>
    <n v="1308"/>
  </r>
  <r>
    <x v="5"/>
    <n v="1871"/>
    <n v="252"/>
    <n v="335"/>
    <n v="29936"/>
    <n v="29576"/>
    <n v="288"/>
    <n v="8.2108498129342594E-2"/>
    <n v="2458"/>
  </r>
  <r>
    <x v="5"/>
    <n v="3773"/>
    <n v="299"/>
    <n v="38"/>
    <n v="71687"/>
    <n v="71447"/>
    <n v="286"/>
    <n v="5.7332570758993957E-2"/>
    <n v="4110"/>
  </r>
  <r>
    <x v="5"/>
    <n v="2234"/>
    <n v="653"/>
    <n v="432"/>
    <n v="11170"/>
    <n v="10569"/>
    <n v="198"/>
    <n v="0.29713518352730528"/>
    <n v="3319"/>
  </r>
  <r>
    <x v="5"/>
    <n v="3820"/>
    <n v="697"/>
    <n v="268"/>
    <n v="45840"/>
    <n v="45631"/>
    <n v="171"/>
    <n v="0.1043848167539267"/>
    <n v="4785"/>
  </r>
  <r>
    <x v="5"/>
    <n v="941"/>
    <n v="121"/>
    <n v="458"/>
    <n v="14115"/>
    <n v="13838"/>
    <n v="87"/>
    <n v="0.10768685795253277"/>
    <n v="1520"/>
  </r>
  <r>
    <x v="5"/>
    <n v="4274"/>
    <n v="340"/>
    <n v="281"/>
    <n v="34192"/>
    <n v="33446"/>
    <n v="129"/>
    <n v="0.14316214319138981"/>
    <n v="4895"/>
  </r>
  <r>
    <x v="5"/>
    <n v="2949"/>
    <n v="476"/>
    <n v="403"/>
    <n v="44235"/>
    <n v="43705"/>
    <n v="135"/>
    <n v="8.6537809426924378E-2"/>
    <n v="3828"/>
  </r>
  <r>
    <x v="5"/>
    <n v="3160"/>
    <n v="204"/>
    <n v="297"/>
    <n v="44240"/>
    <n v="43666"/>
    <n v="49"/>
    <n v="8.2753164556962022E-2"/>
    <n v="3661"/>
  </r>
  <r>
    <x v="5"/>
    <n v="257"/>
    <n v="966"/>
    <n v="398"/>
    <n v="3341"/>
    <n v="2753"/>
    <n v="287"/>
    <n v="0.48518407662376534"/>
    <n v="1621"/>
  </r>
  <r>
    <x v="5"/>
    <n v="2120"/>
    <n v="38"/>
    <n v="212"/>
    <n v="12720"/>
    <n v="12564"/>
    <n v="21"/>
    <n v="0.18632075471698112"/>
    <n v="2370"/>
  </r>
  <r>
    <x v="5"/>
    <n v="3874"/>
    <n v="884"/>
    <n v="19"/>
    <n v="38740"/>
    <n v="38552"/>
    <n v="219"/>
    <n v="0.123309241094476"/>
    <n v="4777"/>
  </r>
  <r>
    <x v="5"/>
    <n v="2696"/>
    <n v="628"/>
    <n v="443"/>
    <n v="45832"/>
    <n v="45632"/>
    <n v="248"/>
    <n v="8.21914819340199E-2"/>
    <n v="3767"/>
  </r>
  <r>
    <x v="5"/>
    <n v="521"/>
    <n v="746"/>
    <n v="315"/>
    <n v="4168"/>
    <n v="3399"/>
    <n v="282"/>
    <n v="0.37955854126679461"/>
    <n v="1582"/>
  </r>
  <r>
    <x v="5"/>
    <n v="4872"/>
    <n v="925"/>
    <n v="176"/>
    <n v="82824"/>
    <n v="82543"/>
    <n v="89"/>
    <n v="7.2116777745580993E-2"/>
    <n v="5973"/>
  </r>
  <r>
    <x v="5"/>
    <n v="1509"/>
    <n v="88"/>
    <n v="163"/>
    <n v="30180"/>
    <n v="29689"/>
    <n v="119"/>
    <n v="5.8316766070245198E-2"/>
    <n v="1760"/>
  </r>
  <r>
    <x v="5"/>
    <n v="4606"/>
    <n v="931"/>
    <n v="230"/>
    <n v="92120"/>
    <n v="91440"/>
    <n v="56"/>
    <n v="6.2603126356925748E-2"/>
    <n v="5767"/>
  </r>
  <r>
    <x v="5"/>
    <n v="1869"/>
    <n v="453"/>
    <n v="490"/>
    <n v="14952"/>
    <n v="14309"/>
    <n v="275"/>
    <n v="0.18806848582129482"/>
    <n v="2812"/>
  </r>
  <r>
    <x v="5"/>
    <n v="1188"/>
    <n v="470"/>
    <n v="174"/>
    <n v="7128"/>
    <n v="6145"/>
    <n v="270"/>
    <n v="0.25701459034792368"/>
    <n v="1832"/>
  </r>
  <r>
    <x v="5"/>
    <n v="84"/>
    <n v="897"/>
    <n v="85"/>
    <n v="588"/>
    <n v="8"/>
    <n v="12"/>
    <n v="1.8129251700680271"/>
    <n v="1066"/>
  </r>
  <r>
    <x v="5"/>
    <n v="4453"/>
    <n v="111"/>
    <n v="420"/>
    <n v="31171"/>
    <n v="30565"/>
    <n v="23"/>
    <n v="0.15989220750056141"/>
    <n v="4984"/>
  </r>
  <r>
    <x v="5"/>
    <n v="1814"/>
    <n v="653"/>
    <n v="363"/>
    <n v="25396"/>
    <n v="25286"/>
    <n v="39"/>
    <n v="0.11143487163332809"/>
    <n v="2830"/>
  </r>
  <r>
    <x v="5"/>
    <n v="3338"/>
    <n v="277"/>
    <n v="118"/>
    <n v="60084"/>
    <n v="59842"/>
    <n v="252"/>
    <n v="6.2129685107516146E-2"/>
    <n v="3733"/>
  </r>
  <r>
    <x v="5"/>
    <n v="602"/>
    <n v="594"/>
    <n v="156"/>
    <n v="4214"/>
    <n v="3363"/>
    <n v="164"/>
    <n v="0.32083531086853345"/>
    <n v="1352"/>
  </r>
  <r>
    <x v="5"/>
    <n v="4672"/>
    <n v="325"/>
    <n v="32"/>
    <n v="88768"/>
    <n v="87833"/>
    <n v="118"/>
    <n v="5.6653298485940883E-2"/>
    <n v="5029"/>
  </r>
  <r>
    <x v="5"/>
    <n v="1741"/>
    <n v="164"/>
    <n v="318"/>
    <n v="8705"/>
    <n v="8272"/>
    <n v="121"/>
    <n v="0.25537047673750718"/>
    <n v="2223"/>
  </r>
  <r>
    <x v="5"/>
    <n v="246"/>
    <n v="149"/>
    <n v="130"/>
    <n v="4674"/>
    <n v="4390"/>
    <n v="217"/>
    <n v="0.11232349165596919"/>
    <n v="525"/>
  </r>
  <r>
    <x v="5"/>
    <n v="4808"/>
    <n v="772"/>
    <n v="320"/>
    <n v="72120"/>
    <n v="71696"/>
    <n v="195"/>
    <n v="8.1808097615085965E-2"/>
    <n v="5900"/>
  </r>
  <r>
    <x v="5"/>
    <n v="4799"/>
    <n v="694"/>
    <n v="289"/>
    <n v="43191"/>
    <n v="42228"/>
    <n v="118"/>
    <n v="0.13387048227640017"/>
    <n v="5782"/>
  </r>
  <r>
    <x v="5"/>
    <n v="3663"/>
    <n v="17"/>
    <n v="295"/>
    <n v="51282"/>
    <n v="50567"/>
    <n v="84"/>
    <n v="7.7512577512577507E-2"/>
    <n v="3975"/>
  </r>
  <r>
    <x v="5"/>
    <n v="1430"/>
    <n v="376"/>
    <n v="33"/>
    <n v="21450"/>
    <n v="20509"/>
    <n v="251"/>
    <n v="8.5734265734265735E-2"/>
    <n v="1839"/>
  </r>
  <r>
    <x v="5"/>
    <n v="249"/>
    <n v="592"/>
    <n v="230"/>
    <n v="1494"/>
    <n v="1044"/>
    <n v="201"/>
    <n v="0.7168674698795181"/>
    <n v="1071"/>
  </r>
  <r>
    <x v="5"/>
    <n v="2382"/>
    <n v="265"/>
    <n v="134"/>
    <n v="38112"/>
    <n v="37437"/>
    <n v="249"/>
    <n v="7.2969143576826198E-2"/>
    <n v="2781"/>
  </r>
  <r>
    <x v="5"/>
    <n v="1272"/>
    <n v="465"/>
    <n v="99"/>
    <n v="24168"/>
    <n v="23719"/>
    <n v="42"/>
    <n v="7.5968222442899705E-2"/>
    <n v="1836"/>
  </r>
  <r>
    <x v="5"/>
    <n v="3196"/>
    <n v="941"/>
    <n v="376"/>
    <n v="35156"/>
    <n v="34444"/>
    <n v="241"/>
    <n v="0.1283706906360223"/>
    <n v="4513"/>
  </r>
  <r>
    <x v="2"/>
    <n v="1257"/>
    <n v="19"/>
    <n v="351"/>
    <n v="12570"/>
    <n v="11660"/>
    <n v="194"/>
    <n v="0.12943516308671441"/>
    <n v="1627"/>
  </r>
  <r>
    <x v="5"/>
    <n v="3770"/>
    <n v="917"/>
    <n v="129"/>
    <n v="71630"/>
    <n v="71322"/>
    <n v="76"/>
    <n v="6.7234398994834563E-2"/>
    <n v="4816"/>
  </r>
  <r>
    <x v="5"/>
    <n v="4725"/>
    <n v="400"/>
    <n v="362"/>
    <n v="75600"/>
    <n v="74927"/>
    <n v="43"/>
    <n v="7.2579365079365077E-2"/>
    <n v="5487"/>
  </r>
  <r>
    <x v="5"/>
    <n v="4188"/>
    <n v="942"/>
    <n v="118"/>
    <n v="20940"/>
    <n v="20471"/>
    <n v="102"/>
    <n v="0.25062082139446035"/>
    <n v="5248"/>
  </r>
  <r>
    <x v="3"/>
    <n v="929"/>
    <n v="192"/>
    <n v="322"/>
    <n v="16722"/>
    <n v="15996"/>
    <n v="145"/>
    <n v="8.6293505561535699E-2"/>
    <n v="1443"/>
  </r>
  <r>
    <x v="5"/>
    <n v="4321"/>
    <n v="874"/>
    <n v="172"/>
    <n v="30247"/>
    <n v="29254"/>
    <n v="122"/>
    <n v="0.17743908486792079"/>
    <n v="5367"/>
  </r>
  <r>
    <x v="5"/>
    <n v="4767"/>
    <n v="190"/>
    <n v="340"/>
    <n v="28602"/>
    <n v="28044"/>
    <n v="210"/>
    <n v="0.18519683938186141"/>
    <n v="5297"/>
  </r>
  <r>
    <x v="5"/>
    <n v="3592"/>
    <n v="911"/>
    <n v="375"/>
    <n v="50288"/>
    <n v="49490"/>
    <n v="32"/>
    <n v="9.7001272669424113E-2"/>
    <n v="4878"/>
  </r>
  <r>
    <x v="5"/>
    <n v="4661"/>
    <n v="935"/>
    <n v="433"/>
    <n v="23305"/>
    <n v="22583"/>
    <n v="63"/>
    <n v="0.25869984981763572"/>
    <n v="6029"/>
  </r>
  <r>
    <x v="5"/>
    <n v="4134"/>
    <n v="824"/>
    <n v="99"/>
    <n v="41340"/>
    <n v="41050"/>
    <n v="177"/>
    <n v="0.12232704402515723"/>
    <n v="5057"/>
  </r>
  <r>
    <x v="5"/>
    <n v="400"/>
    <n v="680"/>
    <n v="434"/>
    <n v="6400"/>
    <n v="5472"/>
    <n v="160"/>
    <n v="0.23656250000000001"/>
    <n v="1514"/>
  </r>
  <r>
    <x v="4"/>
    <n v="3960"/>
    <n v="266"/>
    <n v="8"/>
    <n v="35640"/>
    <n v="34850"/>
    <n v="208"/>
    <n v="0.11879910213243547"/>
    <n v="4234"/>
  </r>
  <r>
    <x v="5"/>
    <n v="886"/>
    <n v="126"/>
    <n v="153"/>
    <n v="4430"/>
    <n v="4037"/>
    <n v="212"/>
    <n v="0.26297968397291194"/>
    <n v="1165"/>
  </r>
  <r>
    <x v="5"/>
    <n v="827"/>
    <n v="77"/>
    <n v="402"/>
    <n v="14886"/>
    <n v="14129"/>
    <n v="254"/>
    <n v="8.7733440816874911E-2"/>
    <n v="1306"/>
  </r>
  <r>
    <x v="5"/>
    <n v="3813"/>
    <n v="935"/>
    <n v="274"/>
    <n v="68634"/>
    <n v="68488"/>
    <n v="251"/>
    <n v="7.3170731707317069E-2"/>
    <n v="5022"/>
  </r>
  <r>
    <x v="5"/>
    <n v="1377"/>
    <n v="796"/>
    <n v="387"/>
    <n v="22032"/>
    <n v="21869"/>
    <n v="189"/>
    <n v="0.11619462599854757"/>
    <n v="2560"/>
  </r>
  <r>
    <x v="5"/>
    <n v="2089"/>
    <n v="476"/>
    <n v="69"/>
    <n v="16712"/>
    <n v="16309"/>
    <n v="64"/>
    <n v="0.15761129727142173"/>
    <n v="2634"/>
  </r>
  <r>
    <x v="5"/>
    <n v="3791"/>
    <n v="593"/>
    <n v="228"/>
    <n v="53074"/>
    <n v="52613"/>
    <n v="205"/>
    <n v="8.6897539284772202E-2"/>
    <n v="4612"/>
  </r>
  <r>
    <x v="5"/>
    <n v="2692"/>
    <n v="115"/>
    <n v="64"/>
    <n v="21536"/>
    <n v="21120"/>
    <n v="224"/>
    <n v="0.13331166419019316"/>
    <n v="2871"/>
  </r>
  <r>
    <x v="5"/>
    <n v="3767"/>
    <n v="514"/>
    <n v="238"/>
    <n v="37670"/>
    <n v="36807"/>
    <n v="226"/>
    <n v="0.11996283514733209"/>
    <n v="4519"/>
  </r>
  <r>
    <x v="5"/>
    <n v="2143"/>
    <n v="12"/>
    <n v="204"/>
    <n v="40717"/>
    <n v="40125"/>
    <n v="248"/>
    <n v="5.7936488444630008E-2"/>
    <n v="2359"/>
  </r>
  <r>
    <x v="4"/>
    <n v="3090"/>
    <n v="697"/>
    <n v="164"/>
    <n v="49440"/>
    <n v="48524"/>
    <n v="25"/>
    <n v="7.9915048543689318E-2"/>
    <n v="3951"/>
  </r>
  <r>
    <x v="5"/>
    <n v="3601"/>
    <n v="695"/>
    <n v="75"/>
    <n v="21606"/>
    <n v="21454"/>
    <n v="172"/>
    <n v="0.2023049153013052"/>
    <n v="4371"/>
  </r>
  <r>
    <x v="5"/>
    <n v="562"/>
    <n v="158"/>
    <n v="149"/>
    <n v="3372"/>
    <n v="2940"/>
    <n v="93"/>
    <n v="0.25771055753262156"/>
    <n v="869"/>
  </r>
  <r>
    <x v="4"/>
    <n v="4332"/>
    <n v="771"/>
    <n v="219"/>
    <n v="60648"/>
    <n v="60397"/>
    <n v="10"/>
    <n v="8.7752275425405618E-2"/>
    <n v="5322"/>
  </r>
  <r>
    <x v="5"/>
    <n v="4853"/>
    <n v="837"/>
    <n v="340"/>
    <n v="72795"/>
    <n v="72237"/>
    <n v="170"/>
    <n v="8.2835359571399134E-2"/>
    <n v="6030"/>
  </r>
  <r>
    <x v="5"/>
    <n v="1206"/>
    <n v="238"/>
    <n v="36"/>
    <n v="9648"/>
    <n v="9417"/>
    <n v="237"/>
    <n v="0.15339966832504145"/>
    <n v="1480"/>
  </r>
  <r>
    <x v="5"/>
    <n v="2603"/>
    <n v="690"/>
    <n v="205"/>
    <n v="13015"/>
    <n v="12130"/>
    <n v="20"/>
    <n v="0.26876680752977333"/>
    <n v="3498"/>
  </r>
  <r>
    <x v="5"/>
    <n v="59"/>
    <n v="163"/>
    <n v="93"/>
    <n v="590"/>
    <n v="475"/>
    <n v="293"/>
    <n v="0.53389830508474578"/>
    <n v="315"/>
  </r>
  <r>
    <x v="5"/>
    <n v="1877"/>
    <n v="745"/>
    <n v="225"/>
    <n v="11262"/>
    <n v="10967"/>
    <n v="41"/>
    <n v="0.25279701651571657"/>
    <n v="2847"/>
  </r>
  <r>
    <x v="5"/>
    <n v="4182"/>
    <n v="640"/>
    <n v="240"/>
    <n v="50184"/>
    <n v="49351"/>
    <n v="10"/>
    <n v="0.10086880280567512"/>
    <n v="5062"/>
  </r>
  <r>
    <x v="5"/>
    <n v="4187"/>
    <n v="66"/>
    <n v="31"/>
    <n v="66992"/>
    <n v="66614"/>
    <n v="62"/>
    <n v="6.3947934081681396E-2"/>
    <n v="4284"/>
  </r>
  <r>
    <x v="5"/>
    <n v="4579"/>
    <n v="125"/>
    <n v="300"/>
    <n v="59527"/>
    <n v="59400"/>
    <n v="269"/>
    <n v="8.4062694239588759E-2"/>
    <n v="5004"/>
  </r>
  <r>
    <x v="5"/>
    <n v="4561"/>
    <n v="51"/>
    <n v="441"/>
    <n v="22805"/>
    <n v="21890"/>
    <n v="45"/>
    <n v="0.22157421618066214"/>
    <n v="5053"/>
  </r>
  <r>
    <x v="5"/>
    <n v="3774"/>
    <n v="239"/>
    <n v="39"/>
    <n v="60384"/>
    <n v="59490"/>
    <n v="241"/>
    <n v="6.7103868574456813E-2"/>
    <n v="4052"/>
  </r>
  <r>
    <x v="5"/>
    <n v="3575"/>
    <n v="749"/>
    <n v="111"/>
    <n v="21450"/>
    <n v="20785"/>
    <n v="195"/>
    <n v="0.20675990675990677"/>
    <n v="4435"/>
  </r>
  <r>
    <x v="5"/>
    <n v="4941"/>
    <n v="414"/>
    <n v="266"/>
    <n v="39528"/>
    <n v="39154"/>
    <n v="217"/>
    <n v="0.14220299534507186"/>
    <n v="5621"/>
  </r>
  <r>
    <x v="5"/>
    <n v="3641"/>
    <n v="226"/>
    <n v="46"/>
    <n v="40051"/>
    <n v="39319"/>
    <n v="296"/>
    <n v="9.7700431949264685E-2"/>
    <n v="3913"/>
  </r>
  <r>
    <x v="5"/>
    <n v="3535"/>
    <n v="494"/>
    <n v="152"/>
    <n v="53025"/>
    <n v="52791"/>
    <n v="44"/>
    <n v="7.8849599245638849E-2"/>
    <n v="4181"/>
  </r>
  <r>
    <x v="5"/>
    <n v="1741"/>
    <n v="831"/>
    <n v="345"/>
    <n v="17410"/>
    <n v="16844"/>
    <n v="58"/>
    <n v="0.16754738655944859"/>
    <n v="2917"/>
  </r>
  <r>
    <x v="5"/>
    <n v="1556"/>
    <n v="195"/>
    <n v="131"/>
    <n v="9336"/>
    <n v="8875"/>
    <n v="137"/>
    <n v="0.2015852613538989"/>
    <n v="1882"/>
  </r>
  <r>
    <x v="5"/>
    <n v="4236"/>
    <n v="711"/>
    <n v="298"/>
    <n v="21180"/>
    <n v="20516"/>
    <n v="238"/>
    <n v="0.24763928234183191"/>
    <n v="5245"/>
  </r>
  <r>
    <x v="5"/>
    <n v="4516"/>
    <n v="836"/>
    <n v="169"/>
    <n v="49676"/>
    <n v="49257"/>
    <n v="282"/>
    <n v="0.11114018842096787"/>
    <n v="5521"/>
  </r>
  <r>
    <x v="5"/>
    <n v="4905"/>
    <n v="845"/>
    <n v="129"/>
    <n v="98100"/>
    <n v="97772"/>
    <n v="279"/>
    <n v="5.9928644240570844E-2"/>
    <n v="5879"/>
  </r>
  <r>
    <x v="3"/>
    <n v="4275"/>
    <n v="680"/>
    <n v="385"/>
    <n v="64125"/>
    <n v="63650"/>
    <n v="104"/>
    <n v="8.3274853801169585E-2"/>
    <n v="5340"/>
  </r>
  <r>
    <x v="5"/>
    <n v="3166"/>
    <n v="90"/>
    <n v="341"/>
    <n v="56988"/>
    <n v="56125"/>
    <n v="135"/>
    <n v="6.3118551273952411E-2"/>
    <n v="3597"/>
  </r>
  <r>
    <x v="5"/>
    <n v="1488"/>
    <n v="417"/>
    <n v="168"/>
    <n v="19344"/>
    <n v="18395"/>
    <n v="30"/>
    <n v="0.1071650124069479"/>
    <n v="2073"/>
  </r>
  <r>
    <x v="5"/>
    <n v="3367"/>
    <n v="302"/>
    <n v="57"/>
    <n v="63973"/>
    <n v="63789"/>
    <n v="157"/>
    <n v="5.8243321401216137E-2"/>
    <n v="3726"/>
  </r>
  <r>
    <x v="5"/>
    <n v="571"/>
    <n v="190"/>
    <n v="352"/>
    <n v="9707"/>
    <n v="9418"/>
    <n v="231"/>
    <n v="0.11465952405480581"/>
    <n v="1113"/>
  </r>
  <r>
    <x v="5"/>
    <n v="4021"/>
    <n v="794"/>
    <n v="77"/>
    <n v="36189"/>
    <n v="35505"/>
    <n v="174"/>
    <n v="0.13517919809886983"/>
    <n v="4892"/>
  </r>
  <r>
    <x v="5"/>
    <n v="3389"/>
    <n v="344"/>
    <n v="229"/>
    <n v="20334"/>
    <n v="19443"/>
    <n v="228"/>
    <n v="0.19484607062063539"/>
    <n v="3962"/>
  </r>
  <r>
    <x v="5"/>
    <n v="1164"/>
    <n v="616"/>
    <n v="324"/>
    <n v="6984"/>
    <n v="6636"/>
    <n v="82"/>
    <n v="0.30126002290950743"/>
    <n v="2104"/>
  </r>
  <r>
    <x v="5"/>
    <n v="4780"/>
    <n v="691"/>
    <n v="380"/>
    <n v="86040"/>
    <n v="85743"/>
    <n v="262"/>
    <n v="6.800325430032543E-2"/>
    <n v="5851"/>
  </r>
  <r>
    <x v="5"/>
    <n v="2751"/>
    <n v="33"/>
    <n v="430"/>
    <n v="44016"/>
    <n v="43415"/>
    <n v="129"/>
    <n v="7.3018902217375503E-2"/>
    <n v="3214"/>
  </r>
  <r>
    <x v="5"/>
    <n v="2107"/>
    <n v="550"/>
    <n v="349"/>
    <n v="35819"/>
    <n v="35340"/>
    <n v="191"/>
    <n v="8.3921940869371006E-2"/>
    <n v="3006"/>
  </r>
  <r>
    <x v="5"/>
    <n v="4663"/>
    <n v="145"/>
    <n v="225"/>
    <n v="69945"/>
    <n v="69596"/>
    <n v="35"/>
    <n v="7.1956537279290869E-2"/>
    <n v="5033"/>
  </r>
  <r>
    <x v="5"/>
    <n v="880"/>
    <n v="297"/>
    <n v="345"/>
    <n v="12320"/>
    <n v="11978"/>
    <n v="238"/>
    <n v="0.12353896103896105"/>
    <n v="1522"/>
  </r>
  <r>
    <x v="5"/>
    <n v="2634"/>
    <n v="726"/>
    <n v="241"/>
    <n v="28974"/>
    <n v="28102"/>
    <n v="277"/>
    <n v="0.12428384068475185"/>
    <n v="3601"/>
  </r>
  <r>
    <x v="5"/>
    <n v="4731"/>
    <n v="173"/>
    <n v="276"/>
    <n v="28386"/>
    <n v="28185"/>
    <n v="89"/>
    <n v="0.18248432325794406"/>
    <n v="5180"/>
  </r>
  <r>
    <x v="3"/>
    <n v="1952"/>
    <n v="344"/>
    <n v="287"/>
    <n v="15616"/>
    <n v="15403"/>
    <n v="235"/>
    <n v="0.16540727459016394"/>
    <n v="2583"/>
  </r>
  <r>
    <x v="5"/>
    <n v="3440"/>
    <n v="13"/>
    <n v="20"/>
    <n v="58480"/>
    <n v="58146"/>
    <n v="210"/>
    <n v="5.9387824897400819E-2"/>
    <n v="3473"/>
  </r>
  <r>
    <x v="5"/>
    <n v="2166"/>
    <n v="354"/>
    <n v="117"/>
    <n v="10830"/>
    <n v="10245"/>
    <n v="24"/>
    <n v="0.24349030470914126"/>
    <n v="2637"/>
  </r>
  <r>
    <x v="5"/>
    <n v="4303"/>
    <n v="451"/>
    <n v="286"/>
    <n v="86060"/>
    <n v="85823"/>
    <n v="14"/>
    <n v="5.8563792702765516E-2"/>
    <n v="5040"/>
  </r>
  <r>
    <x v="5"/>
    <n v="2581"/>
    <n v="517"/>
    <n v="117"/>
    <n v="23229"/>
    <n v="22331"/>
    <n v="70"/>
    <n v="0.13840458048129492"/>
    <n v="3215"/>
  </r>
  <r>
    <x v="4"/>
    <n v="4494"/>
    <n v="717"/>
    <n v="45"/>
    <n v="62916"/>
    <n v="62688"/>
    <n v="191"/>
    <n v="8.3539958039290485E-2"/>
    <n v="5256"/>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
  <r>
    <s v="P001"/>
    <x v="0"/>
    <s v="2024-12-23"/>
    <s v="Reel"/>
    <s v="Check out our latest reel on twitter!"/>
    <n v="1461"/>
    <n v="184"/>
    <n v="344"/>
    <n v="21915"/>
    <n v="21675"/>
    <n v="15"/>
    <x v="0"/>
    <s v="#FutureOfDriving"/>
    <s v="#AnytimeIsTeslaTime"/>
    <m/>
    <n v="9.0759753593429152E-2"/>
    <n v="1989"/>
  </r>
  <r>
    <s v="P300"/>
    <x v="0"/>
    <s v="2024-08-31"/>
    <s v="Carousel"/>
    <s v="Check out our latest carousel on twitter!"/>
    <n v="4494"/>
    <n v="717"/>
    <n v="45"/>
    <n v="62916"/>
    <n v="62688"/>
    <n v="191"/>
    <x v="0"/>
    <s v="#TeslaCoInnovation"/>
    <s v="#EVRevolution"/>
    <s v="#BetterWithTesla"/>
    <n v="8.3539958039290485E-2"/>
    <n v="5256"/>
  </r>
  <r>
    <s v="P293"/>
    <x v="1"/>
    <s v="2025-05-14"/>
    <s v="Text"/>
    <s v="Check out our latest text on facebook!"/>
    <n v="2634"/>
    <n v="726"/>
    <n v="241"/>
    <n v="28974"/>
    <n v="28102"/>
    <n v="277"/>
    <x v="0"/>
    <s v="#EVRevolution"/>
    <m/>
    <m/>
    <n v="0.12428384068475185"/>
    <n v="3601"/>
  </r>
  <r>
    <s v="P287"/>
    <x v="2"/>
    <s v="2024-08-15"/>
    <s v="Reel"/>
    <s v="Check out our latest reel on instagram!"/>
    <n v="1164"/>
    <n v="616"/>
    <n v="324"/>
    <n v="6984"/>
    <n v="6636"/>
    <n v="82"/>
    <x v="0"/>
    <s v="#EVRevolution"/>
    <m/>
    <m/>
    <n v="0.30126002290950743"/>
    <n v="2104"/>
  </r>
  <r>
    <s v="P005"/>
    <x v="3"/>
    <s v="2024-06-26"/>
    <s v="Reel"/>
    <s v="Check out our latest reel on youtube!"/>
    <n v="3557"/>
    <n v="687"/>
    <n v="424"/>
    <n v="71140"/>
    <n v="70701"/>
    <n v="224"/>
    <x v="0"/>
    <s v="#EVRevolution"/>
    <s v="#TeslaCoInnovation"/>
    <m/>
    <n v="6.5617093055946027E-2"/>
    <n v="4668"/>
  </r>
  <r>
    <s v="P277"/>
    <x v="1"/>
    <s v="2025-04-06"/>
    <s v="Image"/>
    <s v="Check out our latest image on facebook!"/>
    <n v="4236"/>
    <n v="711"/>
    <n v="298"/>
    <n v="21180"/>
    <n v="20516"/>
    <n v="238"/>
    <x v="0"/>
    <s v="#FutureOfDriving"/>
    <m/>
    <m/>
    <n v="0.24763928234183191"/>
    <n v="5245"/>
  </r>
  <r>
    <s v="P268"/>
    <x v="2"/>
    <s v="2025-04-13"/>
    <s v="Reel"/>
    <s v="Check out our latest reel on instagram!"/>
    <n v="4579"/>
    <n v="125"/>
    <n v="300"/>
    <n v="59527"/>
    <n v="59400"/>
    <n v="269"/>
    <x v="0"/>
    <s v="#EVRevolution"/>
    <m/>
    <m/>
    <n v="8.4062694239588759E-2"/>
    <n v="5004"/>
  </r>
  <r>
    <s v="P261"/>
    <x v="2"/>
    <s v="2024-10-27"/>
    <s v="Image"/>
    <s v="Check out our latest image on instagram!"/>
    <n v="4853"/>
    <n v="837"/>
    <n v="340"/>
    <n v="72795"/>
    <n v="72237"/>
    <n v="170"/>
    <x v="0"/>
    <s v="#EVRevolution"/>
    <m/>
    <m/>
    <n v="8.2835359571399134E-2"/>
    <n v="6030"/>
  </r>
  <r>
    <s v="P259"/>
    <x v="1"/>
    <s v="2025-02-10"/>
    <s v="Text"/>
    <s v="Check out our latest text on facebook!"/>
    <n v="562"/>
    <n v="158"/>
    <n v="149"/>
    <n v="3372"/>
    <n v="2940"/>
    <n v="93"/>
    <x v="0"/>
    <s v="#TeslaCoInnovation"/>
    <m/>
    <m/>
    <n v="0.25771055753262156"/>
    <n v="869"/>
  </r>
  <r>
    <s v="P245"/>
    <x v="1"/>
    <s v="2025-01-12"/>
    <s v="Reel"/>
    <s v="Check out our latest reel on facebook!"/>
    <n v="4134"/>
    <n v="824"/>
    <n v="99"/>
    <n v="41340"/>
    <n v="41050"/>
    <n v="177"/>
    <x v="0"/>
    <s v="#EVRevolution"/>
    <m/>
    <m/>
    <n v="0.12232704402515723"/>
    <n v="5057"/>
  </r>
  <r>
    <s v="P237"/>
    <x v="2"/>
    <s v="2024-10-22"/>
    <s v="Story"/>
    <s v="Check out our latest story on instagram!"/>
    <n v="3770"/>
    <n v="917"/>
    <n v="129"/>
    <n v="71630"/>
    <n v="71322"/>
    <n v="76"/>
    <x v="0"/>
    <s v="#FutureOfDriving"/>
    <m/>
    <m/>
    <n v="6.7234398994834563E-2"/>
    <n v="4816"/>
  </r>
  <r>
    <s v="P231"/>
    <x v="2"/>
    <s v="2025-05-01"/>
    <s v="Text"/>
    <s v="Check out our latest text on instagram!"/>
    <n v="1430"/>
    <n v="376"/>
    <n v="33"/>
    <n v="21450"/>
    <n v="20509"/>
    <n v="251"/>
    <x v="0"/>
    <s v="#FutureOfDriving"/>
    <m/>
    <m/>
    <n v="8.5734265734265735E-2"/>
    <n v="1839"/>
  </r>
  <r>
    <s v="P013"/>
    <x v="3"/>
    <s v="2024-11-18"/>
    <s v="Carousel"/>
    <s v="Check out our latest carousel on youtube!"/>
    <n v="1171"/>
    <n v="286"/>
    <n v="231"/>
    <n v="22249"/>
    <n v="21282"/>
    <n v="114"/>
    <x v="0"/>
    <s v="#EVRevolution"/>
    <m/>
    <m/>
    <n v="7.5868578363072495E-2"/>
    <n v="1688"/>
  </r>
  <r>
    <s v="P228"/>
    <x v="2"/>
    <s v="2024-07-01"/>
    <s v="Story"/>
    <s v="Check out our latest story on instagram!"/>
    <n v="4808"/>
    <n v="772"/>
    <n v="320"/>
    <n v="72120"/>
    <n v="71696"/>
    <n v="195"/>
    <x v="0"/>
    <s v="#EVRevolution"/>
    <m/>
    <m/>
    <n v="8.1808097615085965E-2"/>
    <n v="5900"/>
  </r>
  <r>
    <s v="P015"/>
    <x v="1"/>
    <s v="2024-10-24"/>
    <s v="Video"/>
    <s v="Check out our latest video on facebook!"/>
    <n v="3888"/>
    <n v="604"/>
    <n v="128"/>
    <n v="77760"/>
    <n v="77167"/>
    <n v="20"/>
    <x v="0"/>
    <s v="#FutureOfDriving"/>
    <m/>
    <m/>
    <n v="5.941358024691358E-2"/>
    <n v="4620"/>
  </r>
  <r>
    <s v="P222"/>
    <x v="1"/>
    <s v="2024-10-08"/>
    <s v="Reel"/>
    <s v="Check out our latest reel on facebook!"/>
    <n v="1814"/>
    <n v="653"/>
    <n v="363"/>
    <n v="25396"/>
    <n v="25286"/>
    <n v="39"/>
    <x v="0"/>
    <s v="#FutureOfDriving"/>
    <s v="#SmoothLikeNitroTesla"/>
    <m/>
    <n v="0.11143487163332809"/>
    <n v="2830"/>
  </r>
  <r>
    <s v="P210"/>
    <x v="3"/>
    <s v="2025-02-19"/>
    <s v="Image"/>
    <s v="Check out our latest image on youtube!"/>
    <n v="257"/>
    <n v="966"/>
    <n v="398"/>
    <n v="3341"/>
    <n v="2753"/>
    <n v="287"/>
    <x v="0"/>
    <s v="#FutureOfDriving"/>
    <m/>
    <m/>
    <n v="0.48518407662376534"/>
    <n v="1621"/>
  </r>
  <r>
    <s v="P018"/>
    <x v="2"/>
    <s v="2024-08-19"/>
    <s v="Reel"/>
    <s v="Check out our latest reel on instagram!"/>
    <n v="3000"/>
    <n v="382"/>
    <n v="325"/>
    <n v="36000"/>
    <n v="35819"/>
    <n v="19"/>
    <x v="0"/>
    <s v="#FutureOfDriving"/>
    <m/>
    <m/>
    <n v="0.10297222222222223"/>
    <n v="3707"/>
  </r>
  <r>
    <s v="P206"/>
    <x v="0"/>
    <s v="2024-06-24"/>
    <s v="Text"/>
    <s v="Check out our latest text on twitter!"/>
    <n v="941"/>
    <n v="121"/>
    <n v="458"/>
    <n v="14115"/>
    <n v="13838"/>
    <n v="87"/>
    <x v="0"/>
    <s v="#EVRevolution"/>
    <m/>
    <m/>
    <n v="0.10768685795253277"/>
    <n v="1520"/>
  </r>
  <r>
    <s v="P020"/>
    <x v="2"/>
    <s v="2024-09-09"/>
    <s v="Carousel"/>
    <s v="Check out our latest carousel on instagram!"/>
    <n v="4054"/>
    <n v="488"/>
    <n v="373"/>
    <n v="77026"/>
    <n v="76881"/>
    <n v="25"/>
    <x v="0"/>
    <s v="#TeslaCoInnovation"/>
    <m/>
    <m/>
    <n v="6.3809622724794221E-2"/>
    <n v="4915"/>
  </r>
  <r>
    <s v="P203"/>
    <x v="2"/>
    <s v="2024-11-21"/>
    <s v="Carousel"/>
    <s v="Check out our latest carousel on instagram!"/>
    <n v="3773"/>
    <n v="299"/>
    <n v="38"/>
    <n v="71687"/>
    <n v="71447"/>
    <n v="286"/>
    <x v="0"/>
    <s v="#FutureOfDriving"/>
    <m/>
    <m/>
    <n v="5.7332570758993957E-2"/>
    <n v="4110"/>
  </r>
  <r>
    <s v="P201"/>
    <x v="0"/>
    <s v="2025-01-15"/>
    <s v="Reel"/>
    <s v="Check out our latest reel on twitter!"/>
    <n v="802"/>
    <n v="262"/>
    <n v="244"/>
    <n v="14436"/>
    <n v="14280"/>
    <n v="49"/>
    <x v="0"/>
    <s v="#EVRevolution"/>
    <m/>
    <m/>
    <n v="9.0606816292601824E-2"/>
    <n v="1308"/>
  </r>
  <r>
    <s v="P197"/>
    <x v="0"/>
    <s v="2024-10-22"/>
    <s v="Reel"/>
    <s v="Check out our latest reel on twitter!"/>
    <n v="4782"/>
    <n v="721"/>
    <n v="82"/>
    <n v="86076"/>
    <n v="85339"/>
    <n v="19"/>
    <x v="0"/>
    <s v="#EVRevolution"/>
    <m/>
    <m/>
    <n v="6.4884520656164318E-2"/>
    <n v="5585"/>
  </r>
  <r>
    <s v="P194"/>
    <x v="3"/>
    <s v="2024-10-02"/>
    <s v="Story"/>
    <s v="Check out our latest story on youtube!"/>
    <n v="4350"/>
    <n v="771"/>
    <n v="7"/>
    <n v="60900"/>
    <n v="60592"/>
    <n v="195"/>
    <x v="0"/>
    <s v="#EVRevolution"/>
    <m/>
    <m/>
    <n v="8.4203612479474554E-2"/>
    <n v="5128"/>
  </r>
  <r>
    <s v="P189"/>
    <x v="1"/>
    <s v="2025-03-24"/>
    <s v="Reel"/>
    <s v="Check out our latest reel on facebook!"/>
    <n v="3360"/>
    <n v="525"/>
    <n v="500"/>
    <n v="60480"/>
    <n v="59610"/>
    <n v="192"/>
    <x v="0"/>
    <s v="#TeslaCoInnovation"/>
    <m/>
    <m/>
    <n v="7.2503306878306875E-2"/>
    <n v="4385"/>
  </r>
  <r>
    <s v="P184"/>
    <x v="0"/>
    <s v="2024-07-28"/>
    <s v="Image"/>
    <s v="Check out our latest image on twitter!"/>
    <n v="3215"/>
    <n v="960"/>
    <n v="202"/>
    <n v="32150"/>
    <n v="31404"/>
    <n v="251"/>
    <x v="0"/>
    <s v="#EVRevolution"/>
    <m/>
    <m/>
    <n v="0.13614307931570763"/>
    <n v="4377"/>
  </r>
  <r>
    <s v="P180"/>
    <x v="3"/>
    <s v="2024-12-03"/>
    <s v="Text"/>
    <s v="Check out our latest text on youtube!"/>
    <n v="3711"/>
    <n v="352"/>
    <n v="290"/>
    <n v="48243"/>
    <n v="47579"/>
    <n v="11"/>
    <x v="0"/>
    <s v="#TeslaCoInnovation"/>
    <m/>
    <m/>
    <n v="9.023070704558174E-2"/>
    <n v="4353"/>
  </r>
  <r>
    <s v="P176"/>
    <x v="1"/>
    <s v="2024-06-20"/>
    <s v="Video"/>
    <s v="Check out our latest video on facebook!"/>
    <n v="3798"/>
    <n v="31"/>
    <n v="279"/>
    <n v="75960"/>
    <n v="75813"/>
    <n v="266"/>
    <x v="0"/>
    <s v="#TeslaCoInnovation"/>
    <m/>
    <m/>
    <n v="5.4081095313322801E-2"/>
    <n v="4108"/>
  </r>
  <r>
    <s v="P169"/>
    <x v="3"/>
    <s v="2024-12-03"/>
    <s v="Video"/>
    <s v="Check out our latest video on youtube!"/>
    <n v="3809"/>
    <n v="273"/>
    <n v="200"/>
    <n v="34281"/>
    <n v="33534"/>
    <n v="83"/>
    <x v="0"/>
    <s v="#EVRevolution"/>
    <m/>
    <m/>
    <n v="0.12490884163239112"/>
    <n v="4282"/>
  </r>
  <r>
    <s v="P168"/>
    <x v="1"/>
    <s v="2024-11-12"/>
    <s v="Text"/>
    <s v="Check out our latest text on facebook!"/>
    <n v="2418"/>
    <n v="754"/>
    <n v="54"/>
    <n v="43524"/>
    <n v="42743"/>
    <n v="182"/>
    <x v="0"/>
    <s v="#EVRevolution"/>
    <m/>
    <m/>
    <n v="7.412002573292896E-2"/>
    <n v="3226"/>
  </r>
  <r>
    <s v="P166"/>
    <x v="0"/>
    <s v="2025-02-16"/>
    <s v="Reel"/>
    <s v="Check out our latest reel on twitter!"/>
    <n v="1076"/>
    <n v="313"/>
    <n v="306"/>
    <n v="11836"/>
    <n v="11596"/>
    <n v="104"/>
    <x v="0"/>
    <s v="#FutureOfDriving"/>
    <m/>
    <m/>
    <n v="0.14320716458262928"/>
    <n v="1695"/>
  </r>
  <r>
    <s v="P032"/>
    <x v="0"/>
    <s v="2024-07-31"/>
    <s v="Carousel"/>
    <s v="Check out our latest carousel on twitter!"/>
    <n v="2278"/>
    <n v="10"/>
    <n v="321"/>
    <n v="13668"/>
    <n v="12676"/>
    <n v="275"/>
    <x v="0"/>
    <s v="#EVRevolution"/>
    <m/>
    <m/>
    <n v="0.19088381621305239"/>
    <n v="2609"/>
  </r>
  <r>
    <s v="P033"/>
    <x v="1"/>
    <s v="2024-08-21"/>
    <s v="Image"/>
    <s v="Check out our latest image on facebook!"/>
    <n v="1407"/>
    <n v="400"/>
    <n v="351"/>
    <n v="16884"/>
    <n v="15954"/>
    <n v="113"/>
    <x v="0"/>
    <s v="#TeslaCoInnovation"/>
    <m/>
    <m/>
    <n v="0.12781331438047855"/>
    <n v="2158"/>
  </r>
  <r>
    <s v="P158"/>
    <x v="2"/>
    <s v="2024-08-11"/>
    <s v="Story"/>
    <s v="Check out our latest story on instagram!"/>
    <n v="1762"/>
    <n v="405"/>
    <n v="423"/>
    <n v="22906"/>
    <n v="21925"/>
    <n v="25"/>
    <x v="0"/>
    <s v="#TeslaCoInnovation"/>
    <m/>
    <m/>
    <n v="0.11307081114118571"/>
    <n v="2590"/>
  </r>
  <r>
    <s v="P151"/>
    <x v="2"/>
    <s v="2024-07-26"/>
    <s v="Image"/>
    <s v="Check out our latest image on instagram!"/>
    <n v="3559"/>
    <n v="59"/>
    <n v="289"/>
    <n v="35590"/>
    <n v="35105"/>
    <n v="122"/>
    <x v="0"/>
    <s v="#EVRevolution"/>
    <m/>
    <m/>
    <n v="0.10977802753582468"/>
    <n v="3907"/>
  </r>
  <r>
    <s v="P149"/>
    <x v="0"/>
    <s v="2024-06-16"/>
    <s v="Video"/>
    <s v="Check out our latest video on twitter!"/>
    <n v="1702"/>
    <n v="750"/>
    <n v="179"/>
    <n v="34040"/>
    <n v="33174"/>
    <n v="76"/>
    <x v="0"/>
    <s v="#EVRevolution"/>
    <m/>
    <m/>
    <n v="7.7291421856639245E-2"/>
    <n v="2631"/>
  </r>
  <r>
    <s v="P139"/>
    <x v="3"/>
    <s v="2024-10-29"/>
    <s v="Text"/>
    <s v="Check out our latest text on youtube!"/>
    <n v="2746"/>
    <n v="156"/>
    <n v="203"/>
    <n v="32952"/>
    <n v="32147"/>
    <n v="147"/>
    <x v="0"/>
    <s v="#EVRevolution"/>
    <m/>
    <m/>
    <n v="9.422796795338674E-2"/>
    <n v="3105"/>
  </r>
  <r>
    <s v="P134"/>
    <x v="0"/>
    <s v="2025-04-24"/>
    <s v="Reel"/>
    <s v="Check out our latest reel on twitter!"/>
    <n v="3731"/>
    <n v="115"/>
    <n v="135"/>
    <n v="55965"/>
    <n v="55436"/>
    <n v="103"/>
    <x v="0"/>
    <s v="#TeslaCoInnovation"/>
    <m/>
    <m/>
    <n v="7.1133744304476013E-2"/>
    <n v="3981"/>
  </r>
  <r>
    <s v="P124"/>
    <x v="3"/>
    <s v="2025-04-06"/>
    <s v="Carousel"/>
    <s v="Check out our latest carousel on youtube!"/>
    <n v="736"/>
    <n v="771"/>
    <n v="225"/>
    <n v="5152"/>
    <n v="4706"/>
    <n v="19"/>
    <x v="0"/>
    <s v="#EVRevolution"/>
    <m/>
    <m/>
    <n v="0.33618012422360249"/>
    <n v="1732"/>
  </r>
  <r>
    <s v="P123"/>
    <x v="2"/>
    <s v="2024-06-14"/>
    <s v="Story"/>
    <s v="Check out our latest story on instagram!"/>
    <n v="4363"/>
    <n v="649"/>
    <n v="140"/>
    <n v="21815"/>
    <n v="21481"/>
    <n v="157"/>
    <x v="0"/>
    <s v="#EVRevolution"/>
    <m/>
    <m/>
    <n v="0.23616777446710979"/>
    <n v="5152"/>
  </r>
  <r>
    <s v="P114"/>
    <x v="0"/>
    <s v="2024-11-14"/>
    <s v="Story"/>
    <s v="Check out our latest story on twitter!"/>
    <n v="4000"/>
    <n v="689"/>
    <n v="488"/>
    <n v="40000"/>
    <n v="39569"/>
    <n v="44"/>
    <x v="0"/>
    <s v="#FutureOfDriving"/>
    <m/>
    <m/>
    <n v="0.12942500000000001"/>
    <n v="5177"/>
  </r>
  <r>
    <s v="P113"/>
    <x v="0"/>
    <s v="2024-10-02"/>
    <s v="Carousel"/>
    <s v="Check out our latest carousel on twitter!"/>
    <n v="4419"/>
    <n v="236"/>
    <n v="369"/>
    <n v="44190"/>
    <n v="43582"/>
    <n v="10"/>
    <x v="0"/>
    <s v="#EVRevolution"/>
    <m/>
    <m/>
    <n v="0.11369088028965829"/>
    <n v="5024"/>
  </r>
  <r>
    <s v="P105"/>
    <x v="2"/>
    <s v="2024-06-14"/>
    <s v="Carousel"/>
    <s v="Check out our latest carousel on instagram!"/>
    <n v="498"/>
    <n v="38"/>
    <n v="42"/>
    <n v="4482"/>
    <n v="3647"/>
    <n v="32"/>
    <x v="0"/>
    <s v="#FutureOfDriving"/>
    <m/>
    <m/>
    <n v="0.12896028558679162"/>
    <n v="578"/>
  </r>
  <r>
    <s v="P085"/>
    <x v="2"/>
    <s v="2025-04-19"/>
    <s v="Image"/>
    <s v="Check out our latest image on instagram!"/>
    <n v="4177"/>
    <n v="569"/>
    <n v="55"/>
    <n v="25062"/>
    <n v="24847"/>
    <n v="230"/>
    <x v="0"/>
    <s v="#FutureOfDriving"/>
    <m/>
    <m/>
    <n v="0.19156491900087783"/>
    <n v="4801"/>
  </r>
  <r>
    <s v="P045"/>
    <x v="1"/>
    <s v="2024-11-01"/>
    <s v="Video"/>
    <s v="Check out our latest video on facebook!"/>
    <n v="3371"/>
    <n v="106"/>
    <n v="327"/>
    <n v="50565"/>
    <n v="49816"/>
    <n v="176"/>
    <x v="0"/>
    <s v="#FutureOfDriving"/>
    <m/>
    <m/>
    <n v="7.5229902106199939E-2"/>
    <n v="3804"/>
  </r>
  <r>
    <s v="P066"/>
    <x v="0"/>
    <s v="2024-07-26"/>
    <s v="Carousel"/>
    <s v="Check out our latest carousel on twitter!"/>
    <n v="432"/>
    <n v="171"/>
    <n v="280"/>
    <n v="3024"/>
    <n v="2285"/>
    <n v="184"/>
    <x v="0"/>
    <s v="#EVRevolution"/>
    <m/>
    <m/>
    <n v="0.29199735449735448"/>
    <n v="883"/>
  </r>
  <r>
    <s v="P061"/>
    <x v="0"/>
    <s v="2024-09-05"/>
    <s v="Video"/>
    <s v="Check out our latest video on twitter!"/>
    <n v="4886"/>
    <n v="983"/>
    <n v="409"/>
    <n v="43974"/>
    <n v="43239"/>
    <n v="65"/>
    <x v="0"/>
    <s v="#TeslaCoInnovation"/>
    <m/>
    <m/>
    <n v="0.14276618001546368"/>
    <n v="6278"/>
  </r>
  <r>
    <s v="P057"/>
    <x v="0"/>
    <s v="2024-10-21"/>
    <s v="Video"/>
    <s v="Check out our latest video on twitter!"/>
    <n v="2825"/>
    <n v="535"/>
    <n v="295"/>
    <n v="45200"/>
    <n v="44739"/>
    <n v="169"/>
    <x v="0"/>
    <s v="#TeslaCoInnovation"/>
    <m/>
    <m/>
    <n v="8.0862831858407078E-2"/>
    <n v="3655"/>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7">
  <r>
    <s v="P299"/>
    <x v="0"/>
    <s v="2024-08-26"/>
    <s v="Image"/>
    <s v="Check out our latest image on facebook!"/>
    <n v="2581"/>
    <n v="517"/>
    <n v="117"/>
    <n v="23229"/>
    <n v="22331"/>
    <n v="70"/>
    <s v="FSDUpdate"/>
    <s v="#FutureOfDriving"/>
    <m/>
    <m/>
    <n v="0.13840458048129492"/>
    <n v="3215"/>
  </r>
  <r>
    <s v="P298"/>
    <x v="0"/>
    <s v="2024-10-24"/>
    <s v="Image"/>
    <s v="Check out our latest image on facebook!"/>
    <n v="4303"/>
    <n v="451"/>
    <n v="286"/>
    <n v="86060"/>
    <n v="85823"/>
    <n v="14"/>
    <s v="FSDUpdate"/>
    <s v="#TeslaCoInnovation"/>
    <m/>
    <m/>
    <n v="5.8563792702765516E-2"/>
    <n v="5040"/>
  </r>
  <r>
    <s v="P003"/>
    <x v="1"/>
    <s v="2025-05-12"/>
    <s v="Reel"/>
    <s v="Check out our latest reel on youtube!"/>
    <n v="2795"/>
    <n v="105"/>
    <n v="49"/>
    <n v="53105"/>
    <n v="52307"/>
    <n v="204"/>
    <s v="FSDUpdate"/>
    <s v="#TeslaCoInnovation"/>
    <m/>
    <m/>
    <n v="5.5531494209584788E-2"/>
    <n v="2949"/>
  </r>
  <r>
    <s v="P294"/>
    <x v="0"/>
    <s v="2024-06-19"/>
    <s v="Carousel"/>
    <s v="Check out our latest carousel on facebook!"/>
    <n v="4731"/>
    <n v="173"/>
    <n v="276"/>
    <n v="28386"/>
    <n v="28185"/>
    <n v="89"/>
    <s v="FSDUpdate"/>
    <s v="#EVRevolution"/>
    <m/>
    <m/>
    <n v="0.18248432325794406"/>
    <n v="5180"/>
  </r>
  <r>
    <s v="P288"/>
    <x v="1"/>
    <s v="2025-04-17"/>
    <s v="Carousel"/>
    <s v="Check out our latest carousel on youtube!"/>
    <n v="4780"/>
    <n v="691"/>
    <n v="380"/>
    <n v="86040"/>
    <n v="85743"/>
    <n v="262"/>
    <s v="FSDUpdate"/>
    <s v="#FutureOfDriving"/>
    <m/>
    <m/>
    <n v="6.800325430032543E-2"/>
    <n v="5851"/>
  </r>
  <r>
    <s v="P286"/>
    <x v="1"/>
    <s v="2024-09-25"/>
    <s v="Video"/>
    <s v="Check out our latest video on youtube!"/>
    <n v="3389"/>
    <n v="344"/>
    <n v="229"/>
    <n v="20334"/>
    <n v="19443"/>
    <n v="228"/>
    <s v="FSDUpdate"/>
    <s v="#FutureOfDriving"/>
    <m/>
    <m/>
    <n v="0.19484607062063539"/>
    <n v="3962"/>
  </r>
  <r>
    <s v="P282"/>
    <x v="2"/>
    <s v="2024-10-03"/>
    <s v="Video"/>
    <s v="Check out our latest video on instagram!"/>
    <n v="1488"/>
    <n v="417"/>
    <n v="168"/>
    <n v="19344"/>
    <n v="18395"/>
    <n v="30"/>
    <s v="FSDUpdate"/>
    <s v="#FutureOfDriving"/>
    <m/>
    <m/>
    <n v="0.1071650124069479"/>
    <n v="2073"/>
  </r>
  <r>
    <s v="P275"/>
    <x v="0"/>
    <s v="2024-08-05"/>
    <s v="Reel"/>
    <s v="Check out our latest reel on facebook!"/>
    <n v="1741"/>
    <n v="831"/>
    <n v="345"/>
    <n v="17410"/>
    <n v="16844"/>
    <n v="58"/>
    <s v="FSDUpdate"/>
    <s v="#EVRevolution"/>
    <m/>
    <m/>
    <n v="0.16754738655944859"/>
    <n v="2917"/>
  </r>
  <r>
    <s v="P272"/>
    <x v="2"/>
    <s v="2025-03-27"/>
    <s v="Text"/>
    <s v="Check out our latest text on instagram!"/>
    <n v="4941"/>
    <n v="414"/>
    <n v="266"/>
    <n v="39528"/>
    <n v="39154"/>
    <n v="217"/>
    <s v="FSDUpdate"/>
    <s v="#TeslaCoInnovation"/>
    <m/>
    <m/>
    <n v="0.14220299534507186"/>
    <n v="5621"/>
  </r>
  <r>
    <s v="P270"/>
    <x v="1"/>
    <s v="2025-01-15"/>
    <s v="Reel"/>
    <s v="Check out our latest reel on youtube!"/>
    <n v="3774"/>
    <n v="239"/>
    <n v="39"/>
    <n v="60384"/>
    <n v="59490"/>
    <n v="241"/>
    <s v="FSDUpdate"/>
    <s v="#TeslaCoInnovation"/>
    <m/>
    <m/>
    <n v="6.7103868574456813E-2"/>
    <n v="4052"/>
  </r>
  <r>
    <s v="P266"/>
    <x v="0"/>
    <s v="2024-11-25"/>
    <s v="Story"/>
    <s v="Check out our latest story on facebook!"/>
    <n v="4182"/>
    <n v="640"/>
    <n v="240"/>
    <n v="50184"/>
    <n v="49351"/>
    <n v="10"/>
    <s v="FSDUpdate"/>
    <s v="#TeslaCoInnovation"/>
    <m/>
    <m/>
    <n v="0.10086880280567512"/>
    <n v="5062"/>
  </r>
  <r>
    <s v="P012"/>
    <x v="0"/>
    <s v="2024-07-21"/>
    <s v="Reel"/>
    <s v="Check out our latest reel on facebook!"/>
    <n v="1946"/>
    <n v="686"/>
    <n v="377"/>
    <n v="23352"/>
    <n v="22982"/>
    <n v="213"/>
    <s v="FSDUpdate"/>
    <s v="#FutureOfDriving"/>
    <m/>
    <m/>
    <n v="0.12885405960945528"/>
    <n v="3009"/>
  </r>
  <r>
    <s v="P260"/>
    <x v="2"/>
    <s v="2025-02-12"/>
    <s v="Story"/>
    <s v="Check out our latest story on instagram!"/>
    <n v="4332"/>
    <n v="771"/>
    <n v="219"/>
    <n v="60648"/>
    <n v="60397"/>
    <n v="10"/>
    <s v="FSDUpdate"/>
    <s v="#TeslaCoInnovation"/>
    <s v="#EVRevolution"/>
    <s v="#BetterWithTesla"/>
    <n v="8.7752275425405618E-2"/>
    <n v="5322"/>
  </r>
  <r>
    <s v="P252"/>
    <x v="0"/>
    <s v="2025-04-28"/>
    <s v="Carousel"/>
    <s v="Check out our latest carousel on facebook!"/>
    <n v="2089"/>
    <n v="476"/>
    <n v="69"/>
    <n v="16712"/>
    <n v="16309"/>
    <n v="64"/>
    <s v="FSDUpdate"/>
    <s v="#FutureOfDriving"/>
    <m/>
    <m/>
    <n v="0.15761129727142173"/>
    <n v="2634"/>
  </r>
  <r>
    <s v="P244"/>
    <x v="1"/>
    <s v="2024-10-25"/>
    <s v="Video"/>
    <s v="Check out our latest video on youtube!"/>
    <n v="4661"/>
    <n v="935"/>
    <n v="433"/>
    <n v="23305"/>
    <n v="22583"/>
    <n v="63"/>
    <s v="FSDUpdate"/>
    <s v="#FutureOfDriving"/>
    <m/>
    <m/>
    <n v="0.25869984981763572"/>
    <n v="6029"/>
  </r>
  <r>
    <s v="P016"/>
    <x v="0"/>
    <s v="2024-08-26"/>
    <s v="Text"/>
    <s v="Check out our latest text on facebook!"/>
    <n v="3452"/>
    <n v="377"/>
    <n v="360"/>
    <n v="55232"/>
    <n v="55075"/>
    <n v="87"/>
    <s v="FSDUpdate"/>
    <s v="#FutureOfDriving"/>
    <m/>
    <m/>
    <n v="7.5843713789107758E-2"/>
    <n v="4189"/>
  </r>
  <r>
    <s v="P242"/>
    <x v="0"/>
    <s v="2024-07-07"/>
    <s v="Reel"/>
    <s v="Check out our latest reel on facebook!"/>
    <n v="4767"/>
    <n v="190"/>
    <n v="340"/>
    <n v="28602"/>
    <n v="28044"/>
    <n v="210"/>
    <s v="FSDUpdate"/>
    <s v="#EVRevolution"/>
    <m/>
    <m/>
    <n v="0.18519683938186141"/>
    <n v="5297"/>
  </r>
  <r>
    <s v="P240"/>
    <x v="3"/>
    <s v="2024-08-26"/>
    <s v="Carousel"/>
    <s v="Check out our latest carousel on twitter!"/>
    <n v="929"/>
    <n v="192"/>
    <n v="322"/>
    <n v="16722"/>
    <n v="15996"/>
    <n v="145"/>
    <s v="FSDUpdate"/>
    <s v="#EVRevolution"/>
    <s v="#TeslaCoInnovation"/>
    <s v="#AnytimeIsTeslaTime"/>
    <n v="8.6293505561535699E-2"/>
    <n v="1443"/>
  </r>
  <r>
    <s v="P235"/>
    <x v="0"/>
    <s v="2024-12-22"/>
    <s v="Image"/>
    <s v="Check out our latest image on facebook!"/>
    <n v="3196"/>
    <n v="941"/>
    <n v="376"/>
    <n v="35156"/>
    <n v="34444"/>
    <n v="241"/>
    <s v="FSDUpdate"/>
    <s v="#TeslaCoInnovation"/>
    <m/>
    <m/>
    <n v="0.1283706906360223"/>
    <n v="4513"/>
  </r>
  <r>
    <s v="P230"/>
    <x v="0"/>
    <s v="2024-07-15"/>
    <s v="Reel"/>
    <s v="Check out our latest reel on facebook!"/>
    <n v="3663"/>
    <n v="17"/>
    <n v="295"/>
    <n v="51282"/>
    <n v="50567"/>
    <n v="84"/>
    <s v="FSDUpdate"/>
    <s v="#EVRevolution"/>
    <m/>
    <m/>
    <n v="7.7512577512577507E-2"/>
    <n v="3975"/>
  </r>
  <r>
    <s v="P227"/>
    <x v="2"/>
    <s v="2024-06-12"/>
    <s v="Text"/>
    <s v="Check out our latest text on instagram!"/>
    <n v="246"/>
    <n v="149"/>
    <n v="130"/>
    <n v="4674"/>
    <n v="4390"/>
    <n v="217"/>
    <s v="FSDUpdate"/>
    <s v="#FutureOfDriving"/>
    <m/>
    <m/>
    <n v="0.11232349165596919"/>
    <n v="525"/>
  </r>
  <r>
    <s v="P224"/>
    <x v="0"/>
    <s v="2025-05-13"/>
    <s v="Image"/>
    <s v="Check out our latest image on facebook!"/>
    <n v="602"/>
    <n v="594"/>
    <n v="156"/>
    <n v="4214"/>
    <n v="3363"/>
    <n v="164"/>
    <s v="FSDUpdate"/>
    <s v="#TeslaCoInnovation"/>
    <m/>
    <m/>
    <n v="0.32083531086853345"/>
    <n v="1352"/>
  </r>
  <r>
    <s v="P207"/>
    <x v="3"/>
    <s v="2024-12-29"/>
    <s v="Carousel"/>
    <s v="Check out our latest carousel on twitter!"/>
    <n v="4274"/>
    <n v="340"/>
    <n v="281"/>
    <n v="34192"/>
    <n v="33446"/>
    <n v="129"/>
    <s v="FSDUpdate"/>
    <s v="#TeslaCoInnovation"/>
    <s v="#SmoothLikeNitroTesla"/>
    <m/>
    <n v="0.14316214319138981"/>
    <n v="4895"/>
  </r>
  <r>
    <s v="P024"/>
    <x v="0"/>
    <s v="2025-01-23"/>
    <s v="Video"/>
    <s v="Check out our latest video on facebook!"/>
    <n v="3961"/>
    <n v="761"/>
    <n v="131"/>
    <n v="67337"/>
    <n v="66615"/>
    <n v="161"/>
    <s v="FSDUpdate"/>
    <s v="#FutureOfDriving"/>
    <m/>
    <m/>
    <n v="7.2070332803659209E-2"/>
    <n v="4853"/>
  </r>
  <r>
    <s v="P204"/>
    <x v="2"/>
    <s v="2025-01-01"/>
    <s v="Carousel"/>
    <s v="Check out our latest carousel on instagram!"/>
    <n v="2234"/>
    <n v="653"/>
    <n v="432"/>
    <n v="11170"/>
    <n v="10569"/>
    <n v="198"/>
    <s v="FSDUpdate"/>
    <s v="#FutureOfDriving"/>
    <m/>
    <m/>
    <n v="0.29713518352730528"/>
    <n v="3319"/>
  </r>
  <r>
    <s v="P202"/>
    <x v="0"/>
    <s v="2024-06-02"/>
    <s v="Image"/>
    <s v="Check out our latest image on facebook!"/>
    <n v="1871"/>
    <n v="252"/>
    <n v="335"/>
    <n v="29936"/>
    <n v="29576"/>
    <n v="288"/>
    <s v="FSDUpdate"/>
    <s v="#EVRevolution"/>
    <m/>
    <m/>
    <n v="8.2108498129342594E-2"/>
    <n v="2458"/>
  </r>
  <r>
    <s v="P198"/>
    <x v="3"/>
    <s v="2024-09-14"/>
    <s v="Image"/>
    <s v="Check out our latest image on twitter!"/>
    <n v="1048"/>
    <n v="374"/>
    <n v="450"/>
    <n v="9432"/>
    <n v="8882"/>
    <n v="158"/>
    <s v="FSDUpdate"/>
    <s v="#TeslaCoInnovation"/>
    <m/>
    <m/>
    <n v="0.19847328244274809"/>
    <n v="1872"/>
  </r>
  <r>
    <s v="P196"/>
    <x v="2"/>
    <s v="2024-12-19"/>
    <s v="Text"/>
    <s v="Check out our latest text on instagram!"/>
    <n v="1813"/>
    <n v="623"/>
    <n v="72"/>
    <n v="19943"/>
    <n v="18959"/>
    <n v="85"/>
    <s v="FSDUpdate"/>
    <s v="#EVRevolution"/>
    <m/>
    <m/>
    <n v="0.12575841147269717"/>
    <n v="2508"/>
  </r>
  <r>
    <s v="P029"/>
    <x v="2"/>
    <s v="2025-01-31"/>
    <s v="Carousel"/>
    <s v="Check out our latest carousel on instagram!"/>
    <n v="2566"/>
    <n v="118"/>
    <n v="37"/>
    <n v="12830"/>
    <n v="12264"/>
    <n v="221"/>
    <s v="FSDUpdate"/>
    <s v="#FutureOfDriving"/>
    <m/>
    <m/>
    <n v="0.21208106001558846"/>
    <n v="2721"/>
  </r>
  <r>
    <s v="P193"/>
    <x v="3"/>
    <s v="2024-09-11"/>
    <s v="Image"/>
    <s v="Check out our latest image on twitter!"/>
    <n v="4858"/>
    <n v="317"/>
    <n v="129"/>
    <n v="53438"/>
    <n v="52687"/>
    <n v="223"/>
    <s v="FSDUpdate"/>
    <s v="#EVRevolution"/>
    <m/>
    <m/>
    <n v="9.9255211647142488E-2"/>
    <n v="5304"/>
  </r>
  <r>
    <s v="P191"/>
    <x v="1"/>
    <s v="2024-12-03"/>
    <s v="Story"/>
    <s v="Check out our latest story on youtube!"/>
    <n v="4285"/>
    <n v="886"/>
    <n v="376"/>
    <n v="55705"/>
    <n v="55556"/>
    <n v="51"/>
    <s v="FSDUpdate"/>
    <s v="#FutureOfDriving"/>
    <m/>
    <m/>
    <n v="9.9578134817341346E-2"/>
    <n v="5547"/>
  </r>
  <r>
    <s v="P187"/>
    <x v="3"/>
    <s v="2024-12-22"/>
    <s v="Reel"/>
    <s v="Check out our latest reel on twitter!"/>
    <n v="1644"/>
    <n v="546"/>
    <n v="150"/>
    <n v="27948"/>
    <n v="27184"/>
    <n v="300"/>
    <s v="FSDUpdate"/>
    <s v="#EVRevolution"/>
    <m/>
    <m/>
    <n v="8.3726921425504502E-2"/>
    <n v="2340"/>
  </r>
  <r>
    <s v="P186"/>
    <x v="0"/>
    <s v="2024-08-24"/>
    <s v="Carousel"/>
    <s v="Check out our latest carousel on facebook!"/>
    <n v="4292"/>
    <n v="51"/>
    <n v="392"/>
    <n v="55796"/>
    <n v="54826"/>
    <n v="264"/>
    <s v="FSDUpdate"/>
    <s v="#EVRevolution"/>
    <m/>
    <m/>
    <n v="8.4862714173059003E-2"/>
    <n v="4735"/>
  </r>
  <r>
    <s v="P034"/>
    <x v="0"/>
    <s v="2025-03-26"/>
    <s v="Text"/>
    <s v="Check out our latest text on facebook!"/>
    <n v="1652"/>
    <n v="89"/>
    <n v="357"/>
    <n v="29736"/>
    <n v="28771"/>
    <n v="215"/>
    <s v="FSDUpdate"/>
    <s v="#TeslaCoInnovation"/>
    <m/>
    <m/>
    <n v="7.055421038471886E-2"/>
    <n v="2098"/>
  </r>
  <r>
    <s v="P181"/>
    <x v="1"/>
    <s v="2025-03-21"/>
    <s v="Image"/>
    <s v="Check out our latest image on youtube!"/>
    <n v="606"/>
    <n v="789"/>
    <n v="470"/>
    <n v="7878"/>
    <n v="7389"/>
    <n v="239"/>
    <s v="FSDUpdate"/>
    <s v="#EVRevolution"/>
    <m/>
    <m/>
    <n v="0.23673521198273673"/>
    <n v="1865"/>
  </r>
  <r>
    <s v="P177"/>
    <x v="2"/>
    <s v="2024-07-10"/>
    <s v="Carousel"/>
    <s v="Check out our latest carousel on instagram!"/>
    <n v="3099"/>
    <n v="694"/>
    <n v="171"/>
    <n v="43386"/>
    <n v="42921"/>
    <n v="52"/>
    <s v="FSDUpdate"/>
    <s v="#TeslaCoInnovation"/>
    <m/>
    <m/>
    <n v="9.1365878393951966E-2"/>
    <n v="3964"/>
  </r>
  <r>
    <s v="P173"/>
    <x v="3"/>
    <s v="2024-12-05"/>
    <s v="Video"/>
    <s v="Check out our latest video on twitter!"/>
    <n v="1330"/>
    <n v="925"/>
    <n v="35"/>
    <n v="15960"/>
    <n v="15379"/>
    <n v="229"/>
    <s v="FSDUpdate"/>
    <s v="#FutureOfDriving"/>
    <m/>
    <m/>
    <n v="0.14348370927318296"/>
    <n v="2290"/>
  </r>
  <r>
    <s v="P172"/>
    <x v="0"/>
    <s v="2024-08-14"/>
    <s v="Carousel"/>
    <s v="Check out our latest carousel on facebook!"/>
    <n v="3073"/>
    <n v="553"/>
    <n v="174"/>
    <n v="52241"/>
    <n v="51605"/>
    <n v="246"/>
    <s v="FSDUpdate"/>
    <s v="#EVRevolution"/>
    <m/>
    <m/>
    <n v="7.2739802071170159E-2"/>
    <n v="3800"/>
  </r>
  <r>
    <s v="P170"/>
    <x v="3"/>
    <s v="2025-04-28"/>
    <s v="Text"/>
    <s v="Check out our latest text on twitter!"/>
    <n v="3577"/>
    <n v="596"/>
    <n v="493"/>
    <n v="67963"/>
    <n v="67839"/>
    <n v="53"/>
    <s v="FSDUpdate"/>
    <s v="#TeslaCoInnovation"/>
    <m/>
    <m/>
    <n v="6.8655003457763777E-2"/>
    <n v="4666"/>
  </r>
  <r>
    <s v="P153"/>
    <x v="3"/>
    <s v="2025-01-01"/>
    <s v="Video"/>
    <s v="Check out our latest video on twitter!"/>
    <n v="754"/>
    <n v="197"/>
    <n v="257"/>
    <n v="6786"/>
    <n v="6221"/>
    <n v="212"/>
    <s v="FSDUpdate"/>
    <s v="#TeslaCoInnovation"/>
    <m/>
    <m/>
    <n v="0.17801355732390214"/>
    <n v="1208"/>
  </r>
  <r>
    <s v="P143"/>
    <x v="1"/>
    <s v="2024-10-02"/>
    <s v="Carousel"/>
    <s v="Check out our latest carousel on youtube!"/>
    <n v="80"/>
    <n v="362"/>
    <n v="80"/>
    <n v="1040"/>
    <n v="349"/>
    <n v="117"/>
    <s v="FSDUpdate"/>
    <s v="#TeslaCoInnovation"/>
    <m/>
    <m/>
    <n v="0.50192307692307692"/>
    <n v="522"/>
  </r>
  <r>
    <s v="P138"/>
    <x v="3"/>
    <s v="2025-03-29"/>
    <s v="Image"/>
    <s v="Check out our latest image on twitter!"/>
    <n v="305"/>
    <n v="187"/>
    <n v="243"/>
    <n v="4575"/>
    <n v="3704"/>
    <n v="234"/>
    <s v="FSDUpdate"/>
    <s v="#FutureOfDriving"/>
    <m/>
    <m/>
    <n v="0.16065573770491803"/>
    <n v="735"/>
  </r>
  <r>
    <s v="P043"/>
    <x v="2"/>
    <s v="2024-12-14"/>
    <s v="Carousel"/>
    <s v="Check out our latest carousel on instagram!"/>
    <n v="2174"/>
    <n v="658"/>
    <n v="15"/>
    <n v="13044"/>
    <n v="12206"/>
    <n v="137"/>
    <s v="FSDUpdate"/>
    <s v="#TeslaCoInnovation"/>
    <m/>
    <m/>
    <n v="0.21826126954921804"/>
    <n v="2847"/>
  </r>
  <r>
    <s v="P131"/>
    <x v="2"/>
    <s v="2024-10-21"/>
    <s v="Reel"/>
    <s v="Check out our latest reel on instagram!"/>
    <n v="4840"/>
    <n v="658"/>
    <n v="211"/>
    <n v="43560"/>
    <n v="43225"/>
    <n v="57"/>
    <s v="FSDUpdate"/>
    <s v="#FutureOfDriving"/>
    <m/>
    <m/>
    <n v="0.13106060606060607"/>
    <n v="5709"/>
  </r>
  <r>
    <s v="P127"/>
    <x v="0"/>
    <s v="2025-01-27"/>
    <s v="Reel"/>
    <s v="Check out our latest reel on facebook!"/>
    <n v="3452"/>
    <n v="652"/>
    <n v="442"/>
    <n v="65588"/>
    <n v="65049"/>
    <n v="158"/>
    <s v="FSDUpdate"/>
    <s v="#FutureOfDriving"/>
    <m/>
    <m/>
    <n v="6.9311459413307311E-2"/>
    <n v="4546"/>
  </r>
  <r>
    <s v="P120"/>
    <x v="0"/>
    <s v="2024-10-21"/>
    <s v="Story"/>
    <s v="Check out our latest story on facebook!"/>
    <n v="780"/>
    <n v="928"/>
    <n v="301"/>
    <n v="8580"/>
    <n v="8081"/>
    <n v="91"/>
    <s v="FSDUpdate"/>
    <s v="#EVRevolution"/>
    <m/>
    <m/>
    <n v="0.23414918414918415"/>
    <n v="2009"/>
  </r>
  <r>
    <s v="P118"/>
    <x v="0"/>
    <s v="2024-11-04"/>
    <s v="Image"/>
    <s v="Check out our latest image on facebook!"/>
    <n v="4551"/>
    <n v="714"/>
    <n v="207"/>
    <n v="68265"/>
    <n v="67754"/>
    <n v="57"/>
    <s v="FSDUpdate"/>
    <s v="#FutureOfDriving"/>
    <m/>
    <m/>
    <n v="8.0158206987475278E-2"/>
    <n v="5472"/>
  </r>
  <r>
    <s v="P112"/>
    <x v="3"/>
    <s v="2024-10-05"/>
    <s v="Story"/>
    <s v="Check out our latest story on twitter!"/>
    <n v="1957"/>
    <n v="877"/>
    <n v="238"/>
    <n v="17613"/>
    <n v="16865"/>
    <n v="297"/>
    <s v="FSDUpdate"/>
    <s v="#FutureOfDriving"/>
    <m/>
    <m/>
    <n v="0.17441662408448305"/>
    <n v="3072"/>
  </r>
  <r>
    <s v="P109"/>
    <x v="3"/>
    <s v="2024-08-08"/>
    <s v="Story"/>
    <s v="Check out our latest story on twitter!"/>
    <n v="3649"/>
    <n v="215"/>
    <n v="413"/>
    <n v="25543"/>
    <n v="24963"/>
    <n v="167"/>
    <s v="FSDUpdate"/>
    <s v="#FutureOfDriving"/>
    <m/>
    <m/>
    <n v="0.16744313510550835"/>
    <n v="4277"/>
  </r>
  <r>
    <s v="P050"/>
    <x v="1"/>
    <s v="2024-07-03"/>
    <s v="Story"/>
    <s v="Check out our latest story on youtube!"/>
    <n v="2754"/>
    <n v="130"/>
    <n v="90"/>
    <n v="22032"/>
    <n v="21288"/>
    <n v="112"/>
    <s v="FSDUpdate"/>
    <s v="#TeslaCoInnovation"/>
    <m/>
    <m/>
    <n v="0.13498547567175018"/>
    <n v="2974"/>
  </r>
  <r>
    <s v="P104"/>
    <x v="1"/>
    <s v="2025-03-23"/>
    <s v="Story"/>
    <s v="Check out our latest story on youtube!"/>
    <n v="3655"/>
    <n v="568"/>
    <n v="286"/>
    <n v="32895"/>
    <n v="32015"/>
    <n v="199"/>
    <s v="FSDUpdate"/>
    <s v="#TeslaCoInnovation"/>
    <m/>
    <m/>
    <n v="0.13707250341997265"/>
    <n v="4509"/>
  </r>
  <r>
    <s v="P101"/>
    <x v="1"/>
    <s v="2024-10-18"/>
    <s v="Video"/>
    <s v="Check out our latest video on youtube!"/>
    <n v="4450"/>
    <n v="983"/>
    <n v="143"/>
    <n v="75650"/>
    <n v="75008"/>
    <n v="12"/>
    <s v="FSDUpdate"/>
    <s v="#FutureOfDriving"/>
    <m/>
    <m/>
    <n v="7.3707865168539333E-2"/>
    <n v="5576"/>
  </r>
  <r>
    <s v="P099"/>
    <x v="1"/>
    <s v="2024-07-02"/>
    <s v="Carousel"/>
    <s v="Check out our latest carousel on youtube!"/>
    <n v="4171"/>
    <n v="548"/>
    <n v="86"/>
    <n v="66736"/>
    <n v="66634"/>
    <n v="173"/>
    <s v="FSDUpdate"/>
    <s v="#FutureOfDriving"/>
    <m/>
    <m/>
    <n v="7.2000119875329657E-2"/>
    <n v="4805"/>
  </r>
  <r>
    <s v="P094"/>
    <x v="2"/>
    <s v="2024-11-07"/>
    <s v="Image"/>
    <s v="Check out our latest image on instagram!"/>
    <n v="2647"/>
    <n v="304"/>
    <n v="170"/>
    <n v="18529"/>
    <n v="17841"/>
    <n v="46"/>
    <s v="FSDUpdate"/>
    <s v="#FutureOfDriving"/>
    <m/>
    <m/>
    <n v="0.16843866371633656"/>
    <n v="3121"/>
  </r>
  <r>
    <s v="P093"/>
    <x v="2"/>
    <s v="2024-12-11"/>
    <s v="Video"/>
    <s v="Check out our latest video on instagram!"/>
    <n v="1431"/>
    <n v="951"/>
    <n v="26"/>
    <n v="8586"/>
    <n v="8396"/>
    <n v="150"/>
    <s v="FSDUpdate"/>
    <s v="#EVRevolution"/>
    <m/>
    <m/>
    <n v="0.28045655718611695"/>
    <n v="2408"/>
  </r>
  <r>
    <s v="P056"/>
    <x v="0"/>
    <s v="2024-12-18"/>
    <s v="Carousel"/>
    <s v="Check out our latest carousel on facebook!"/>
    <n v="2946"/>
    <n v="498"/>
    <n v="367"/>
    <n v="29460"/>
    <n v="28527"/>
    <n v="60"/>
    <s v="FSDUpdate"/>
    <s v="#FutureOfDriving"/>
    <m/>
    <m/>
    <n v="0.12936184657162253"/>
    <n v="3811"/>
  </r>
  <r>
    <s v="P092"/>
    <x v="3"/>
    <s v="2024-10-21"/>
    <s v="Story"/>
    <s v="Check out our latest story on twitter!"/>
    <n v="3801"/>
    <n v="967"/>
    <n v="401"/>
    <n v="38010"/>
    <n v="37625"/>
    <n v="236"/>
    <s v="FSDUpdate"/>
    <s v="#FutureOfDriving"/>
    <m/>
    <m/>
    <n v="0.13599052880820836"/>
    <n v="5169"/>
  </r>
  <r>
    <s v="P087"/>
    <x v="3"/>
    <s v="2024-06-06"/>
    <s v="Video"/>
    <s v="Check out our latest video on twitter!"/>
    <n v="1436"/>
    <n v="765"/>
    <n v="496"/>
    <n v="12924"/>
    <n v="12701"/>
    <n v="197"/>
    <s v="FSDUpdate"/>
    <s v="#FutureOfDriving"/>
    <m/>
    <m/>
    <n v="0.20868152274837512"/>
    <n v="2697"/>
  </r>
  <r>
    <s v="P082"/>
    <x v="2"/>
    <s v="2024-07-24"/>
    <s v="Image"/>
    <s v="Check out our latest image on instagram!"/>
    <n v="725"/>
    <n v="88"/>
    <n v="428"/>
    <n v="14500"/>
    <n v="13637"/>
    <n v="200"/>
    <s v="FSDUpdate"/>
    <s v="#FutureOfDriving"/>
    <s v="#TeslaCoInnovation"/>
    <s v="#AnytimeIsTeslaTime"/>
    <n v="8.558620689655172E-2"/>
    <n v="1241"/>
  </r>
  <r>
    <s v="P060"/>
    <x v="2"/>
    <s v="2025-01-28"/>
    <s v="Video"/>
    <s v="Check out our latest video on instagram!"/>
    <n v="904"/>
    <n v="973"/>
    <n v="63"/>
    <n v="11752"/>
    <n v="11580"/>
    <n v="84"/>
    <s v="FSDUpdate"/>
    <s v="#EVRevolution"/>
    <s v="#TeslaCoInnovation"/>
    <s v="#AnytimeIsTeslaTime"/>
    <n v="0.1650782845473111"/>
    <n v="1940"/>
  </r>
  <r>
    <s v="P081"/>
    <x v="2"/>
    <s v="2024-10-19"/>
    <s v="Story"/>
    <s v="Check out our latest story on instagram!"/>
    <n v="1816"/>
    <n v="29"/>
    <n v="41"/>
    <n v="19976"/>
    <n v="19262"/>
    <n v="283"/>
    <s v="FSDUpdate"/>
    <s v="#TeslaCoInnovation"/>
    <m/>
    <m/>
    <n v="9.4413295955146179E-2"/>
    <n v="1886"/>
  </r>
  <r>
    <s v="P062"/>
    <x v="3"/>
    <s v="2024-11-22"/>
    <s v="Carousel"/>
    <s v="Check out our latest carousel on twitter!"/>
    <n v="53"/>
    <n v="81"/>
    <n v="379"/>
    <n v="954"/>
    <n v="7"/>
    <n v="148"/>
    <s v="FSDUpdate"/>
    <s v="#TeslaCoInnovation"/>
    <m/>
    <m/>
    <n v="0.53773584905660377"/>
    <n v="513"/>
  </r>
  <r>
    <s v="P063"/>
    <x v="3"/>
    <s v="2024-07-31"/>
    <s v="Carousel"/>
    <s v="Check out our latest carousel on twitter!"/>
    <n v="4507"/>
    <n v="217"/>
    <n v="13"/>
    <n v="90140"/>
    <n v="89591"/>
    <n v="125"/>
    <s v="FSDUpdate"/>
    <s v="#FutureOfDriving"/>
    <m/>
    <m/>
    <n v="5.2551586421122697E-2"/>
    <n v="4737"/>
  </r>
  <r>
    <s v="P064"/>
    <x v="0"/>
    <s v="2024-08-17"/>
    <s v="Image"/>
    <s v="Check out our latest image on facebook!"/>
    <n v="2878"/>
    <n v="248"/>
    <n v="416"/>
    <n v="43170"/>
    <n v="42667"/>
    <n v="75"/>
    <s v="FSDUpdate"/>
    <s v="#FutureOfDriving"/>
    <m/>
    <m/>
    <n v="8.2047718322909427E-2"/>
    <n v="3542"/>
  </r>
  <r>
    <s v="P074"/>
    <x v="1"/>
    <s v="2024-10-28"/>
    <s v="Reel"/>
    <s v="Check out our latest reel on youtube!"/>
    <n v="1855"/>
    <n v="200"/>
    <n v="174"/>
    <n v="16695"/>
    <n v="16330"/>
    <n v="123"/>
    <s v="FSDUpdate"/>
    <s v="#TeslaCoInnovation"/>
    <m/>
    <m/>
    <n v="0.13351302785265048"/>
    <n v="2229"/>
  </r>
  <r>
    <s v="P069"/>
    <x v="3"/>
    <s v="2025-03-08"/>
    <s v="Text"/>
    <s v="Check out our latest text on twitter!"/>
    <n v="1292"/>
    <n v="626"/>
    <n v="496"/>
    <n v="25840"/>
    <n v="24916"/>
    <n v="149"/>
    <s v="FSDUpdate"/>
    <s v="#FutureOfDriving"/>
    <m/>
    <m/>
    <n v="9.3421052631578946E-2"/>
    <n v="2414"/>
  </r>
  <r>
    <s v="P067"/>
    <x v="0"/>
    <s v="2025-03-29"/>
    <s v="Carousel"/>
    <s v="Check out our latest carousel on facebook!"/>
    <n v="4712"/>
    <n v="568"/>
    <n v="127"/>
    <n v="84816"/>
    <n v="84691"/>
    <n v="100"/>
    <s v="FSDUpdate"/>
    <s v="#EVRevolution"/>
    <m/>
    <m/>
    <n v="6.3749764195434822E-2"/>
    <n v="5407"/>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x v="0"/>
    <x v="0"/>
    <n v="88"/>
    <n v="344084"/>
    <n v="8.06"/>
    <n v="5904"/>
    <n v="3.0428616268120576E-3"/>
  </r>
  <r>
    <x v="0"/>
    <x v="1"/>
    <x v="1"/>
    <n v="310"/>
    <n v="42654"/>
    <n v="4.9800000000000004"/>
    <n v="9566"/>
    <n v="2.3491348994232664E-2"/>
  </r>
  <r>
    <x v="0"/>
    <x v="2"/>
    <x v="2"/>
    <n v="169"/>
    <n v="146834"/>
    <n v="8.31"/>
    <n v="26752"/>
    <n v="2.826320879360366E-3"/>
  </r>
  <r>
    <x v="0"/>
    <x v="3"/>
    <x v="3"/>
    <n v="445"/>
    <n v="395536"/>
    <n v="4.1100000000000003"/>
    <n v="30671"/>
    <n v="2.7557542170624167E-3"/>
  </r>
  <r>
    <x v="1"/>
    <x v="0"/>
    <x v="4"/>
    <n v="139"/>
    <n v="49157"/>
    <n v="9.0500000000000007"/>
    <n v="9920"/>
    <n v="1.0517322049758936E-2"/>
  </r>
  <r>
    <x v="1"/>
    <x v="1"/>
    <x v="5"/>
    <n v="414"/>
    <n v="316555"/>
    <n v="2.37"/>
    <n v="7924"/>
    <n v="4.0530081660374974E-3"/>
  </r>
  <r>
    <x v="1"/>
    <x v="2"/>
    <x v="6"/>
    <n v="250"/>
    <n v="254347"/>
    <n v="4.01"/>
    <n v="8912"/>
    <n v="7.3128442639386348E-4"/>
  </r>
  <r>
    <x v="1"/>
    <x v="3"/>
    <x v="7"/>
    <n v="203"/>
    <n v="413878"/>
    <n v="3.16"/>
    <n v="21205"/>
    <n v="2.4016739232334168E-3"/>
  </r>
  <r>
    <x v="2"/>
    <x v="0"/>
    <x v="8"/>
    <n v="155"/>
    <n v="456946"/>
    <n v="2.46"/>
    <n v="11329"/>
    <n v="1.9542790614208243E-3"/>
  </r>
  <r>
    <x v="2"/>
    <x v="1"/>
    <x v="9"/>
    <n v="371"/>
    <n v="169496"/>
    <n v="8.11"/>
    <n v="46670"/>
    <n v="8.1535847453627231E-3"/>
  </r>
  <r>
    <x v="2"/>
    <x v="2"/>
    <x v="10"/>
    <n v="40"/>
    <n v="122732"/>
    <n v="8.19"/>
    <n v="22482"/>
    <n v="1.0551445425805821E-2"/>
  </r>
  <r>
    <x v="2"/>
    <x v="3"/>
    <x v="11"/>
    <n v="66"/>
    <n v="382851"/>
    <n v="3.49"/>
    <n v="24313"/>
    <n v="8.80238003818718E-4"/>
  </r>
  <r>
    <x v="3"/>
    <x v="0"/>
    <x v="12"/>
    <n v="282"/>
    <n v="35664"/>
    <n v="6.92"/>
    <n v="18050"/>
    <n v="1.7636832660385824E-2"/>
  </r>
  <r>
    <x v="3"/>
    <x v="1"/>
    <x v="13"/>
    <n v="109"/>
    <n v="26295"/>
    <n v="9.1199999999999992"/>
    <n v="30635"/>
    <n v="6.3510173036698994E-2"/>
  </r>
  <r>
    <x v="3"/>
    <x v="2"/>
    <x v="14"/>
    <n v="403"/>
    <n v="298421"/>
    <n v="3.5"/>
    <n v="31280"/>
    <n v="2.798060458211721E-3"/>
  </r>
  <r>
    <x v="3"/>
    <x v="3"/>
    <x v="15"/>
    <n v="431"/>
    <n v="426184"/>
    <n v="2.62"/>
    <n v="1783"/>
    <n v="-2.8860773750305035E-4"/>
  </r>
  <r>
    <x v="4"/>
    <x v="0"/>
    <x v="16"/>
    <n v="445"/>
    <n v="419447"/>
    <n v="9.36"/>
    <n v="9566"/>
    <n v="-5.2211602419375983E-4"/>
  </r>
  <r>
    <x v="4"/>
    <x v="1"/>
    <x v="17"/>
    <n v="441"/>
    <n v="220020"/>
    <n v="4.4800000000000004"/>
    <n v="42307"/>
    <n v="2.9088264703208797E-4"/>
  </r>
  <r>
    <x v="4"/>
    <x v="2"/>
    <x v="18"/>
    <n v="63"/>
    <n v="315305"/>
    <n v="6.19"/>
    <n v="5914"/>
    <n v="4.3037693661692649E-3"/>
  </r>
  <r>
    <x v="4"/>
    <x v="3"/>
    <x v="19"/>
    <n v="53"/>
    <n v="113678"/>
    <n v="8.7200000000000006"/>
    <n v="30060"/>
    <n v="8.0050669434719116E-4"/>
  </r>
  <r>
    <x v="5"/>
    <x v="0"/>
    <x v="20"/>
    <n v="85"/>
    <n v="58223"/>
    <n v="8.74"/>
    <n v="22728"/>
    <n v="2.8717173625543171E-2"/>
  </r>
  <r>
    <x v="5"/>
    <x v="1"/>
    <x v="21"/>
    <n v="41"/>
    <n v="251694"/>
    <n v="1.91"/>
    <n v="38610"/>
    <n v="1.2276812319721568E-3"/>
  </r>
  <r>
    <x v="5"/>
    <x v="2"/>
    <x v="22"/>
    <n v="440"/>
    <n v="389810"/>
    <n v="4.66"/>
    <n v="2932"/>
    <n v="1.40324773607655E-3"/>
  </r>
  <r>
    <x v="5"/>
    <x v="3"/>
    <x v="23"/>
    <n v="369"/>
    <n v="233694"/>
    <n v="2.88"/>
    <n v="15071"/>
    <n v="2.1994574101175039E-3"/>
  </r>
  <r>
    <x v="6"/>
    <x v="0"/>
    <x v="24"/>
    <n v="115"/>
    <n v="154169"/>
    <n v="3.74"/>
    <n v="10740"/>
    <n v="1.1967386439556591E-2"/>
  </r>
  <r>
    <x v="6"/>
    <x v="1"/>
    <x v="25"/>
    <n v="334"/>
    <n v="334626"/>
    <n v="6.44"/>
    <n v="43420"/>
    <n v="-4.9009939454794306E-4"/>
  </r>
  <r>
    <x v="6"/>
    <x v="2"/>
    <x v="26"/>
    <n v="275"/>
    <n v="226002"/>
    <n v="8.56"/>
    <n v="32393"/>
    <n v="1.8982132901478749E-3"/>
  </r>
  <r>
    <x v="6"/>
    <x v="3"/>
    <x v="27"/>
    <n v="64"/>
    <n v="156683"/>
    <n v="4.5599999999999996"/>
    <n v="28474"/>
    <n v="1.0211701333265254E-3"/>
  </r>
  <r>
    <x v="7"/>
    <x v="0"/>
    <x v="28"/>
    <n v="349"/>
    <n v="473812"/>
    <n v="7.88"/>
    <n v="17328"/>
    <n v="3.3557613568250698E-4"/>
  </r>
  <r>
    <x v="7"/>
    <x v="1"/>
    <x v="29"/>
    <n v="430"/>
    <n v="295032"/>
    <n v="7.86"/>
    <n v="26067"/>
    <n v="3.2572737872501967E-3"/>
  </r>
  <r>
    <x v="7"/>
    <x v="2"/>
    <x v="30"/>
    <n v="385"/>
    <n v="198278"/>
    <n v="5.34"/>
    <n v="32763"/>
    <n v="6.6371458255580548E-3"/>
  </r>
  <r>
    <x v="7"/>
    <x v="3"/>
    <x v="31"/>
    <n v="487"/>
    <n v="306564"/>
    <n v="5.52"/>
    <n v="26452"/>
    <n v="1.0340418313957282E-3"/>
  </r>
  <r>
    <x v="8"/>
    <x v="0"/>
    <x v="32"/>
    <n v="112"/>
    <n v="23664"/>
    <n v="4.05"/>
    <n v="15353"/>
    <n v="2.2861730899256253E-2"/>
  </r>
  <r>
    <x v="8"/>
    <x v="1"/>
    <x v="33"/>
    <n v="478"/>
    <n v="435034"/>
    <n v="7.73"/>
    <n v="4839"/>
    <n v="-7.3097734889686784E-4"/>
  </r>
  <r>
    <x v="8"/>
    <x v="2"/>
    <x v="34"/>
    <n v="261"/>
    <n v="287574"/>
    <n v="4.3600000000000003"/>
    <n v="39272"/>
    <n v="5.1986619096302169E-3"/>
  </r>
  <r>
    <x v="8"/>
    <x v="3"/>
    <x v="35"/>
    <n v="101"/>
    <n v="62499"/>
    <n v="3.48"/>
    <n v="16804"/>
    <n v="7.600121601945631E-3"/>
  </r>
  <r>
    <x v="9"/>
    <x v="0"/>
    <x v="36"/>
    <n v="293"/>
    <n v="437968"/>
    <n v="7.83"/>
    <n v="49303"/>
    <n v="8.0371168669857163E-4"/>
  </r>
  <r>
    <x v="9"/>
    <x v="1"/>
    <x v="37"/>
    <n v="411"/>
    <n v="125034"/>
    <n v="6.11"/>
    <n v="26455"/>
    <n v="-1.5755714445670778E-3"/>
  </r>
  <r>
    <x v="9"/>
    <x v="2"/>
    <x v="38"/>
    <n v="498"/>
    <n v="449994"/>
    <n v="9.43"/>
    <n v="12384"/>
    <n v="7.2889860753698943E-4"/>
  </r>
  <r>
    <x v="9"/>
    <x v="3"/>
    <x v="39"/>
    <n v="141"/>
    <n v="320650"/>
    <n v="4.04"/>
    <n v="49372"/>
    <n v="9.9485420240137223E-4"/>
  </r>
  <r>
    <x v="10"/>
    <x v="0"/>
    <x v="40"/>
    <n v="203"/>
    <n v="489188"/>
    <n v="6.23"/>
    <n v="47101"/>
    <n v="2.7085701202809553E-3"/>
  </r>
  <r>
    <x v="10"/>
    <x v="1"/>
    <x v="41"/>
    <n v="200"/>
    <n v="307612"/>
    <n v="6.01"/>
    <n v="37903"/>
    <n v="4.3366318609156986E-3"/>
  </r>
  <r>
    <x v="10"/>
    <x v="2"/>
    <x v="42"/>
    <n v="448"/>
    <n v="434883"/>
    <n v="8.5500000000000007"/>
    <n v="33258"/>
    <n v="8.5080354946042954E-5"/>
  </r>
  <r>
    <x v="10"/>
    <x v="3"/>
    <x v="43"/>
    <n v="178"/>
    <n v="102042"/>
    <n v="5.42"/>
    <n v="6915"/>
    <n v="1.011348268360087E-2"/>
  </r>
  <r>
    <x v="11"/>
    <x v="0"/>
    <x v="44"/>
    <n v="139"/>
    <n v="325444"/>
    <n v="3.25"/>
    <n v="35501"/>
    <n v="2.335271198731579E-4"/>
  </r>
  <r>
    <x v="11"/>
    <x v="1"/>
    <x v="45"/>
    <n v="20"/>
    <n v="183924"/>
    <n v="8.84"/>
    <n v="14203"/>
    <n v="5.7523759813836147E-3"/>
  </r>
  <r>
    <x v="11"/>
    <x v="2"/>
    <x v="46"/>
    <n v="86"/>
    <n v="188655"/>
    <n v="7.24"/>
    <n v="22206"/>
    <n v="8.825634093981077E-3"/>
  </r>
  <r>
    <x v="11"/>
    <x v="3"/>
    <x v="47"/>
    <n v="31"/>
    <n v="87443"/>
    <n v="6.19"/>
    <n v="10283"/>
    <n v="2.1728440241071327E-3"/>
  </r>
  <r>
    <x v="12"/>
    <x v="0"/>
    <x v="48"/>
    <n v="76"/>
    <n v="453799"/>
    <n v="5.71"/>
    <n v="24913"/>
    <n v="3.5456226214689766E-3"/>
  </r>
  <r>
    <x v="12"/>
    <x v="1"/>
    <x v="49"/>
    <n v="211"/>
    <n v="379380"/>
    <n v="9.0399999999999991"/>
    <n v="26925"/>
    <n v="9.7527544941747058E-5"/>
  </r>
  <r>
    <x v="12"/>
    <x v="2"/>
    <x v="50"/>
    <n v="71"/>
    <n v="186454"/>
    <n v="3.91"/>
    <n v="9942"/>
    <n v="6.5914381026955706E-3"/>
  </r>
  <r>
    <x v="12"/>
    <x v="3"/>
    <x v="51"/>
    <n v="394"/>
    <n v="239044"/>
    <n v="7.83"/>
    <n v="32929"/>
    <n v="1.1713324743561855E-4"/>
  </r>
  <r>
    <x v="13"/>
    <x v="0"/>
    <x v="52"/>
    <n v="182"/>
    <n v="101332"/>
    <n v="7.16"/>
    <n v="37829"/>
    <n v="1.2306082974775983E-2"/>
  </r>
  <r>
    <x v="13"/>
    <x v="1"/>
    <x v="53"/>
    <n v="475"/>
    <n v="496982"/>
    <n v="6.41"/>
    <n v="24384"/>
    <n v="2.1026918479944948E-3"/>
  </r>
  <r>
    <x v="13"/>
    <x v="2"/>
    <x v="54"/>
    <n v="360"/>
    <n v="318779"/>
    <n v="8.02"/>
    <n v="25797"/>
    <n v="6.1798299135137512E-4"/>
  </r>
  <r>
    <x v="13"/>
    <x v="3"/>
    <x v="55"/>
    <n v="395"/>
    <n v="370971"/>
    <n v="3.86"/>
    <n v="12646"/>
    <n v="8.9764429025449434E-4"/>
  </r>
  <r>
    <x v="14"/>
    <x v="0"/>
    <x v="56"/>
    <n v="20"/>
    <n v="378054"/>
    <n v="9.09"/>
    <n v="26663"/>
    <n v="4.1581361392816901E-3"/>
  </r>
  <r>
    <x v="14"/>
    <x v="1"/>
    <x v="57"/>
    <n v="414"/>
    <n v="307524"/>
    <n v="1.76"/>
    <n v="40478"/>
    <n v="4.6435400163889647E-3"/>
  </r>
  <r>
    <x v="14"/>
    <x v="2"/>
    <x v="58"/>
    <n v="491"/>
    <n v="434047"/>
    <n v="9.24"/>
    <n v="15476"/>
    <n v="5.990134708914012E-4"/>
  </r>
  <r>
    <x v="14"/>
    <x v="3"/>
    <x v="59"/>
    <n v="309"/>
    <n v="64583"/>
    <n v="8.99"/>
    <n v="10217"/>
    <n v="1.7032345973398571E-2"/>
  </r>
  <r>
    <x v="15"/>
    <x v="0"/>
    <x v="60"/>
    <n v="401"/>
    <n v="50793"/>
    <n v="3.4"/>
    <n v="21939"/>
    <n v="7.4222825979957871E-3"/>
  </r>
  <r>
    <x v="15"/>
    <x v="1"/>
    <x v="61"/>
    <n v="345"/>
    <n v="474162"/>
    <n v="9.1999999999999993"/>
    <n v="47462"/>
    <n v="2.0668041724136477E-4"/>
  </r>
  <r>
    <x v="15"/>
    <x v="2"/>
    <x v="62"/>
    <n v="347"/>
    <n v="392355"/>
    <n v="8.59"/>
    <n v="30270"/>
    <n v="2.8673012960201858E-3"/>
  </r>
  <r>
    <x v="15"/>
    <x v="3"/>
    <x v="63"/>
    <n v="155"/>
    <n v="119934"/>
    <n v="3.5"/>
    <n v="5442"/>
    <n v="-2.6681341404439108E-4"/>
  </r>
  <r>
    <x v="16"/>
    <x v="0"/>
    <x v="64"/>
    <n v="151"/>
    <n v="422625"/>
    <n v="2.36"/>
    <n v="1083"/>
    <n v="1.5758651286601596E-3"/>
  </r>
  <r>
    <x v="16"/>
    <x v="1"/>
    <x v="65"/>
    <n v="217"/>
    <n v="239753"/>
    <n v="7.36"/>
    <n v="11901"/>
    <n v="-7.9248226299566635E-5"/>
  </r>
  <r>
    <x v="16"/>
    <x v="2"/>
    <x v="66"/>
    <n v="231"/>
    <n v="268516"/>
    <n v="8.5500000000000007"/>
    <n v="24018"/>
    <n v="6.2566104068286429E-3"/>
  </r>
  <r>
    <x v="16"/>
    <x v="3"/>
    <x v="67"/>
    <n v="212"/>
    <n v="63177"/>
    <n v="8.1300000000000008"/>
    <n v="38883"/>
    <n v="1.592351646960128E-2"/>
  </r>
  <r>
    <x v="17"/>
    <x v="0"/>
    <x v="68"/>
    <n v="408"/>
    <n v="370269"/>
    <n v="3.3"/>
    <n v="30575"/>
    <n v="2.7682576721248606E-3"/>
  </r>
  <r>
    <x v="17"/>
    <x v="1"/>
    <x v="69"/>
    <n v="429"/>
    <n v="453423"/>
    <n v="1.77"/>
    <n v="2315"/>
    <n v="-3.9477485703195471E-4"/>
  </r>
  <r>
    <x v="17"/>
    <x v="2"/>
    <x v="70"/>
    <n v="153"/>
    <n v="64906"/>
    <n v="2.09"/>
    <n v="12148"/>
    <n v="9.2287307798970819E-3"/>
  </r>
  <r>
    <x v="17"/>
    <x v="3"/>
    <x v="71"/>
    <n v="212"/>
    <n v="94360"/>
    <n v="7.36"/>
    <n v="36851"/>
    <n v="1.8079694785926241E-2"/>
  </r>
  <r>
    <x v="18"/>
    <x v="0"/>
    <x v="72"/>
    <n v="67"/>
    <n v="187183"/>
    <n v="6.25"/>
    <n v="41215"/>
    <n v="1.0000908202133741E-2"/>
  </r>
  <r>
    <x v="18"/>
    <x v="1"/>
    <x v="73"/>
    <n v="267"/>
    <n v="379363"/>
    <n v="1.75"/>
    <n v="43836"/>
    <n v="4.3810281972675247E-3"/>
  </r>
  <r>
    <x v="18"/>
    <x v="2"/>
    <x v="74"/>
    <n v="330"/>
    <n v="476486"/>
    <n v="4.97"/>
    <n v="4509"/>
    <n v="2.2456063766826309E-4"/>
  </r>
  <r>
    <x v="18"/>
    <x v="3"/>
    <x v="75"/>
    <n v="189"/>
    <n v="117767"/>
    <n v="9.3000000000000007"/>
    <n v="27822"/>
    <n v="1.0019784829366461E-3"/>
  </r>
  <r>
    <x v="19"/>
    <x v="0"/>
    <x v="76"/>
    <n v="303"/>
    <n v="388555"/>
    <n v="8.9"/>
    <n v="36397"/>
    <n v="3.1501331857780751E-3"/>
  </r>
  <r>
    <x v="19"/>
    <x v="1"/>
    <x v="77"/>
    <n v="358"/>
    <n v="157599"/>
    <n v="3.88"/>
    <n v="7285"/>
    <n v="1.8083871090552605E-3"/>
  </r>
  <r>
    <x v="19"/>
    <x v="2"/>
    <x v="78"/>
    <n v="221"/>
    <n v="309772"/>
    <n v="5.9"/>
    <n v="33174"/>
    <n v="-6.456361452939582E-5"/>
  </r>
  <r>
    <x v="19"/>
    <x v="3"/>
    <x v="79"/>
    <n v="47"/>
    <n v="199178"/>
    <n v="1.53"/>
    <n v="6742"/>
    <n v="1.8425729749269497E-3"/>
  </r>
  <r>
    <x v="20"/>
    <x v="0"/>
    <x v="80"/>
    <n v="441"/>
    <n v="357089"/>
    <n v="6.5"/>
    <n v="32478"/>
    <n v="7.3371064356504961E-4"/>
  </r>
  <r>
    <x v="20"/>
    <x v="1"/>
    <x v="28"/>
    <n v="69"/>
    <n v="23492"/>
    <n v="3.16"/>
    <n v="42824"/>
    <n v="1.8687212668142345E-2"/>
  </r>
  <r>
    <x v="20"/>
    <x v="2"/>
    <x v="81"/>
    <n v="61"/>
    <n v="258287"/>
    <n v="8.25"/>
    <n v="21208"/>
    <n v="2.4623771231227277E-3"/>
  </r>
  <r>
    <x v="20"/>
    <x v="3"/>
    <x v="82"/>
    <n v="223"/>
    <n v="256910"/>
    <n v="5.41"/>
    <n v="44321"/>
    <n v="5.7763419096181542E-3"/>
  </r>
  <r>
    <x v="21"/>
    <x v="0"/>
    <x v="83"/>
    <n v="66"/>
    <n v="346522"/>
    <n v="5.85"/>
    <n v="13116"/>
    <n v="1.6622321237901201E-3"/>
  </r>
  <r>
    <x v="21"/>
    <x v="1"/>
    <x v="84"/>
    <n v="473"/>
    <n v="209987"/>
    <n v="4.46"/>
    <n v="30214"/>
    <n v="1.8382090319876945E-3"/>
  </r>
  <r>
    <x v="21"/>
    <x v="2"/>
    <x v="85"/>
    <n v="154"/>
    <n v="240550"/>
    <n v="5.22"/>
    <n v="15827"/>
    <n v="1.5381417584701726E-4"/>
  </r>
  <r>
    <x v="21"/>
    <x v="3"/>
    <x v="86"/>
    <n v="157"/>
    <n v="305827"/>
    <n v="1.99"/>
    <n v="46643"/>
    <n v="5.4180958515762179E-3"/>
  </r>
  <r>
    <x v="22"/>
    <x v="0"/>
    <x v="87"/>
    <n v="69"/>
    <n v="54935"/>
    <n v="6.85"/>
    <n v="36484"/>
    <n v="2.5430053699827069E-2"/>
  </r>
  <r>
    <x v="22"/>
    <x v="1"/>
    <x v="88"/>
    <n v="407"/>
    <n v="319186"/>
    <n v="3.32"/>
    <n v="4996"/>
    <n v="1.6918035252172713E-3"/>
  </r>
  <r>
    <x v="22"/>
    <x v="2"/>
    <x v="89"/>
    <n v="218"/>
    <n v="439080"/>
    <n v="5.68"/>
    <n v="36095"/>
    <n v="3.6508153411678964E-3"/>
  </r>
  <r>
    <x v="22"/>
    <x v="3"/>
    <x v="90"/>
    <n v="463"/>
    <n v="258944"/>
    <n v="6.08"/>
    <n v="16443"/>
    <n v="4.0317597627286209E-3"/>
  </r>
  <r>
    <x v="23"/>
    <x v="0"/>
    <x v="91"/>
    <n v="173"/>
    <n v="51395"/>
    <n v="4.66"/>
    <n v="47812"/>
    <n v="1.7550345364335054E-2"/>
  </r>
  <r>
    <x v="23"/>
    <x v="1"/>
    <x v="92"/>
    <n v="277"/>
    <n v="309483"/>
    <n v="8.6999999999999993"/>
    <n v="38452"/>
    <n v="-3.4250669665215861E-4"/>
  </r>
  <r>
    <x v="23"/>
    <x v="2"/>
    <x v="93"/>
    <n v="337"/>
    <n v="87305"/>
    <n v="2.46"/>
    <n v="30428"/>
    <n v="1.3172212358971423E-2"/>
  </r>
  <r>
    <x v="23"/>
    <x v="3"/>
    <x v="94"/>
    <n v="105"/>
    <n v="121091"/>
    <n v="7.97"/>
    <n v="9269"/>
    <n v="2.8821299683708945E-3"/>
  </r>
  <r>
    <x v="24"/>
    <x v="0"/>
    <x v="95"/>
    <n v="236"/>
    <n v="51087"/>
    <n v="9.41"/>
    <n v="29533"/>
    <n v="-9.5914811987394058E-4"/>
  </r>
  <r>
    <x v="24"/>
    <x v="1"/>
    <x v="96"/>
    <n v="441"/>
    <n v="338847"/>
    <n v="2.68"/>
    <n v="39997"/>
    <n v="2.1248528096751631E-4"/>
  </r>
  <r>
    <x v="24"/>
    <x v="2"/>
    <x v="97"/>
    <n v="183"/>
    <n v="487523"/>
    <n v="7.32"/>
    <n v="5391"/>
    <n v="9.1277744844858602E-4"/>
  </r>
  <r>
    <x v="24"/>
    <x v="3"/>
    <x v="98"/>
    <n v="218"/>
    <n v="301695"/>
    <n v="4.68"/>
    <n v="22373"/>
    <n v="1.9887634863023914E-4"/>
  </r>
  <r>
    <x v="25"/>
    <x v="0"/>
    <x v="99"/>
    <n v="161"/>
    <n v="282466"/>
    <n v="5.17"/>
    <n v="1810"/>
    <n v="5.9936417126309005E-3"/>
  </r>
  <r>
    <x v="25"/>
    <x v="1"/>
    <x v="100"/>
    <n v="378"/>
    <n v="336661"/>
    <n v="6.2"/>
    <n v="28498"/>
    <n v="3.9565022381564839E-3"/>
  </r>
  <r>
    <x v="25"/>
    <x v="2"/>
    <x v="101"/>
    <n v="232"/>
    <n v="88455"/>
    <n v="2.69"/>
    <n v="39530"/>
    <n v="1.1079079758069075E-3"/>
  </r>
  <r>
    <x v="25"/>
    <x v="3"/>
    <x v="102"/>
    <n v="408"/>
    <n v="62535"/>
    <n v="8.9"/>
    <n v="37876"/>
    <n v="1.4152074838090669E-2"/>
  </r>
  <r>
    <x v="26"/>
    <x v="0"/>
    <x v="103"/>
    <n v="71"/>
    <n v="421957"/>
    <n v="3.79"/>
    <n v="36103"/>
    <n v="3.8511033114748661E-3"/>
  </r>
  <r>
    <x v="26"/>
    <x v="1"/>
    <x v="104"/>
    <n v="196"/>
    <n v="470269"/>
    <n v="4.79"/>
    <n v="26103"/>
    <n v="3.6277109484146308E-3"/>
  </r>
  <r>
    <x v="26"/>
    <x v="2"/>
    <x v="105"/>
    <n v="268"/>
    <n v="309904"/>
    <n v="6.37"/>
    <n v="3455"/>
    <n v="3.7850431101244257E-3"/>
  </r>
  <r>
    <x v="26"/>
    <x v="3"/>
    <x v="106"/>
    <n v="161"/>
    <n v="221274"/>
    <n v="2.65"/>
    <n v="40888"/>
    <n v="1.3151115811166245E-3"/>
  </r>
  <r>
    <x v="27"/>
    <x v="0"/>
    <x v="107"/>
    <n v="375"/>
    <n v="220616"/>
    <n v="1.81"/>
    <n v="22724"/>
    <n v="5.0721615839286359E-3"/>
  </r>
  <r>
    <x v="27"/>
    <x v="1"/>
    <x v="108"/>
    <n v="141"/>
    <n v="35842"/>
    <n v="7.47"/>
    <n v="18601"/>
    <n v="3.8307014117515761E-2"/>
  </r>
  <r>
    <x v="27"/>
    <x v="2"/>
    <x v="109"/>
    <n v="210"/>
    <n v="20607"/>
    <n v="4.2"/>
    <n v="20861"/>
    <n v="8.3806473528412681E-2"/>
  </r>
  <r>
    <x v="27"/>
    <x v="3"/>
    <x v="110"/>
    <n v="163"/>
    <n v="451894"/>
    <n v="5.43"/>
    <n v="46625"/>
    <n v="1.2679964770499277E-3"/>
  </r>
  <r>
    <x v="28"/>
    <x v="0"/>
    <x v="111"/>
    <n v="70"/>
    <n v="465553"/>
    <n v="3.32"/>
    <n v="20692"/>
    <n v="3.0759118725472716E-3"/>
  </r>
  <r>
    <x v="28"/>
    <x v="1"/>
    <x v="112"/>
    <n v="246"/>
    <n v="415815"/>
    <n v="8.11"/>
    <n v="18656"/>
    <n v="3.311568846722701E-3"/>
  </r>
  <r>
    <x v="28"/>
    <x v="2"/>
    <x v="56"/>
    <n v="233"/>
    <n v="327183"/>
    <n v="6.66"/>
    <n v="13316"/>
    <n v="4.1536387893013997E-3"/>
  </r>
  <r>
    <x v="28"/>
    <x v="3"/>
    <x v="113"/>
    <n v="128"/>
    <n v="488901"/>
    <n v="8.09"/>
    <n v="49558"/>
    <n v="1.7917737946946315E-3"/>
  </r>
  <r>
    <x v="29"/>
    <x v="0"/>
    <x v="114"/>
    <n v="408"/>
    <n v="280795"/>
    <n v="8.44"/>
    <n v="4683"/>
    <n v="2.4359408109118751E-3"/>
  </r>
  <r>
    <x v="29"/>
    <x v="1"/>
    <x v="115"/>
    <n v="425"/>
    <n v="93347"/>
    <n v="2.02"/>
    <n v="47502"/>
    <n v="7.8202834584935772E-3"/>
  </r>
  <r>
    <x v="29"/>
    <x v="2"/>
    <x v="116"/>
    <n v="226"/>
    <n v="81119"/>
    <n v="7.74"/>
    <n v="35359"/>
    <n v="1.1230414576116569E-2"/>
  </r>
  <r>
    <x v="29"/>
    <x v="3"/>
    <x v="117"/>
    <n v="311"/>
    <n v="25177"/>
    <n v="2.89"/>
    <n v="14154"/>
    <n v="6.3113158835445049E-2"/>
  </r>
  <r>
    <x v="30"/>
    <x v="0"/>
    <x v="86"/>
    <n v="49"/>
    <n v="140804"/>
    <n v="1.76"/>
    <n v="4313"/>
    <n v="1.253515525127127E-2"/>
  </r>
  <r>
    <x v="30"/>
    <x v="1"/>
    <x v="118"/>
    <n v="204"/>
    <n v="379431"/>
    <n v="3.09"/>
    <n v="25140"/>
    <n v="4.6806929323118035E-3"/>
  </r>
  <r>
    <x v="30"/>
    <x v="2"/>
    <x v="119"/>
    <n v="257"/>
    <n v="274831"/>
    <n v="4.68"/>
    <n v="9118"/>
    <n v="5.5634189738421064E-3"/>
  </r>
  <r>
    <x v="30"/>
    <x v="3"/>
    <x v="120"/>
    <n v="35"/>
    <n v="136845"/>
    <n v="4.4800000000000004"/>
    <n v="39931"/>
    <n v="1.0669005078738719E-2"/>
  </r>
  <r>
    <x v="31"/>
    <x v="0"/>
    <x v="121"/>
    <n v="110"/>
    <n v="466382"/>
    <n v="5.3"/>
    <n v="37132"/>
    <n v="1.9361810704529763E-3"/>
  </r>
  <r>
    <x v="31"/>
    <x v="1"/>
    <x v="122"/>
    <n v="196"/>
    <n v="95728"/>
    <n v="8.1999999999999993"/>
    <n v="17951"/>
    <n v="6.4766839378238338E-3"/>
  </r>
  <r>
    <x v="31"/>
    <x v="2"/>
    <x v="123"/>
    <n v="445"/>
    <n v="371156"/>
    <n v="2.2200000000000002"/>
    <n v="2798"/>
    <n v="3.2008104408927781E-3"/>
  </r>
  <r>
    <x v="31"/>
    <x v="3"/>
    <x v="124"/>
    <n v="45"/>
    <n v="95410"/>
    <n v="8.33"/>
    <n v="15045"/>
    <n v="8.8669950738916262E-3"/>
  </r>
  <r>
    <x v="32"/>
    <x v="0"/>
    <x v="125"/>
    <n v="133"/>
    <n v="349413"/>
    <n v="3.3"/>
    <n v="14548"/>
    <n v="4.9282654051223049E-3"/>
  </r>
  <r>
    <x v="32"/>
    <x v="1"/>
    <x v="126"/>
    <n v="353"/>
    <n v="224699"/>
    <n v="5.61"/>
    <n v="45708"/>
    <n v="1.3262186302564765E-3"/>
  </r>
  <r>
    <x v="32"/>
    <x v="2"/>
    <x v="127"/>
    <n v="262"/>
    <n v="487896"/>
    <n v="2.56"/>
    <n v="12350"/>
    <n v="-2.9514486693885583E-4"/>
  </r>
  <r>
    <x v="32"/>
    <x v="3"/>
    <x v="128"/>
    <n v="430"/>
    <n v="14437"/>
    <n v="3.29"/>
    <n v="40868"/>
    <n v="6.2409087760615087E-2"/>
  </r>
  <r>
    <x v="33"/>
    <x v="0"/>
    <x v="129"/>
    <n v="176"/>
    <n v="383681"/>
    <n v="9.24"/>
    <n v="43122"/>
    <n v="4.0971536250166149E-3"/>
  </r>
  <r>
    <x v="33"/>
    <x v="1"/>
    <x v="130"/>
    <n v="236"/>
    <n v="479490"/>
    <n v="4.51"/>
    <n v="23853"/>
    <n v="8.9052952094934197E-4"/>
  </r>
  <r>
    <x v="33"/>
    <x v="2"/>
    <x v="131"/>
    <n v="149"/>
    <n v="124404"/>
    <n v="5.23"/>
    <n v="45380"/>
    <n v="7.1621491270377159E-3"/>
  </r>
  <r>
    <x v="33"/>
    <x v="3"/>
    <x v="132"/>
    <n v="442"/>
    <n v="336949"/>
    <n v="4.68"/>
    <n v="7705"/>
    <n v="2.1486931256659019E-3"/>
  </r>
  <r>
    <x v="34"/>
    <x v="0"/>
    <x v="133"/>
    <n v="281"/>
    <n v="357265"/>
    <n v="9.23"/>
    <n v="25525"/>
    <n v="-4.6464109274628077E-4"/>
  </r>
  <r>
    <x v="34"/>
    <x v="1"/>
    <x v="134"/>
    <n v="351"/>
    <n v="321307"/>
    <n v="6.37"/>
    <n v="20560"/>
    <n v="2.7948348464241365E-3"/>
  </r>
  <r>
    <x v="34"/>
    <x v="2"/>
    <x v="135"/>
    <n v="75"/>
    <n v="262569"/>
    <n v="2.0099999999999998"/>
    <n v="19119"/>
    <n v="5.4309533874905263E-3"/>
  </r>
  <r>
    <x v="34"/>
    <x v="3"/>
    <x v="136"/>
    <n v="186"/>
    <n v="461669"/>
    <n v="3.72"/>
    <n v="43999"/>
    <n v="2.6534161921203288E-3"/>
  </r>
  <r>
    <x v="35"/>
    <x v="0"/>
    <x v="137"/>
    <n v="476"/>
    <n v="351556"/>
    <n v="3.89"/>
    <n v="10825"/>
    <n v="3.0720567989168156E-3"/>
  </r>
  <r>
    <x v="35"/>
    <x v="1"/>
    <x v="138"/>
    <n v="411"/>
    <n v="135987"/>
    <n v="8.6999999999999993"/>
    <n v="40323"/>
    <n v="5.5005257855530306E-3"/>
  </r>
  <r>
    <x v="35"/>
    <x v="2"/>
    <x v="139"/>
    <n v="358"/>
    <n v="177554"/>
    <n v="6.95"/>
    <n v="48270"/>
    <n v="3.2046588643454949E-3"/>
  </r>
  <r>
    <x v="35"/>
    <x v="3"/>
    <x v="140"/>
    <n v="355"/>
    <n v="270766"/>
    <n v="9.48"/>
    <n v="18001"/>
    <n v="-7.4972485467156139E-4"/>
  </r>
  <r>
    <x v="36"/>
    <x v="0"/>
    <x v="141"/>
    <n v="234"/>
    <n v="222126"/>
    <n v="4.6100000000000003"/>
    <n v="3314"/>
    <n v="7.7568587198256845E-3"/>
  </r>
  <r>
    <x v="36"/>
    <x v="1"/>
    <x v="142"/>
    <n v="382"/>
    <n v="309914"/>
    <n v="8.0299999999999994"/>
    <n v="23489"/>
    <n v="2.9427518601934728E-3"/>
  </r>
  <r>
    <x v="36"/>
    <x v="2"/>
    <x v="143"/>
    <n v="385"/>
    <n v="126582"/>
    <n v="6.99"/>
    <n v="42832"/>
    <n v="9.4958208908059605E-3"/>
  </r>
  <r>
    <x v="36"/>
    <x v="3"/>
    <x v="82"/>
    <n v="263"/>
    <n v="485280"/>
    <n v="9.0299999999999994"/>
    <n v="24494"/>
    <n v="2.9756017144741179E-3"/>
  </r>
  <r>
    <x v="37"/>
    <x v="0"/>
    <x v="144"/>
    <n v="173"/>
    <n v="453243"/>
    <n v="2.86"/>
    <n v="44097"/>
    <n v="2.1291007252180398E-3"/>
  </r>
  <r>
    <x v="37"/>
    <x v="1"/>
    <x v="145"/>
    <n v="305"/>
    <n v="104967"/>
    <n v="3.85"/>
    <n v="31853"/>
    <n v="1.5147617822744291E-2"/>
  </r>
  <r>
    <x v="37"/>
    <x v="2"/>
    <x v="146"/>
    <n v="399"/>
    <n v="145608"/>
    <n v="7.3"/>
    <n v="37636"/>
    <n v="-2.5410691720235154E-4"/>
  </r>
  <r>
    <x v="37"/>
    <x v="3"/>
    <x v="147"/>
    <n v="487"/>
    <n v="105980"/>
    <n v="9.08"/>
    <n v="22996"/>
    <n v="1.1086997546706926E-2"/>
  </r>
  <r>
    <x v="38"/>
    <x v="0"/>
    <x v="148"/>
    <n v="65"/>
    <n v="126524"/>
    <n v="4.34"/>
    <n v="49772"/>
    <n v="1.0867503398564699E-2"/>
  </r>
  <r>
    <x v="38"/>
    <x v="1"/>
    <x v="149"/>
    <n v="177"/>
    <n v="230448"/>
    <n v="7.8"/>
    <n v="22713"/>
    <n v="7.4073109768798169E-3"/>
  </r>
  <r>
    <x v="38"/>
    <x v="2"/>
    <x v="150"/>
    <n v="153"/>
    <n v="317007"/>
    <n v="3.85"/>
    <n v="8718"/>
    <n v="2.2333891680625349E-3"/>
  </r>
  <r>
    <x v="38"/>
    <x v="3"/>
    <x v="151"/>
    <n v="47"/>
    <n v="464239"/>
    <n v="6.58"/>
    <n v="39031"/>
    <n v="2.1885278918832756E-3"/>
  </r>
  <r>
    <x v="39"/>
    <x v="0"/>
    <x v="152"/>
    <n v="56"/>
    <n v="257579"/>
    <n v="8.6199999999999992"/>
    <n v="33799"/>
    <n v="5.1052298518124532E-3"/>
  </r>
  <r>
    <x v="39"/>
    <x v="1"/>
    <x v="153"/>
    <n v="464"/>
    <n v="366881"/>
    <n v="4.55"/>
    <n v="20553"/>
    <n v="-3.2435585380545735E-4"/>
  </r>
  <r>
    <x v="39"/>
    <x v="2"/>
    <x v="154"/>
    <n v="47"/>
    <n v="466575"/>
    <n v="8.33"/>
    <n v="10002"/>
    <n v="1.9268070513850934E-3"/>
  </r>
  <r>
    <x v="39"/>
    <x v="3"/>
    <x v="155"/>
    <n v="195"/>
    <n v="224534"/>
    <n v="9.4"/>
    <n v="30987"/>
    <n v="1.4029055733207443E-3"/>
  </r>
  <r>
    <x v="40"/>
    <x v="0"/>
    <x v="156"/>
    <n v="181"/>
    <n v="462142"/>
    <n v="7.23"/>
    <n v="6296"/>
    <n v="4.5873346287504706E-4"/>
  </r>
  <r>
    <x v="40"/>
    <x v="1"/>
    <x v="157"/>
    <n v="190"/>
    <n v="340842"/>
    <n v="9.39"/>
    <n v="21539"/>
    <n v="2.6639909400836752E-3"/>
  </r>
  <r>
    <x v="40"/>
    <x v="2"/>
    <x v="158"/>
    <n v="49"/>
    <n v="12471"/>
    <n v="5.12"/>
    <n v="14722"/>
    <n v="0.10825114265095021"/>
  </r>
  <r>
    <x v="40"/>
    <x v="3"/>
    <x v="159"/>
    <n v="416"/>
    <n v="98397"/>
    <n v="6.11"/>
    <n v="11383"/>
    <n v="1.2622336046830695E-2"/>
  </r>
  <r>
    <x v="41"/>
    <x v="0"/>
    <x v="160"/>
    <n v="422"/>
    <n v="410330"/>
    <n v="7.74"/>
    <n v="9480"/>
    <n v="1.6572027392586454E-3"/>
  </r>
  <r>
    <x v="41"/>
    <x v="1"/>
    <x v="161"/>
    <n v="242"/>
    <n v="342129"/>
    <n v="4.9400000000000004"/>
    <n v="29116"/>
    <n v="3.2619275185675578E-3"/>
  </r>
  <r>
    <x v="41"/>
    <x v="2"/>
    <x v="162"/>
    <n v="216"/>
    <n v="12447"/>
    <n v="1.8"/>
    <n v="14068"/>
    <n v="6.9173294769824048E-2"/>
  </r>
  <r>
    <x v="41"/>
    <x v="3"/>
    <x v="163"/>
    <n v="211"/>
    <n v="17380"/>
    <n v="8.64"/>
    <n v="35801"/>
    <n v="7.9689298043728429E-2"/>
  </r>
  <r>
    <x v="42"/>
    <x v="0"/>
    <x v="164"/>
    <n v="29"/>
    <n v="364810"/>
    <n v="1.53"/>
    <n v="49077"/>
    <n v="1.2636715002329981E-3"/>
  </r>
  <r>
    <x v="42"/>
    <x v="1"/>
    <x v="165"/>
    <n v="135"/>
    <n v="373606"/>
    <n v="8.52"/>
    <n v="21453"/>
    <n v="1.268716241173857E-3"/>
  </r>
  <r>
    <x v="42"/>
    <x v="2"/>
    <x v="166"/>
    <n v="72"/>
    <n v="211090"/>
    <n v="5.53"/>
    <n v="21061"/>
    <n v="1.3832962243592781E-3"/>
  </r>
  <r>
    <x v="42"/>
    <x v="3"/>
    <x v="167"/>
    <n v="53"/>
    <n v="441931"/>
    <n v="1.87"/>
    <n v="20059"/>
    <n v="8.8022790888170322E-4"/>
  </r>
  <r>
    <x v="43"/>
    <x v="0"/>
    <x v="168"/>
    <n v="392"/>
    <n v="282780"/>
    <n v="6.27"/>
    <n v="23140"/>
    <n v="2.2667798288422093E-3"/>
  </r>
  <r>
    <x v="43"/>
    <x v="1"/>
    <x v="169"/>
    <n v="474"/>
    <n v="370070"/>
    <n v="9.4600000000000009"/>
    <n v="23461"/>
    <n v="1.3889264193260734E-3"/>
  </r>
  <r>
    <x v="43"/>
    <x v="2"/>
    <x v="170"/>
    <n v="270"/>
    <n v="198350"/>
    <n v="7.5"/>
    <n v="11805"/>
    <n v="8.4497101083942528E-3"/>
  </r>
  <r>
    <x v="43"/>
    <x v="3"/>
    <x v="141"/>
    <n v="490"/>
    <n v="435726"/>
    <n v="4.7300000000000004"/>
    <n v="15969"/>
    <n v="3.3667947287974553E-3"/>
  </r>
  <r>
    <x v="44"/>
    <x v="0"/>
    <x v="171"/>
    <n v="392"/>
    <n v="78789"/>
    <n v="3.19"/>
    <n v="2436"/>
    <n v="2.1195852212872357E-3"/>
  </r>
  <r>
    <x v="44"/>
    <x v="1"/>
    <x v="172"/>
    <n v="278"/>
    <n v="98596"/>
    <n v="2.4900000000000002"/>
    <n v="47603"/>
    <n v="1.0436528865268368E-2"/>
  </r>
  <r>
    <x v="44"/>
    <x v="2"/>
    <x v="173"/>
    <n v="425"/>
    <n v="29589"/>
    <n v="4.5"/>
    <n v="42964"/>
    <n v="3.4032917638311531E-2"/>
  </r>
  <r>
    <x v="44"/>
    <x v="3"/>
    <x v="174"/>
    <n v="414"/>
    <n v="290354"/>
    <n v="6.49"/>
    <n v="39923"/>
    <n v="7.1981098934404211E-4"/>
  </r>
  <r>
    <x v="45"/>
    <x v="0"/>
    <x v="65"/>
    <n v="358"/>
    <n v="66682"/>
    <n v="6.73"/>
    <n v="2293"/>
    <n v="-2.3994481269308059E-3"/>
  </r>
  <r>
    <x v="45"/>
    <x v="1"/>
    <x v="65"/>
    <n v="373"/>
    <n v="70707"/>
    <n v="4.83"/>
    <n v="25920"/>
    <n v="-2.4750024750024749E-3"/>
  </r>
  <r>
    <x v="45"/>
    <x v="2"/>
    <x v="175"/>
    <n v="300"/>
    <n v="142507"/>
    <n v="5.3"/>
    <n v="11035"/>
    <n v="3.7191155522184875E-4"/>
  </r>
  <r>
    <x v="45"/>
    <x v="3"/>
    <x v="176"/>
    <n v="375"/>
    <n v="369525"/>
    <n v="6.54"/>
    <n v="20733"/>
    <n v="3.9239564305527366E-4"/>
  </r>
  <r>
    <x v="46"/>
    <x v="0"/>
    <x v="177"/>
    <n v="358"/>
    <n v="62942"/>
    <n v="6.8"/>
    <n v="18693"/>
    <n v="9.5802484827301332E-3"/>
  </r>
  <r>
    <x v="46"/>
    <x v="1"/>
    <x v="178"/>
    <n v="330"/>
    <n v="377382"/>
    <n v="2.6"/>
    <n v="7875"/>
    <n v="2.7690774864725927E-3"/>
  </r>
  <r>
    <x v="46"/>
    <x v="2"/>
    <x v="179"/>
    <n v="388"/>
    <n v="333851"/>
    <n v="2.44"/>
    <n v="8471"/>
    <n v="2.2734693021737242E-3"/>
  </r>
  <r>
    <x v="46"/>
    <x v="3"/>
    <x v="82"/>
    <n v="74"/>
    <n v="270958"/>
    <n v="3.09"/>
    <n v="14090"/>
    <n v="6.0267642955734836E-3"/>
  </r>
  <r>
    <x v="47"/>
    <x v="0"/>
    <x v="180"/>
    <n v="154"/>
    <n v="445944"/>
    <n v="5.69"/>
    <n v="14216"/>
    <n v="3.4511059684624078E-3"/>
  </r>
  <r>
    <x v="47"/>
    <x v="1"/>
    <x v="181"/>
    <n v="380"/>
    <n v="224830"/>
    <n v="3.86"/>
    <n v="3582"/>
    <n v="2.014855668727483E-3"/>
  </r>
  <r>
    <x v="47"/>
    <x v="2"/>
    <x v="182"/>
    <n v="274"/>
    <n v="487289"/>
    <n v="3.16"/>
    <n v="32500"/>
    <n v="1.9454574184929272E-3"/>
  </r>
  <r>
    <x v="47"/>
    <x v="3"/>
    <x v="183"/>
    <n v="140"/>
    <n v="11435"/>
    <n v="1.6"/>
    <n v="6832"/>
    <n v="5.5706165282028861E-2"/>
  </r>
  <r>
    <x v="48"/>
    <x v="0"/>
    <x v="141"/>
    <n v="76"/>
    <n v="447902"/>
    <n v="6.09"/>
    <n v="33381"/>
    <n v="4.1995793722733989E-3"/>
  </r>
  <r>
    <x v="48"/>
    <x v="1"/>
    <x v="184"/>
    <n v="66"/>
    <n v="418696"/>
    <n v="5.59"/>
    <n v="48419"/>
    <n v="8.0965664826031301E-4"/>
  </r>
  <r>
    <x v="48"/>
    <x v="2"/>
    <x v="185"/>
    <n v="71"/>
    <n v="484364"/>
    <n v="3.55"/>
    <n v="16149"/>
    <n v="3.1174901520344203E-3"/>
  </r>
  <r>
    <x v="48"/>
    <x v="3"/>
    <x v="186"/>
    <n v="171"/>
    <n v="148477"/>
    <n v="5.21"/>
    <n v="7541"/>
    <n v="5.8190830903102836E-3"/>
  </r>
  <r>
    <x v="49"/>
    <x v="0"/>
    <x v="187"/>
    <n v="109"/>
    <n v="468301"/>
    <n v="1.82"/>
    <n v="20042"/>
    <n v="3.5361871958419907E-3"/>
  </r>
  <r>
    <x v="49"/>
    <x v="1"/>
    <x v="188"/>
    <n v="430"/>
    <n v="364820"/>
    <n v="4"/>
    <n v="49400"/>
    <n v="1.1156186612576065E-3"/>
  </r>
  <r>
    <x v="49"/>
    <x v="2"/>
    <x v="189"/>
    <n v="68"/>
    <n v="456298"/>
    <n v="7.57"/>
    <n v="4007"/>
    <n v="5.8952701962314107E-4"/>
  </r>
  <r>
    <x v="49"/>
    <x v="3"/>
    <x v="190"/>
    <n v="456"/>
    <n v="82558"/>
    <n v="6.81"/>
    <n v="12174"/>
    <n v="-4.0819787301048958E-3"/>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P001"/>
    <x v="0"/>
    <s v="2024-12-23"/>
    <x v="0"/>
    <s v="Check out our latest reel on twitter!"/>
    <n v="1461"/>
    <n v="184"/>
    <n v="344"/>
    <n v="21915"/>
    <n v="21675"/>
    <n v="15"/>
    <x v="0"/>
    <s v="#FutureOfDriving"/>
    <s v="#AnytimeIsTeslaTime"/>
    <m/>
    <n v="9.0759753593429152E-2"/>
    <n v="1989"/>
  </r>
  <r>
    <s v="P002"/>
    <x v="0"/>
    <s v="2025-04-03"/>
    <x v="1"/>
    <s v="Check out our latest text on twitter!"/>
    <n v="4054"/>
    <n v="389"/>
    <n v="493"/>
    <n v="64864"/>
    <n v="64383"/>
    <n v="117"/>
    <x v="1"/>
    <s v="#TeslaCoInnovation"/>
    <s v="#BetterWithTesla"/>
    <m/>
    <n v="7.6097681302417369E-2"/>
    <n v="4936"/>
  </r>
  <r>
    <s v="P003"/>
    <x v="1"/>
    <s v="2025-05-12"/>
    <x v="0"/>
    <s v="Check out our latest reel on youtube!"/>
    <n v="2795"/>
    <n v="105"/>
    <n v="49"/>
    <n v="53105"/>
    <n v="52307"/>
    <n v="204"/>
    <x v="2"/>
    <s v="#TeslaCoInnovation"/>
    <m/>
    <m/>
    <n v="5.5531494209584788E-2"/>
    <n v="2949"/>
  </r>
  <r>
    <s v="P004"/>
    <x v="2"/>
    <s v="2024-08-12"/>
    <x v="2"/>
    <s v="Check out our latest story on instagram!"/>
    <n v="2404"/>
    <n v="363"/>
    <n v="138"/>
    <n v="19232"/>
    <n v="18636"/>
    <n v="128"/>
    <x v="3"/>
    <s v="#EVRevolution"/>
    <m/>
    <m/>
    <n v="0.15105033277870217"/>
    <n v="2905"/>
  </r>
  <r>
    <s v="P005"/>
    <x v="1"/>
    <s v="2024-06-26"/>
    <x v="0"/>
    <s v="Check out our latest reel on youtube!"/>
    <n v="3557"/>
    <n v="687"/>
    <n v="424"/>
    <n v="71140"/>
    <n v="70701"/>
    <n v="224"/>
    <x v="0"/>
    <s v="#EVRevolution"/>
    <s v="#TeslaCoInnovation"/>
    <m/>
    <n v="6.5617093055946027E-2"/>
    <n v="4668"/>
  </r>
  <r>
    <s v="P006"/>
    <x v="3"/>
    <s v="2024-10-31"/>
    <x v="3"/>
    <s v="Check out our latest carousel on facebook!"/>
    <n v="2945"/>
    <n v="930"/>
    <n v="355"/>
    <n v="23560"/>
    <n v="23275"/>
    <n v="256"/>
    <x v="1"/>
    <s v="#TeslaCoInnovation"/>
    <m/>
    <m/>
    <n v="0.17954159592529711"/>
    <n v="4230"/>
  </r>
  <r>
    <s v="P007"/>
    <x v="0"/>
    <s v="2024-06-24"/>
    <x v="3"/>
    <s v="Check out our latest carousel on twitter!"/>
    <n v="3860"/>
    <n v="201"/>
    <n v="279"/>
    <n v="61760"/>
    <n v="61660"/>
    <n v="235"/>
    <x v="1"/>
    <s v="#TeslaCoInnovation"/>
    <m/>
    <m/>
    <n v="7.0272020725388601E-2"/>
    <n v="4340"/>
  </r>
  <r>
    <s v="P008"/>
    <x v="1"/>
    <s v="2024-07-13"/>
    <x v="4"/>
    <s v="Check out our latest image on youtube!"/>
    <n v="3929"/>
    <n v="262"/>
    <n v="278"/>
    <n v="43219"/>
    <n v="42841"/>
    <n v="39"/>
    <x v="3"/>
    <s v="#EVRevolution"/>
    <m/>
    <m/>
    <n v="0.10340359564080613"/>
    <n v="4469"/>
  </r>
  <r>
    <s v="P009"/>
    <x v="3"/>
    <s v="2024-08-30"/>
    <x v="1"/>
    <s v="Check out our latest text on facebook!"/>
    <n v="3784"/>
    <n v="808"/>
    <n v="404"/>
    <n v="56760"/>
    <n v="56343"/>
    <n v="131"/>
    <x v="1"/>
    <s v="#TeslaCoInnovation"/>
    <m/>
    <m/>
    <n v="8.8019732205778717E-2"/>
    <n v="4996"/>
  </r>
  <r>
    <s v="P010"/>
    <x v="3"/>
    <s v="2025-03-11"/>
    <x v="4"/>
    <s v="Check out our latest image on facebook!"/>
    <n v="4241"/>
    <n v="902"/>
    <n v="47"/>
    <n v="72097"/>
    <n v="71598"/>
    <n v="167"/>
    <x v="1"/>
    <s v="#TeslaCoInnovation"/>
    <m/>
    <m/>
    <n v="7.198635172059864E-2"/>
    <n v="5190"/>
  </r>
  <r>
    <s v="P011"/>
    <x v="2"/>
    <s v="2025-02-02"/>
    <x v="2"/>
    <s v="Check out our latest story on instagram!"/>
    <n v="1792"/>
    <n v="614"/>
    <n v="497"/>
    <n v="25088"/>
    <n v="24675"/>
    <n v="65"/>
    <x v="3"/>
    <s v="#FutureOfDriving"/>
    <m/>
    <m/>
    <n v="0.11571269132653061"/>
    <n v="2903"/>
  </r>
  <r>
    <s v="P012"/>
    <x v="3"/>
    <s v="2024-07-21"/>
    <x v="0"/>
    <s v="Check out our latest reel on facebook!"/>
    <n v="1946"/>
    <n v="686"/>
    <n v="377"/>
    <n v="23352"/>
    <n v="22982"/>
    <n v="213"/>
    <x v="2"/>
    <s v="#FutureOfDriving"/>
    <m/>
    <m/>
    <n v="0.12885405960945528"/>
    <n v="3009"/>
  </r>
  <r>
    <s v="P013"/>
    <x v="1"/>
    <s v="2024-11-18"/>
    <x v="3"/>
    <s v="Check out our latest carousel on youtube!"/>
    <n v="1171"/>
    <n v="286"/>
    <n v="231"/>
    <n v="22249"/>
    <n v="21282"/>
    <n v="114"/>
    <x v="0"/>
    <s v="#EVRevolution"/>
    <m/>
    <m/>
    <n v="7.5868578363072495E-2"/>
    <n v="1688"/>
  </r>
  <r>
    <s v="P014"/>
    <x v="3"/>
    <s v="2025-02-16"/>
    <x v="2"/>
    <s v="Check out our latest story on facebook!"/>
    <n v="4242"/>
    <n v="555"/>
    <n v="131"/>
    <n v="33936"/>
    <n v="33802"/>
    <n v="265"/>
    <x v="4"/>
    <s v="#FutureOfDriving"/>
    <m/>
    <m/>
    <n v="0.14521452145214522"/>
    <n v="4928"/>
  </r>
  <r>
    <s v="P015"/>
    <x v="3"/>
    <s v="2024-10-24"/>
    <x v="5"/>
    <s v="Check out our latest video on facebook!"/>
    <n v="3888"/>
    <n v="604"/>
    <n v="128"/>
    <n v="77760"/>
    <n v="77167"/>
    <n v="20"/>
    <x v="0"/>
    <s v="#FutureOfDriving"/>
    <m/>
    <m/>
    <n v="5.941358024691358E-2"/>
    <n v="4620"/>
  </r>
  <r>
    <s v="P016"/>
    <x v="3"/>
    <s v="2024-08-26"/>
    <x v="1"/>
    <s v="Check out our latest text on facebook!"/>
    <n v="3452"/>
    <n v="377"/>
    <n v="360"/>
    <n v="55232"/>
    <n v="55075"/>
    <n v="87"/>
    <x v="2"/>
    <s v="#FutureOfDriving"/>
    <m/>
    <m/>
    <n v="7.5843713789107758E-2"/>
    <n v="4189"/>
  </r>
  <r>
    <s v="P017"/>
    <x v="3"/>
    <s v="2025-05-05"/>
    <x v="1"/>
    <s v="Check out our latest text on facebook!"/>
    <n v="4441"/>
    <n v="511"/>
    <n v="70"/>
    <n v="53292"/>
    <n v="53082"/>
    <n v="159"/>
    <x v="3"/>
    <s v="#EVRevolution"/>
    <m/>
    <m/>
    <n v="9.4235532537716729E-2"/>
    <n v="5022"/>
  </r>
  <r>
    <s v="P018"/>
    <x v="2"/>
    <s v="2024-08-19"/>
    <x v="0"/>
    <s v="Check out our latest reel on instagram!"/>
    <n v="3000"/>
    <n v="382"/>
    <n v="325"/>
    <n v="36000"/>
    <n v="35819"/>
    <n v="19"/>
    <x v="0"/>
    <s v="#FutureOfDriving"/>
    <m/>
    <m/>
    <n v="0.10297222222222223"/>
    <n v="3707"/>
  </r>
  <r>
    <s v="P019"/>
    <x v="2"/>
    <s v="2024-06-23"/>
    <x v="5"/>
    <s v="Check out our latest video on instagram!"/>
    <n v="1071"/>
    <n v="519"/>
    <n v="22"/>
    <n v="16065"/>
    <n v="15865"/>
    <n v="103"/>
    <x v="3"/>
    <s v="#TeslaCoInnovation"/>
    <m/>
    <m/>
    <n v="0.10034235916588857"/>
    <n v="1612"/>
  </r>
  <r>
    <s v="P020"/>
    <x v="2"/>
    <s v="2024-09-09"/>
    <x v="3"/>
    <s v="Check out our latest carousel on instagram!"/>
    <n v="4054"/>
    <n v="488"/>
    <n v="373"/>
    <n v="77026"/>
    <n v="76881"/>
    <n v="25"/>
    <x v="0"/>
    <s v="#TeslaCoInnovation"/>
    <m/>
    <m/>
    <n v="6.3809622724794221E-2"/>
    <n v="4915"/>
  </r>
  <r>
    <s v="P021"/>
    <x v="2"/>
    <s v="2025-01-04"/>
    <x v="0"/>
    <s v="Check out our latest reel on instagram!"/>
    <n v="4838"/>
    <n v="640"/>
    <n v="128"/>
    <n v="72570"/>
    <n v="72396"/>
    <n v="83"/>
    <x v="3"/>
    <s v="#FutureOfDriving"/>
    <m/>
    <m/>
    <n v="7.7249552156538517E-2"/>
    <n v="5606"/>
  </r>
  <r>
    <s v="P022"/>
    <x v="3"/>
    <s v="2025-02-27"/>
    <x v="1"/>
    <s v="Check out our latest text on facebook!"/>
    <n v="1570"/>
    <n v="187"/>
    <n v="260"/>
    <n v="25120"/>
    <n v="24613"/>
    <n v="133"/>
    <x v="3"/>
    <s v="#TeslaCoInnovation"/>
    <m/>
    <m/>
    <n v="8.0294585987261149E-2"/>
    <n v="2017"/>
  </r>
  <r>
    <s v="P023"/>
    <x v="3"/>
    <s v="2024-11-06"/>
    <x v="5"/>
    <s v="Check out our latest video on facebook!"/>
    <n v="1606"/>
    <n v="547"/>
    <n v="316"/>
    <n v="32120"/>
    <n v="31736"/>
    <n v="225"/>
    <x v="1"/>
    <s v="#TeslaCoInnovation"/>
    <s v="#AnytimeIsTeslaTime"/>
    <m/>
    <n v="7.6867995018679955E-2"/>
    <n v="2469"/>
  </r>
  <r>
    <s v="P024"/>
    <x v="3"/>
    <s v="2025-01-23"/>
    <x v="5"/>
    <s v="Check out our latest video on facebook!"/>
    <n v="3961"/>
    <n v="761"/>
    <n v="131"/>
    <n v="67337"/>
    <n v="66615"/>
    <n v="161"/>
    <x v="2"/>
    <s v="#FutureOfDriving"/>
    <m/>
    <m/>
    <n v="7.2070332803659209E-2"/>
    <n v="4853"/>
  </r>
  <r>
    <s v="P025"/>
    <x v="0"/>
    <s v="2025-04-10"/>
    <x v="3"/>
    <s v="Check out our latest carousel on twitter!"/>
    <n v="3128"/>
    <n v="211"/>
    <n v="197"/>
    <n v="59432"/>
    <n v="59182"/>
    <n v="238"/>
    <x v="4"/>
    <s v="#EVRevolution"/>
    <m/>
    <m/>
    <n v="5.9496567505720827E-2"/>
    <n v="3536"/>
  </r>
  <r>
    <s v="P026"/>
    <x v="1"/>
    <s v="2025-04-05"/>
    <x v="0"/>
    <s v="Check out our latest reel on youtube!"/>
    <n v="3009"/>
    <n v="413"/>
    <n v="358"/>
    <n v="42126"/>
    <n v="41309"/>
    <n v="211"/>
    <x v="1"/>
    <s v="#FutureOfDriving"/>
    <m/>
    <m/>
    <n v="8.9730807577268201E-2"/>
    <n v="3780"/>
  </r>
  <r>
    <s v="P027"/>
    <x v="1"/>
    <s v="2024-09-17"/>
    <x v="1"/>
    <s v="Check out our latest text on youtube!"/>
    <n v="2076"/>
    <n v="195"/>
    <n v="104"/>
    <n v="33216"/>
    <n v="32244"/>
    <n v="51"/>
    <x v="3"/>
    <s v="#FutureOfDriving"/>
    <m/>
    <m/>
    <n v="7.1501685934489398E-2"/>
    <n v="2375"/>
  </r>
  <r>
    <s v="P028"/>
    <x v="2"/>
    <s v="2025-03-04"/>
    <x v="5"/>
    <s v="Check out our latest video on instagram!"/>
    <n v="432"/>
    <n v="624"/>
    <n v="123"/>
    <n v="6912"/>
    <n v="6259"/>
    <n v="79"/>
    <x v="3"/>
    <s v="#FutureOfDriving"/>
    <m/>
    <m/>
    <n v="0.17057291666666666"/>
    <n v="1179"/>
  </r>
  <r>
    <s v="P029"/>
    <x v="2"/>
    <s v="2025-01-31"/>
    <x v="3"/>
    <s v="Check out our latest carousel on instagram!"/>
    <n v="2566"/>
    <n v="118"/>
    <n v="37"/>
    <n v="12830"/>
    <n v="12264"/>
    <n v="221"/>
    <x v="2"/>
    <s v="#FutureOfDriving"/>
    <m/>
    <m/>
    <n v="0.21208106001558846"/>
    <n v="2721"/>
  </r>
  <r>
    <s v="P030"/>
    <x v="2"/>
    <s v="2025-02-25"/>
    <x v="5"/>
    <s v="Check out our latest video on instagram!"/>
    <n v="3095"/>
    <n v="39"/>
    <n v="78"/>
    <n v="55710"/>
    <n v="54808"/>
    <n v="93"/>
    <x v="4"/>
    <s v="#EVRevolution"/>
    <m/>
    <m/>
    <n v="5.7655717106444085E-2"/>
    <n v="3212"/>
  </r>
  <r>
    <s v="P031"/>
    <x v="2"/>
    <s v="2024-12-16"/>
    <x v="1"/>
    <s v="Check out our latest text on instagram!"/>
    <n v="438"/>
    <n v="153"/>
    <n v="275"/>
    <n v="3066"/>
    <n v="2701"/>
    <n v="282"/>
    <x v="1"/>
    <s v="#TeslaCoInnovation"/>
    <m/>
    <m/>
    <n v="0.28245270711024134"/>
    <n v="866"/>
  </r>
  <r>
    <s v="P032"/>
    <x v="0"/>
    <s v="2024-07-31"/>
    <x v="3"/>
    <s v="Check out our latest carousel on twitter!"/>
    <n v="2278"/>
    <n v="10"/>
    <n v="321"/>
    <n v="13668"/>
    <n v="12676"/>
    <n v="275"/>
    <x v="0"/>
    <s v="#EVRevolution"/>
    <m/>
    <m/>
    <n v="0.19088381621305239"/>
    <n v="2609"/>
  </r>
  <r>
    <s v="P033"/>
    <x v="3"/>
    <s v="2024-08-21"/>
    <x v="4"/>
    <s v="Check out our latest image on facebook!"/>
    <n v="1407"/>
    <n v="400"/>
    <n v="351"/>
    <n v="16884"/>
    <n v="15954"/>
    <n v="113"/>
    <x v="0"/>
    <s v="#TeslaCoInnovation"/>
    <m/>
    <m/>
    <n v="0.12781331438047855"/>
    <n v="2158"/>
  </r>
  <r>
    <s v="P034"/>
    <x v="3"/>
    <s v="2025-03-26"/>
    <x v="1"/>
    <s v="Check out our latest text on facebook!"/>
    <n v="1652"/>
    <n v="89"/>
    <n v="357"/>
    <n v="29736"/>
    <n v="28771"/>
    <n v="215"/>
    <x v="2"/>
    <s v="#TeslaCoInnovation"/>
    <m/>
    <m/>
    <n v="7.055421038471886E-2"/>
    <n v="2098"/>
  </r>
  <r>
    <s v="P035"/>
    <x v="2"/>
    <s v="2024-11-30"/>
    <x v="5"/>
    <s v="Check out our latest video on instagram!"/>
    <n v="3775"/>
    <n v="16"/>
    <n v="239"/>
    <n v="33975"/>
    <n v="33310"/>
    <n v="271"/>
    <x v="1"/>
    <s v="#FutureOfDriving"/>
    <m/>
    <m/>
    <n v="0.11861662987490802"/>
    <n v="4030"/>
  </r>
  <r>
    <s v="P036"/>
    <x v="2"/>
    <s v="2025-04-19"/>
    <x v="2"/>
    <s v="Check out our latest story on instagram!"/>
    <n v="4518"/>
    <n v="285"/>
    <n v="383"/>
    <n v="67770"/>
    <n v="67621"/>
    <n v="31"/>
    <x v="1"/>
    <s v="#EVRevolution"/>
    <m/>
    <m/>
    <n v="7.6523535487678915E-2"/>
    <n v="5186"/>
  </r>
  <r>
    <s v="P037"/>
    <x v="3"/>
    <s v="2025-01-06"/>
    <x v="3"/>
    <s v="Check out our latest carousel on facebook!"/>
    <n v="3024"/>
    <n v="925"/>
    <n v="350"/>
    <n v="24192"/>
    <n v="23518"/>
    <n v="36"/>
    <x v="1"/>
    <s v="#EVRevolution"/>
    <m/>
    <m/>
    <n v="0.17770337301587302"/>
    <n v="4299"/>
  </r>
  <r>
    <s v="P038"/>
    <x v="1"/>
    <s v="2025-02-17"/>
    <x v="0"/>
    <s v="Check out our latest reel on youtube!"/>
    <n v="3138"/>
    <n v="123"/>
    <n v="291"/>
    <n v="28242"/>
    <n v="27550"/>
    <n v="87"/>
    <x v="3"/>
    <s v="#TeslaCoInnovation"/>
    <m/>
    <m/>
    <n v="0.12577012959422137"/>
    <n v="3552"/>
  </r>
  <r>
    <s v="P039"/>
    <x v="3"/>
    <s v="2024-11-25"/>
    <x v="4"/>
    <s v="Check out our latest image on facebook!"/>
    <n v="3564"/>
    <n v="629"/>
    <n v="177"/>
    <n v="60588"/>
    <n v="59627"/>
    <n v="92"/>
    <x v="4"/>
    <s v="#TeslaCoInnovation"/>
    <m/>
    <m/>
    <n v="7.2126493695121141E-2"/>
    <n v="4370"/>
  </r>
  <r>
    <s v="P040"/>
    <x v="0"/>
    <s v="2025-03-07"/>
    <x v="4"/>
    <s v="Check out our latest image on twitter!"/>
    <n v="4750"/>
    <n v="151"/>
    <n v="415"/>
    <n v="38000"/>
    <n v="37792"/>
    <n v="299"/>
    <x v="3"/>
    <s v="#EVRevolution"/>
    <m/>
    <m/>
    <n v="0.13989473684210527"/>
    <n v="5316"/>
  </r>
  <r>
    <s v="P041"/>
    <x v="2"/>
    <s v="2025-03-08"/>
    <x v="0"/>
    <s v="Check out our latest reel on instagram!"/>
    <n v="456"/>
    <n v="629"/>
    <n v="428"/>
    <n v="8208"/>
    <n v="7377"/>
    <n v="205"/>
    <x v="3"/>
    <s v="#FutureOfDriving"/>
    <m/>
    <m/>
    <n v="0.18433235867446393"/>
    <n v="1513"/>
  </r>
  <r>
    <s v="P042"/>
    <x v="1"/>
    <s v="2025-03-05"/>
    <x v="0"/>
    <s v="Check out our latest reel on youtube!"/>
    <n v="1543"/>
    <n v="820"/>
    <n v="333"/>
    <n v="12344"/>
    <n v="11496"/>
    <n v="241"/>
    <x v="4"/>
    <s v="#EVRevolution"/>
    <m/>
    <m/>
    <n v="0.21840570317563188"/>
    <n v="2696"/>
  </r>
  <r>
    <s v="P043"/>
    <x v="2"/>
    <s v="2024-12-14"/>
    <x v="3"/>
    <s v="Check out our latest carousel on instagram!"/>
    <n v="2174"/>
    <n v="658"/>
    <n v="15"/>
    <n v="13044"/>
    <n v="12206"/>
    <n v="137"/>
    <x v="2"/>
    <s v="#TeslaCoInnovation"/>
    <m/>
    <m/>
    <n v="0.21826126954921804"/>
    <n v="2847"/>
  </r>
  <r>
    <s v="P044"/>
    <x v="0"/>
    <s v="2025-03-02"/>
    <x v="4"/>
    <s v="Check out our latest image on twitter!"/>
    <n v="2358"/>
    <n v="784"/>
    <n v="344"/>
    <n v="35370"/>
    <n v="34475"/>
    <n v="216"/>
    <x v="4"/>
    <s v="#TeslaCoInnovation"/>
    <m/>
    <m/>
    <n v="9.8558100084817649E-2"/>
    <n v="3486"/>
  </r>
  <r>
    <s v="P045"/>
    <x v="3"/>
    <s v="2024-11-01"/>
    <x v="5"/>
    <s v="Check out our latest video on facebook!"/>
    <n v="3371"/>
    <n v="106"/>
    <n v="327"/>
    <n v="50565"/>
    <n v="49816"/>
    <n v="176"/>
    <x v="0"/>
    <s v="#FutureOfDriving"/>
    <m/>
    <m/>
    <n v="7.5229902106199939E-2"/>
    <n v="3804"/>
  </r>
  <r>
    <s v="P046"/>
    <x v="0"/>
    <s v="2025-05-02"/>
    <x v="5"/>
    <s v="Check out our latest video on twitter!"/>
    <n v="1108"/>
    <n v="177"/>
    <n v="212"/>
    <n v="8864"/>
    <n v="8710"/>
    <n v="97"/>
    <x v="3"/>
    <s v="#TeslaCoInnovation"/>
    <m/>
    <m/>
    <n v="0.16888537906137185"/>
    <n v="1497"/>
  </r>
  <r>
    <s v="P047"/>
    <x v="0"/>
    <s v="2025-02-24"/>
    <x v="3"/>
    <s v="Check out our latest carousel on twitter!"/>
    <n v="2704"/>
    <n v="752"/>
    <n v="153"/>
    <n v="21632"/>
    <n v="20792"/>
    <n v="127"/>
    <x v="4"/>
    <s v="#FutureOfDriving"/>
    <m/>
    <m/>
    <n v="0.16683616863905326"/>
    <n v="3609"/>
  </r>
  <r>
    <s v="P048"/>
    <x v="0"/>
    <s v="2025-03-11"/>
    <x v="2"/>
    <s v="Check out our latest story on twitter!"/>
    <n v="1950"/>
    <n v="295"/>
    <n v="478"/>
    <n v="37050"/>
    <n v="36272"/>
    <n v="119"/>
    <x v="4"/>
    <s v="#TeslaCoInnovation"/>
    <m/>
    <m/>
    <n v="7.349527665317139E-2"/>
    <n v="2723"/>
  </r>
  <r>
    <s v="P049"/>
    <x v="0"/>
    <s v="2024-06-10"/>
    <x v="2"/>
    <s v="Check out our latest story on twitter!"/>
    <n v="2164"/>
    <n v="549"/>
    <n v="274"/>
    <n v="28132"/>
    <n v="27361"/>
    <n v="177"/>
    <x v="3"/>
    <s v="#TeslaCoInnovation"/>
    <m/>
    <m/>
    <n v="0.10617801791554102"/>
    <n v="2987"/>
  </r>
  <r>
    <s v="P050"/>
    <x v="1"/>
    <s v="2024-07-03"/>
    <x v="2"/>
    <s v="Check out our latest story on youtube!"/>
    <n v="2754"/>
    <n v="130"/>
    <n v="90"/>
    <n v="22032"/>
    <n v="21288"/>
    <n v="112"/>
    <x v="2"/>
    <s v="#TeslaCoInnovation"/>
    <m/>
    <m/>
    <n v="0.13498547567175018"/>
    <n v="2974"/>
  </r>
  <r>
    <s v="P051"/>
    <x v="3"/>
    <s v="2024-06-13"/>
    <x v="3"/>
    <s v="Check out our latest carousel on facebook!"/>
    <n v="2200"/>
    <n v="504"/>
    <n v="239"/>
    <n v="37400"/>
    <n v="36938"/>
    <n v="225"/>
    <x v="1"/>
    <s v="#FutureOfDriving"/>
    <m/>
    <m/>
    <n v="7.8689839572192513E-2"/>
    <n v="2943"/>
  </r>
  <r>
    <s v="P052"/>
    <x v="3"/>
    <s v="2025-01-03"/>
    <x v="4"/>
    <s v="Check out our latest image on facebook!"/>
    <n v="947"/>
    <n v="338"/>
    <n v="350"/>
    <n v="10417"/>
    <n v="9730"/>
    <n v="34"/>
    <x v="3"/>
    <s v="#TeslaCoInnovation"/>
    <m/>
    <m/>
    <n v="0.1569549774407219"/>
    <n v="1635"/>
  </r>
  <r>
    <s v="P053"/>
    <x v="1"/>
    <s v="2025-02-24"/>
    <x v="3"/>
    <s v="Check out our latest carousel on youtube!"/>
    <n v="804"/>
    <n v="639"/>
    <n v="43"/>
    <n v="4020"/>
    <n v="3144"/>
    <n v="11"/>
    <x v="4"/>
    <s v="#EVRevolution"/>
    <s v="#BetterWithTesla"/>
    <m/>
    <n v="0.36965174129353234"/>
    <n v="1486"/>
  </r>
  <r>
    <s v="P054"/>
    <x v="1"/>
    <s v="2025-03-13"/>
    <x v="3"/>
    <s v="Check out our latest carousel on youtube!"/>
    <n v="1686"/>
    <n v="904"/>
    <n v="472"/>
    <n v="18546"/>
    <n v="18171"/>
    <n v="52"/>
    <x v="1"/>
    <s v="#FutureOfDriving"/>
    <m/>
    <m/>
    <n v="0.16510298716704411"/>
    <n v="3062"/>
  </r>
  <r>
    <s v="P055"/>
    <x v="3"/>
    <s v="2024-06-17"/>
    <x v="4"/>
    <s v="Check out our latest image on facebook!"/>
    <n v="1226"/>
    <n v="119"/>
    <n v="7"/>
    <n v="14712"/>
    <n v="14049"/>
    <n v="123"/>
    <x v="3"/>
    <s v="#EVRevolution"/>
    <m/>
    <m/>
    <n v="9.1897770527460579E-2"/>
    <n v="1352"/>
  </r>
  <r>
    <s v="P056"/>
    <x v="3"/>
    <s v="2024-12-18"/>
    <x v="3"/>
    <s v="Check out our latest carousel on facebook!"/>
    <n v="2946"/>
    <n v="498"/>
    <n v="367"/>
    <n v="29460"/>
    <n v="28527"/>
    <n v="60"/>
    <x v="2"/>
    <s v="#FutureOfDriving"/>
    <m/>
    <m/>
    <n v="0.12936184657162253"/>
    <n v="3811"/>
  </r>
  <r>
    <s v="P057"/>
    <x v="0"/>
    <s v="2024-10-21"/>
    <x v="5"/>
    <s v="Check out our latest video on twitter!"/>
    <n v="2825"/>
    <n v="535"/>
    <n v="295"/>
    <n v="45200"/>
    <n v="44739"/>
    <n v="169"/>
    <x v="0"/>
    <s v="#TeslaCoInnovation"/>
    <m/>
    <m/>
    <n v="8.0862831858407078E-2"/>
    <n v="3655"/>
  </r>
  <r>
    <s v="P058"/>
    <x v="2"/>
    <s v="2025-04-15"/>
    <x v="0"/>
    <s v="Check out our latest reel on instagram!"/>
    <n v="103"/>
    <n v="770"/>
    <n v="19"/>
    <n v="1030"/>
    <n v="410"/>
    <n v="262"/>
    <x v="3"/>
    <s v="#TeslaCoInnovation"/>
    <m/>
    <m/>
    <n v="0.86601941747572819"/>
    <n v="892"/>
  </r>
  <r>
    <s v="P059"/>
    <x v="2"/>
    <s v="2024-06-22"/>
    <x v="1"/>
    <s v="Check out our latest text on instagram!"/>
    <n v="2180"/>
    <n v="263"/>
    <n v="387"/>
    <n v="30520"/>
    <n v="30059"/>
    <n v="174"/>
    <x v="4"/>
    <s v="#EVRevolution"/>
    <m/>
    <m/>
    <n v="9.2726081258191345E-2"/>
    <n v="2830"/>
  </r>
  <r>
    <s v="P060"/>
    <x v="2"/>
    <s v="2025-01-28"/>
    <x v="5"/>
    <s v="Check out our latest video on instagram!"/>
    <n v="904"/>
    <n v="973"/>
    <n v="63"/>
    <n v="11752"/>
    <n v="11580"/>
    <n v="84"/>
    <x v="2"/>
    <s v="#EVRevolution"/>
    <s v="#TeslaCoInnovation"/>
    <s v="#AnytimeIsTeslaTime"/>
    <n v="0.1650782845473111"/>
    <n v="1940"/>
  </r>
  <r>
    <s v="P061"/>
    <x v="0"/>
    <s v="2024-09-05"/>
    <x v="5"/>
    <s v="Check out our latest video on twitter!"/>
    <n v="4886"/>
    <n v="983"/>
    <n v="409"/>
    <n v="43974"/>
    <n v="43239"/>
    <n v="65"/>
    <x v="0"/>
    <s v="#TeslaCoInnovation"/>
    <m/>
    <m/>
    <n v="0.14276618001546368"/>
    <n v="6278"/>
  </r>
  <r>
    <s v="P062"/>
    <x v="0"/>
    <s v="2024-11-22"/>
    <x v="3"/>
    <s v="Check out our latest carousel on twitter!"/>
    <n v="53"/>
    <n v="81"/>
    <n v="379"/>
    <n v="954"/>
    <n v="7"/>
    <n v="148"/>
    <x v="2"/>
    <s v="#TeslaCoInnovation"/>
    <m/>
    <m/>
    <n v="0.53773584905660377"/>
    <n v="513"/>
  </r>
  <r>
    <s v="P063"/>
    <x v="0"/>
    <s v="2024-07-31"/>
    <x v="3"/>
    <s v="Check out our latest carousel on twitter!"/>
    <n v="4507"/>
    <n v="217"/>
    <n v="13"/>
    <n v="90140"/>
    <n v="89591"/>
    <n v="125"/>
    <x v="2"/>
    <s v="#FutureOfDriving"/>
    <m/>
    <m/>
    <n v="5.2551586421122697E-2"/>
    <n v="4737"/>
  </r>
  <r>
    <s v="P064"/>
    <x v="3"/>
    <s v="2024-08-17"/>
    <x v="4"/>
    <s v="Check out our latest image on facebook!"/>
    <n v="2878"/>
    <n v="248"/>
    <n v="416"/>
    <n v="43170"/>
    <n v="42667"/>
    <n v="75"/>
    <x v="2"/>
    <s v="#FutureOfDriving"/>
    <m/>
    <m/>
    <n v="8.2047718322909427E-2"/>
    <n v="3542"/>
  </r>
  <r>
    <s v="P065"/>
    <x v="2"/>
    <s v="2025-03-28"/>
    <x v="2"/>
    <s v="Check out our latest story on instagram!"/>
    <n v="1881"/>
    <n v="501"/>
    <n v="99"/>
    <n v="20691"/>
    <n v="19987"/>
    <n v="289"/>
    <x v="4"/>
    <s v="#EVRevolution"/>
    <m/>
    <m/>
    <n v="0.11990720603160794"/>
    <n v="2481"/>
  </r>
  <r>
    <s v="P066"/>
    <x v="0"/>
    <s v="2024-07-26"/>
    <x v="3"/>
    <s v="Check out our latest carousel on twitter!"/>
    <n v="432"/>
    <n v="171"/>
    <n v="280"/>
    <n v="3024"/>
    <n v="2285"/>
    <n v="184"/>
    <x v="0"/>
    <s v="#EVRevolution"/>
    <m/>
    <m/>
    <n v="0.29199735449735448"/>
    <n v="883"/>
  </r>
  <r>
    <s v="P067"/>
    <x v="3"/>
    <s v="2025-03-29"/>
    <x v="3"/>
    <s v="Check out our latest carousel on facebook!"/>
    <n v="4712"/>
    <n v="568"/>
    <n v="127"/>
    <n v="84816"/>
    <n v="84691"/>
    <n v="100"/>
    <x v="2"/>
    <s v="#EVRevolution"/>
    <m/>
    <m/>
    <n v="6.3749764195434822E-2"/>
    <n v="5407"/>
  </r>
  <r>
    <s v="P068"/>
    <x v="2"/>
    <s v="2024-12-08"/>
    <x v="2"/>
    <s v="Check out our latest story on instagram!"/>
    <n v="2610"/>
    <n v="126"/>
    <n v="288"/>
    <n v="15660"/>
    <n v="15145"/>
    <n v="73"/>
    <x v="4"/>
    <s v="#EVRevolution"/>
    <m/>
    <m/>
    <n v="0.19310344827586207"/>
    <n v="3024"/>
  </r>
  <r>
    <s v="P069"/>
    <x v="0"/>
    <s v="2025-03-08"/>
    <x v="1"/>
    <s v="Check out our latest text on twitter!"/>
    <n v="1292"/>
    <n v="626"/>
    <n v="496"/>
    <n v="25840"/>
    <n v="24916"/>
    <n v="149"/>
    <x v="2"/>
    <s v="#FutureOfDriving"/>
    <m/>
    <m/>
    <n v="9.3421052631578946E-2"/>
    <n v="2414"/>
  </r>
  <r>
    <s v="P070"/>
    <x v="3"/>
    <s v="2025-04-02"/>
    <x v="5"/>
    <s v="Check out our latest video on facebook!"/>
    <n v="199"/>
    <n v="772"/>
    <n v="400"/>
    <n v="3582"/>
    <n v="2988"/>
    <n v="43"/>
    <x v="4"/>
    <s v="#TeslaCoInnovation"/>
    <m/>
    <m/>
    <n v="0.38274706867671693"/>
    <n v="1371"/>
  </r>
  <r>
    <s v="P071"/>
    <x v="1"/>
    <s v="2024-09-02"/>
    <x v="3"/>
    <s v="Check out our latest carousel on youtube!"/>
    <n v="2551"/>
    <n v="915"/>
    <n v="205"/>
    <n v="30612"/>
    <n v="30360"/>
    <n v="227"/>
    <x v="1"/>
    <s v="#TeslaCoInnovation"/>
    <m/>
    <m/>
    <n v="0.1199202926956749"/>
    <n v="3671"/>
  </r>
  <r>
    <s v="P072"/>
    <x v="1"/>
    <s v="2025-03-03"/>
    <x v="0"/>
    <s v="Check out our latest reel on youtube!"/>
    <n v="296"/>
    <n v="60"/>
    <n v="141"/>
    <n v="5624"/>
    <n v="5239"/>
    <n v="88"/>
    <x v="1"/>
    <s v="#EVRevolution"/>
    <m/>
    <m/>
    <n v="8.837126600284495E-2"/>
    <n v="497"/>
  </r>
  <r>
    <s v="P073"/>
    <x v="3"/>
    <s v="2024-10-18"/>
    <x v="2"/>
    <s v="Check out our latest story on facebook!"/>
    <n v="4126"/>
    <n v="426"/>
    <n v="486"/>
    <n v="78394"/>
    <n v="77798"/>
    <n v="88"/>
    <x v="3"/>
    <s v="#FutureOfDriving"/>
    <m/>
    <m/>
    <n v="6.4265122330790625E-2"/>
    <n v="5038"/>
  </r>
  <r>
    <s v="P074"/>
    <x v="1"/>
    <s v="2024-10-28"/>
    <x v="0"/>
    <s v="Check out our latest reel on youtube!"/>
    <n v="1855"/>
    <n v="200"/>
    <n v="174"/>
    <n v="16695"/>
    <n v="16330"/>
    <n v="123"/>
    <x v="2"/>
    <s v="#TeslaCoInnovation"/>
    <m/>
    <m/>
    <n v="0.13351302785265048"/>
    <n v="2229"/>
  </r>
  <r>
    <s v="P075"/>
    <x v="2"/>
    <s v="2024-08-01"/>
    <x v="0"/>
    <s v="Check out our latest reel on instagram!"/>
    <n v="1674"/>
    <n v="929"/>
    <n v="37"/>
    <n v="21762"/>
    <n v="20998"/>
    <n v="255"/>
    <x v="3"/>
    <s v="#TeslaCoInnovation"/>
    <m/>
    <m/>
    <n v="0.12131237937689551"/>
    <n v="2640"/>
  </r>
  <r>
    <s v="P076"/>
    <x v="0"/>
    <s v="2024-11-07"/>
    <x v="2"/>
    <s v="Check out our latest story on twitter!"/>
    <n v="1121"/>
    <n v="135"/>
    <n v="18"/>
    <n v="15694"/>
    <n v="14957"/>
    <n v="99"/>
    <x v="3"/>
    <s v="#TeslaCoInnovation"/>
    <m/>
    <m/>
    <n v="8.1177520071364848E-2"/>
    <n v="1274"/>
  </r>
  <r>
    <s v="P077"/>
    <x v="3"/>
    <s v="2025-03-04"/>
    <x v="2"/>
    <s v="Check out our latest story on facebook!"/>
    <n v="1249"/>
    <n v="116"/>
    <n v="420"/>
    <n v="8743"/>
    <n v="8538"/>
    <n v="63"/>
    <x v="4"/>
    <s v="#TeslaCoInnovation"/>
    <m/>
    <m/>
    <n v="0.20416333066453163"/>
    <n v="1785"/>
  </r>
  <r>
    <s v="P078"/>
    <x v="0"/>
    <s v="2024-06-17"/>
    <x v="4"/>
    <s v="Check out our latest image on twitter!"/>
    <n v="954"/>
    <n v="324"/>
    <n v="288"/>
    <n v="19080"/>
    <n v="18859"/>
    <n v="21"/>
    <x v="3"/>
    <s v="#FutureOfDriving"/>
    <m/>
    <m/>
    <n v="8.2075471698113203E-2"/>
    <n v="1566"/>
  </r>
  <r>
    <s v="P079"/>
    <x v="2"/>
    <s v="2024-10-09"/>
    <x v="3"/>
    <s v="Check out our latest carousel on instagram!"/>
    <n v="3068"/>
    <n v="137"/>
    <n v="329"/>
    <n v="39884"/>
    <n v="39404"/>
    <n v="266"/>
    <x v="1"/>
    <s v="#EVRevolution"/>
    <m/>
    <m/>
    <n v="8.860696018453515E-2"/>
    <n v="3534"/>
  </r>
  <r>
    <s v="P080"/>
    <x v="2"/>
    <s v="2024-06-13"/>
    <x v="2"/>
    <s v="Check out our latest story on instagram!"/>
    <n v="2103"/>
    <n v="892"/>
    <n v="103"/>
    <n v="39957"/>
    <n v="39466"/>
    <n v="28"/>
    <x v="4"/>
    <s v="#FutureOfDriving"/>
    <m/>
    <m/>
    <n v="7.7533348349475686E-2"/>
    <n v="3098"/>
  </r>
  <r>
    <s v="P081"/>
    <x v="2"/>
    <s v="2024-10-19"/>
    <x v="2"/>
    <s v="Check out our latest story on instagram!"/>
    <n v="1816"/>
    <n v="29"/>
    <n v="41"/>
    <n v="19976"/>
    <n v="19262"/>
    <n v="283"/>
    <x v="2"/>
    <s v="#TeslaCoInnovation"/>
    <m/>
    <m/>
    <n v="9.4413295955146179E-2"/>
    <n v="1886"/>
  </r>
  <r>
    <s v="P082"/>
    <x v="2"/>
    <s v="2024-07-24"/>
    <x v="4"/>
    <s v="Check out our latest image on instagram!"/>
    <n v="725"/>
    <n v="88"/>
    <n v="428"/>
    <n v="14500"/>
    <n v="13637"/>
    <n v="200"/>
    <x v="2"/>
    <s v="#FutureOfDriving"/>
    <s v="#TeslaCoInnovation"/>
    <s v="#AnytimeIsTeslaTime"/>
    <n v="8.558620689655172E-2"/>
    <n v="1241"/>
  </r>
  <r>
    <s v="P083"/>
    <x v="1"/>
    <s v="2024-10-15"/>
    <x v="5"/>
    <s v="Check out our latest video on youtube!"/>
    <n v="1094"/>
    <n v="472"/>
    <n v="21"/>
    <n v="9846"/>
    <n v="9609"/>
    <n v="112"/>
    <x v="4"/>
    <s v="#EVRevolution"/>
    <m/>
    <m/>
    <n v="0.16118220597196831"/>
    <n v="1587"/>
  </r>
  <r>
    <s v="P084"/>
    <x v="3"/>
    <s v="2024-12-09"/>
    <x v="4"/>
    <s v="Check out our latest image on facebook!"/>
    <n v="1841"/>
    <n v="851"/>
    <n v="342"/>
    <n v="34979"/>
    <n v="34154"/>
    <n v="255"/>
    <x v="3"/>
    <s v="#FutureOfDriving"/>
    <m/>
    <m/>
    <n v="8.6737756939878216E-2"/>
    <n v="3034"/>
  </r>
  <r>
    <s v="P085"/>
    <x v="2"/>
    <s v="2025-04-19"/>
    <x v="4"/>
    <s v="Check out our latest image on instagram!"/>
    <n v="4177"/>
    <n v="569"/>
    <n v="55"/>
    <n v="25062"/>
    <n v="24847"/>
    <n v="230"/>
    <x v="0"/>
    <s v="#FutureOfDriving"/>
    <m/>
    <m/>
    <n v="0.19156491900087783"/>
    <n v="4801"/>
  </r>
  <r>
    <s v="P086"/>
    <x v="1"/>
    <s v="2025-01-27"/>
    <x v="1"/>
    <s v="Check out our latest text on youtube!"/>
    <n v="3428"/>
    <n v="305"/>
    <n v="85"/>
    <n v="58276"/>
    <n v="58052"/>
    <n v="242"/>
    <x v="3"/>
    <s v="#EVRevolution"/>
    <s v="#BetterWithTesla"/>
    <m/>
    <n v="6.5515821264328367E-2"/>
    <n v="3818"/>
  </r>
  <r>
    <s v="P087"/>
    <x v="0"/>
    <s v="2024-06-06"/>
    <x v="5"/>
    <s v="Check out our latest video on twitter!"/>
    <n v="1436"/>
    <n v="765"/>
    <n v="496"/>
    <n v="12924"/>
    <n v="12701"/>
    <n v="197"/>
    <x v="2"/>
    <s v="#FutureOfDriving"/>
    <m/>
    <m/>
    <n v="0.20868152274837512"/>
    <n v="2697"/>
  </r>
  <r>
    <s v="P088"/>
    <x v="3"/>
    <s v="2024-07-07"/>
    <x v="2"/>
    <s v="Check out our latest story on facebook!"/>
    <n v="302"/>
    <n v="47"/>
    <n v="430"/>
    <n v="5738"/>
    <n v="4890"/>
    <n v="25"/>
    <x v="3"/>
    <s v="#TeslaCoInnovation"/>
    <m/>
    <m/>
    <n v="0.13576158940397351"/>
    <n v="779"/>
  </r>
  <r>
    <s v="P089"/>
    <x v="0"/>
    <s v="2025-01-10"/>
    <x v="4"/>
    <s v="Check out our latest image on twitter!"/>
    <n v="2214"/>
    <n v="249"/>
    <n v="152"/>
    <n v="15498"/>
    <n v="14800"/>
    <n v="180"/>
    <x v="4"/>
    <s v="#EVRevolution"/>
    <m/>
    <m/>
    <n v="0.16873144921925409"/>
    <n v="2615"/>
  </r>
  <r>
    <s v="P090"/>
    <x v="2"/>
    <s v="2024-06-03"/>
    <x v="4"/>
    <s v="Check out our latest image on instagram!"/>
    <n v="3861"/>
    <n v="960"/>
    <n v="101"/>
    <n v="69498"/>
    <n v="68817"/>
    <n v="297"/>
    <x v="3"/>
    <s v="#TeslaCoInnovation"/>
    <m/>
    <m/>
    <n v="7.0822181933293038E-2"/>
    <n v="4922"/>
  </r>
  <r>
    <s v="P091"/>
    <x v="3"/>
    <s v="2025-03-24"/>
    <x v="4"/>
    <s v="Check out our latest image on facebook!"/>
    <n v="1263"/>
    <n v="397"/>
    <n v="357"/>
    <n v="25260"/>
    <n v="24615"/>
    <n v="137"/>
    <x v="3"/>
    <s v="#EVRevolution"/>
    <m/>
    <m/>
    <n v="7.984956452889945E-2"/>
    <n v="2017"/>
  </r>
  <r>
    <s v="P092"/>
    <x v="0"/>
    <s v="2024-10-21"/>
    <x v="2"/>
    <s v="Check out our latest story on twitter!"/>
    <n v="3801"/>
    <n v="967"/>
    <n v="401"/>
    <n v="38010"/>
    <n v="37625"/>
    <n v="236"/>
    <x v="2"/>
    <s v="#FutureOfDriving"/>
    <m/>
    <m/>
    <n v="0.13599052880820836"/>
    <n v="5169"/>
  </r>
  <r>
    <s v="P093"/>
    <x v="2"/>
    <s v="2024-12-11"/>
    <x v="5"/>
    <s v="Check out our latest video on instagram!"/>
    <n v="1431"/>
    <n v="951"/>
    <n v="26"/>
    <n v="8586"/>
    <n v="8396"/>
    <n v="150"/>
    <x v="2"/>
    <s v="#EVRevolution"/>
    <m/>
    <m/>
    <n v="0.28045655718611695"/>
    <n v="2408"/>
  </r>
  <r>
    <s v="P094"/>
    <x v="2"/>
    <s v="2024-11-07"/>
    <x v="4"/>
    <s v="Check out our latest image on instagram!"/>
    <n v="2647"/>
    <n v="304"/>
    <n v="170"/>
    <n v="18529"/>
    <n v="17841"/>
    <n v="46"/>
    <x v="2"/>
    <s v="#FutureOfDriving"/>
    <m/>
    <m/>
    <n v="0.16843866371633656"/>
    <n v="3121"/>
  </r>
  <r>
    <s v="P095"/>
    <x v="2"/>
    <s v="2024-11-08"/>
    <x v="1"/>
    <s v="Check out our latest text on instagram!"/>
    <n v="3182"/>
    <n v="559"/>
    <n v="160"/>
    <n v="57276"/>
    <n v="56890"/>
    <n v="163"/>
    <x v="3"/>
    <s v="#FutureOfDriving"/>
    <m/>
    <m/>
    <n v="6.8108806480899509E-2"/>
    <n v="3901"/>
  </r>
  <r>
    <s v="P096"/>
    <x v="0"/>
    <s v="2024-09-10"/>
    <x v="4"/>
    <s v="Check out our latest image on twitter!"/>
    <n v="1238"/>
    <n v="366"/>
    <n v="444"/>
    <n v="19808"/>
    <n v="19334"/>
    <n v="123"/>
    <x v="4"/>
    <s v="#FutureOfDriving"/>
    <m/>
    <m/>
    <n v="0.10339256865912763"/>
    <n v="2048"/>
  </r>
  <r>
    <s v="P097"/>
    <x v="2"/>
    <s v="2024-08-13"/>
    <x v="4"/>
    <s v="Check out our latest image on instagram!"/>
    <n v="4739"/>
    <n v="527"/>
    <n v="135"/>
    <n v="61607"/>
    <n v="61333"/>
    <n v="36"/>
    <x v="1"/>
    <s v="#TeslaCoInnovation"/>
    <s v="#AnytimeIsTeslaTime"/>
    <m/>
    <n v="8.7668609086629767E-2"/>
    <n v="5401"/>
  </r>
  <r>
    <s v="P098"/>
    <x v="0"/>
    <s v="2024-06-10"/>
    <x v="2"/>
    <s v="Check out our latest story on twitter!"/>
    <n v="1575"/>
    <n v="771"/>
    <n v="486"/>
    <n v="25200"/>
    <n v="24826"/>
    <n v="17"/>
    <x v="3"/>
    <s v="#FutureOfDriving"/>
    <m/>
    <m/>
    <n v="0.11238095238095239"/>
    <n v="2832"/>
  </r>
  <r>
    <s v="P099"/>
    <x v="1"/>
    <s v="2024-07-02"/>
    <x v="3"/>
    <s v="Check out our latest carousel on youtube!"/>
    <n v="4171"/>
    <n v="548"/>
    <n v="86"/>
    <n v="66736"/>
    <n v="66634"/>
    <n v="173"/>
    <x v="2"/>
    <s v="#FutureOfDriving"/>
    <m/>
    <m/>
    <n v="7.2000119875329657E-2"/>
    <n v="4805"/>
  </r>
  <r>
    <s v="P100"/>
    <x v="1"/>
    <s v="2025-02-10"/>
    <x v="5"/>
    <s v="Check out our latest video on youtube!"/>
    <n v="1766"/>
    <n v="92"/>
    <n v="424"/>
    <n v="24724"/>
    <n v="24333"/>
    <n v="52"/>
    <x v="4"/>
    <s v="#EVRevolution"/>
    <m/>
    <m/>
    <n v="9.2298980747451867E-2"/>
    <n v="2282"/>
  </r>
  <r>
    <s v="P101"/>
    <x v="1"/>
    <s v="2024-10-18"/>
    <x v="5"/>
    <s v="Check out our latest video on youtube!"/>
    <n v="4450"/>
    <n v="983"/>
    <n v="143"/>
    <n v="75650"/>
    <n v="75008"/>
    <n v="12"/>
    <x v="2"/>
    <s v="#FutureOfDriving"/>
    <m/>
    <m/>
    <n v="7.3707865168539333E-2"/>
    <n v="5576"/>
  </r>
  <r>
    <s v="P102"/>
    <x v="0"/>
    <s v="2024-09-18"/>
    <x v="0"/>
    <s v="Check out our latest reel on twitter!"/>
    <n v="1000"/>
    <n v="978"/>
    <n v="162"/>
    <n v="6000"/>
    <n v="5221"/>
    <n v="223"/>
    <x v="1"/>
    <s v="#EVRevolution"/>
    <m/>
    <m/>
    <n v="0.35666666666666669"/>
    <n v="2140"/>
  </r>
  <r>
    <s v="P103"/>
    <x v="3"/>
    <s v="2024-06-11"/>
    <x v="4"/>
    <s v="Check out our latest image on facebook!"/>
    <n v="3689"/>
    <n v="48"/>
    <n v="306"/>
    <n v="40579"/>
    <n v="39588"/>
    <n v="212"/>
    <x v="1"/>
    <s v="#EVRevolution"/>
    <m/>
    <m/>
    <n v="9.9632815002833983E-2"/>
    <n v="4043"/>
  </r>
  <r>
    <s v="P104"/>
    <x v="1"/>
    <s v="2025-03-23"/>
    <x v="2"/>
    <s v="Check out our latest story on youtube!"/>
    <n v="3655"/>
    <n v="568"/>
    <n v="286"/>
    <n v="32895"/>
    <n v="32015"/>
    <n v="199"/>
    <x v="2"/>
    <s v="#TeslaCoInnovation"/>
    <m/>
    <m/>
    <n v="0.13707250341997265"/>
    <n v="4509"/>
  </r>
  <r>
    <s v="P105"/>
    <x v="2"/>
    <s v="2024-06-14"/>
    <x v="3"/>
    <s v="Check out our latest carousel on instagram!"/>
    <n v="498"/>
    <n v="38"/>
    <n v="42"/>
    <n v="4482"/>
    <n v="3647"/>
    <n v="32"/>
    <x v="0"/>
    <s v="#FutureOfDriving"/>
    <m/>
    <m/>
    <n v="0.12896028558679162"/>
    <n v="578"/>
  </r>
  <r>
    <s v="P106"/>
    <x v="2"/>
    <s v="2025-02-04"/>
    <x v="4"/>
    <s v="Check out our latest image on instagram!"/>
    <n v="4619"/>
    <n v="821"/>
    <n v="499"/>
    <n v="69285"/>
    <n v="69141"/>
    <n v="298"/>
    <x v="3"/>
    <s v="#TeslaCoInnovation"/>
    <m/>
    <m/>
    <n v="8.5718409468138843E-2"/>
    <n v="5939"/>
  </r>
  <r>
    <s v="P107"/>
    <x v="1"/>
    <s v="2024-06-21"/>
    <x v="4"/>
    <s v="Check out our latest image on youtube!"/>
    <n v="4832"/>
    <n v="893"/>
    <n v="10"/>
    <n v="91808"/>
    <n v="91296"/>
    <n v="182"/>
    <x v="4"/>
    <s v="#TeslaCoInnovation"/>
    <m/>
    <m/>
    <n v="6.2467323109097243E-2"/>
    <n v="5735"/>
  </r>
  <r>
    <s v="P108"/>
    <x v="0"/>
    <s v="2025-03-25"/>
    <x v="5"/>
    <s v="Check out our latest video on twitter!"/>
    <n v="4050"/>
    <n v="871"/>
    <n v="347"/>
    <n v="52650"/>
    <n v="51755"/>
    <n v="209"/>
    <x v="1"/>
    <s v="#TeslaCoInnovation"/>
    <m/>
    <m/>
    <n v="0.10005698005698006"/>
    <n v="5268"/>
  </r>
  <r>
    <s v="P109"/>
    <x v="0"/>
    <s v="2024-08-08"/>
    <x v="2"/>
    <s v="Check out our latest story on twitter!"/>
    <n v="3649"/>
    <n v="215"/>
    <n v="413"/>
    <n v="25543"/>
    <n v="24963"/>
    <n v="167"/>
    <x v="2"/>
    <s v="#FutureOfDriving"/>
    <m/>
    <m/>
    <n v="0.16744313510550835"/>
    <n v="4277"/>
  </r>
  <r>
    <s v="P110"/>
    <x v="2"/>
    <s v="2024-07-29"/>
    <x v="0"/>
    <s v="Check out our latest reel on instagram!"/>
    <n v="3523"/>
    <n v="753"/>
    <n v="482"/>
    <n v="38753"/>
    <n v="38579"/>
    <n v="270"/>
    <x v="1"/>
    <s v="#EVRevolution"/>
    <m/>
    <m/>
    <n v="0.12277759141227776"/>
    <n v="4758"/>
  </r>
  <r>
    <s v="P111"/>
    <x v="1"/>
    <s v="2024-11-23"/>
    <x v="4"/>
    <s v="Check out our latest image on youtube!"/>
    <n v="2719"/>
    <n v="17"/>
    <n v="285"/>
    <n v="40785"/>
    <n v="40281"/>
    <n v="40"/>
    <x v="1"/>
    <s v="#TeslaCoInnovation"/>
    <m/>
    <m/>
    <n v="7.4071349760941527E-2"/>
    <n v="3021"/>
  </r>
  <r>
    <s v="P112"/>
    <x v="0"/>
    <s v="2024-10-05"/>
    <x v="2"/>
    <s v="Check out our latest story on twitter!"/>
    <n v="1957"/>
    <n v="877"/>
    <n v="238"/>
    <n v="17613"/>
    <n v="16865"/>
    <n v="297"/>
    <x v="2"/>
    <s v="#FutureOfDriving"/>
    <m/>
    <m/>
    <n v="0.17441662408448305"/>
    <n v="3072"/>
  </r>
  <r>
    <s v="P113"/>
    <x v="0"/>
    <s v="2024-10-02"/>
    <x v="3"/>
    <s v="Check out our latest carousel on twitter!"/>
    <n v="4419"/>
    <n v="236"/>
    <n v="369"/>
    <n v="44190"/>
    <n v="43582"/>
    <n v="10"/>
    <x v="0"/>
    <s v="#EVRevolution"/>
    <m/>
    <m/>
    <n v="0.11369088028965829"/>
    <n v="5024"/>
  </r>
  <r>
    <s v="P114"/>
    <x v="0"/>
    <s v="2024-11-14"/>
    <x v="2"/>
    <s v="Check out our latest story on twitter!"/>
    <n v="4000"/>
    <n v="689"/>
    <n v="488"/>
    <n v="40000"/>
    <n v="39569"/>
    <n v="44"/>
    <x v="0"/>
    <s v="#FutureOfDriving"/>
    <m/>
    <m/>
    <n v="0.12942500000000001"/>
    <n v="5177"/>
  </r>
  <r>
    <s v="P115"/>
    <x v="0"/>
    <s v="2025-05-11"/>
    <x v="4"/>
    <s v="Check out our latest image on twitter!"/>
    <n v="2493"/>
    <n v="97"/>
    <n v="44"/>
    <n v="42381"/>
    <n v="41991"/>
    <n v="242"/>
    <x v="3"/>
    <s v="#TeslaCoInnovation"/>
    <s v="#AnytimeIsTeslaTime"/>
    <m/>
    <n v="6.2150491965739366E-2"/>
    <n v="2634"/>
  </r>
  <r>
    <s v="P116"/>
    <x v="1"/>
    <s v="2025-03-18"/>
    <x v="0"/>
    <s v="Check out our latest reel on youtube!"/>
    <n v="3704"/>
    <n v="186"/>
    <n v="458"/>
    <n v="25928"/>
    <n v="25081"/>
    <n v="131"/>
    <x v="4"/>
    <s v="#TeslaCoInnovation"/>
    <m/>
    <m/>
    <n v="0.16769515581610614"/>
    <n v="4348"/>
  </r>
  <r>
    <s v="P117"/>
    <x v="0"/>
    <s v="2024-11-04"/>
    <x v="4"/>
    <s v="Check out our latest image on twitter!"/>
    <n v="1606"/>
    <n v="451"/>
    <n v="405"/>
    <n v="20878"/>
    <n v="20190"/>
    <n v="219"/>
    <x v="3"/>
    <s v="#EVRevolution"/>
    <m/>
    <m/>
    <n v="0.11792317271769326"/>
    <n v="2462"/>
  </r>
  <r>
    <s v="P118"/>
    <x v="3"/>
    <s v="2024-11-04"/>
    <x v="4"/>
    <s v="Check out our latest image on facebook!"/>
    <n v="4551"/>
    <n v="714"/>
    <n v="207"/>
    <n v="68265"/>
    <n v="67754"/>
    <n v="57"/>
    <x v="2"/>
    <s v="#FutureOfDriving"/>
    <m/>
    <m/>
    <n v="8.0158206987475278E-2"/>
    <n v="5472"/>
  </r>
  <r>
    <s v="P119"/>
    <x v="2"/>
    <s v="2025-02-07"/>
    <x v="0"/>
    <s v="Check out our latest reel on instagram!"/>
    <n v="1970"/>
    <n v="675"/>
    <n v="478"/>
    <n v="9850"/>
    <n v="8924"/>
    <n v="117"/>
    <x v="4"/>
    <s v="#FutureOfDriving"/>
    <m/>
    <m/>
    <n v="0.31705583756345179"/>
    <n v="3123"/>
  </r>
  <r>
    <s v="P120"/>
    <x v="3"/>
    <s v="2024-10-21"/>
    <x v="2"/>
    <s v="Check out our latest story on facebook!"/>
    <n v="780"/>
    <n v="928"/>
    <n v="301"/>
    <n v="8580"/>
    <n v="8081"/>
    <n v="91"/>
    <x v="2"/>
    <s v="#EVRevolution"/>
    <m/>
    <m/>
    <n v="0.23414918414918415"/>
    <n v="2009"/>
  </r>
  <r>
    <s v="P121"/>
    <x v="2"/>
    <s v="2024-07-29"/>
    <x v="2"/>
    <s v="Check out our latest story on instagram!"/>
    <n v="498"/>
    <n v="701"/>
    <n v="412"/>
    <n v="4980"/>
    <n v="4185"/>
    <n v="185"/>
    <x v="4"/>
    <s v="#FutureOfDriving"/>
    <m/>
    <m/>
    <n v="0.32349397590361445"/>
    <n v="1611"/>
  </r>
  <r>
    <s v="P122"/>
    <x v="2"/>
    <s v="2024-10-02"/>
    <x v="1"/>
    <s v="Check out our latest text on instagram!"/>
    <n v="3432"/>
    <n v="869"/>
    <n v="123"/>
    <n v="54912"/>
    <n v="53916"/>
    <n v="264"/>
    <x v="1"/>
    <s v="#EVRevolution"/>
    <m/>
    <m/>
    <n v="8.0565268065268064E-2"/>
    <n v="4424"/>
  </r>
  <r>
    <s v="P123"/>
    <x v="2"/>
    <s v="2024-06-14"/>
    <x v="2"/>
    <s v="Check out our latest story on instagram!"/>
    <n v="4363"/>
    <n v="649"/>
    <n v="140"/>
    <n v="21815"/>
    <n v="21481"/>
    <n v="157"/>
    <x v="0"/>
    <s v="#EVRevolution"/>
    <m/>
    <m/>
    <n v="0.23616777446710979"/>
    <n v="5152"/>
  </r>
  <r>
    <s v="P124"/>
    <x v="1"/>
    <s v="2025-04-06"/>
    <x v="3"/>
    <s v="Check out our latest carousel on youtube!"/>
    <n v="736"/>
    <n v="771"/>
    <n v="225"/>
    <n v="5152"/>
    <n v="4706"/>
    <n v="19"/>
    <x v="0"/>
    <s v="#EVRevolution"/>
    <m/>
    <m/>
    <n v="0.33618012422360249"/>
    <n v="1732"/>
  </r>
  <r>
    <s v="P125"/>
    <x v="0"/>
    <s v="2024-09-08"/>
    <x v="3"/>
    <s v="Check out our latest carousel on twitter!"/>
    <n v="3811"/>
    <n v="866"/>
    <n v="216"/>
    <n v="34299"/>
    <n v="34088"/>
    <n v="233"/>
    <x v="3"/>
    <s v="#TeslaCoInnovation"/>
    <m/>
    <m/>
    <n v="0.14265722032712325"/>
    <n v="4893"/>
  </r>
  <r>
    <s v="P126"/>
    <x v="2"/>
    <s v="2025-03-28"/>
    <x v="3"/>
    <s v="Check out our latest carousel on instagram!"/>
    <n v="4158"/>
    <n v="167"/>
    <n v="241"/>
    <n v="45738"/>
    <n v="45183"/>
    <n v="142"/>
    <x v="4"/>
    <s v="#FutureOfDriving"/>
    <m/>
    <m/>
    <n v="9.9829463465827106E-2"/>
    <n v="4566"/>
  </r>
  <r>
    <s v="P127"/>
    <x v="3"/>
    <s v="2025-01-27"/>
    <x v="0"/>
    <s v="Check out our latest reel on facebook!"/>
    <n v="3452"/>
    <n v="652"/>
    <n v="442"/>
    <n v="65588"/>
    <n v="65049"/>
    <n v="158"/>
    <x v="2"/>
    <s v="#FutureOfDriving"/>
    <m/>
    <m/>
    <n v="6.9311459413307311E-2"/>
    <n v="4546"/>
  </r>
  <r>
    <s v="P128"/>
    <x v="0"/>
    <s v="2025-01-10"/>
    <x v="4"/>
    <s v="Check out our latest image on twitter!"/>
    <n v="3092"/>
    <n v="106"/>
    <n v="291"/>
    <n v="27828"/>
    <n v="27217"/>
    <n v="102"/>
    <x v="4"/>
    <s v="#FutureOfDriving"/>
    <m/>
    <m/>
    <n v="0.12537731780940059"/>
    <n v="3489"/>
  </r>
  <r>
    <s v="P129"/>
    <x v="0"/>
    <s v="2024-07-21"/>
    <x v="1"/>
    <s v="Check out our latest text on twitter!"/>
    <n v="2147"/>
    <n v="430"/>
    <n v="393"/>
    <n v="17176"/>
    <n v="16483"/>
    <n v="170"/>
    <x v="4"/>
    <s v="#TeslaCoInnovation"/>
    <m/>
    <m/>
    <n v="0.17291569632044715"/>
    <n v="2970"/>
  </r>
  <r>
    <s v="P130"/>
    <x v="1"/>
    <s v="2024-09-29"/>
    <x v="0"/>
    <s v="Check out our latest reel on youtube!"/>
    <n v="2936"/>
    <n v="439"/>
    <n v="44"/>
    <n v="38168"/>
    <n v="37571"/>
    <n v="22"/>
    <x v="3"/>
    <s v="#EVRevolution"/>
    <m/>
    <m/>
    <n v="8.9577656675749323E-2"/>
    <n v="3419"/>
  </r>
  <r>
    <s v="P131"/>
    <x v="2"/>
    <s v="2024-10-21"/>
    <x v="0"/>
    <s v="Check out our latest reel on instagram!"/>
    <n v="4840"/>
    <n v="658"/>
    <n v="211"/>
    <n v="43560"/>
    <n v="43225"/>
    <n v="57"/>
    <x v="2"/>
    <s v="#FutureOfDriving"/>
    <m/>
    <m/>
    <n v="0.13106060606060607"/>
    <n v="5709"/>
  </r>
  <r>
    <s v="P132"/>
    <x v="2"/>
    <s v="2025-03-04"/>
    <x v="2"/>
    <s v="Check out our latest story on instagram!"/>
    <n v="1947"/>
    <n v="842"/>
    <n v="101"/>
    <n v="21417"/>
    <n v="20967"/>
    <n v="186"/>
    <x v="1"/>
    <s v="#FutureOfDriving"/>
    <m/>
    <m/>
    <n v="0.13493953401503478"/>
    <n v="2890"/>
  </r>
  <r>
    <s v="P133"/>
    <x v="3"/>
    <s v="2025-02-06"/>
    <x v="4"/>
    <s v="Check out our latest image on facebook!"/>
    <n v="2072"/>
    <n v="532"/>
    <n v="71"/>
    <n v="37296"/>
    <n v="36467"/>
    <n v="25"/>
    <x v="3"/>
    <s v="#TeslaCoInnovation"/>
    <m/>
    <m/>
    <n v="7.172350922350923E-2"/>
    <n v="2675"/>
  </r>
  <r>
    <s v="P134"/>
    <x v="0"/>
    <s v="2025-04-24"/>
    <x v="0"/>
    <s v="Check out our latest reel on twitter!"/>
    <n v="3731"/>
    <n v="115"/>
    <n v="135"/>
    <n v="55965"/>
    <n v="55436"/>
    <n v="103"/>
    <x v="0"/>
    <s v="#TeslaCoInnovation"/>
    <m/>
    <m/>
    <n v="7.1133744304476013E-2"/>
    <n v="3981"/>
  </r>
  <r>
    <s v="P135"/>
    <x v="3"/>
    <s v="2024-11-28"/>
    <x v="1"/>
    <s v="Check out our latest text on facebook!"/>
    <n v="4213"/>
    <n v="253"/>
    <n v="434"/>
    <n v="75834"/>
    <n v="75437"/>
    <n v="272"/>
    <x v="3"/>
    <s v="#FutureOfDriving"/>
    <m/>
    <m/>
    <n v="6.461481657304112E-2"/>
    <n v="4900"/>
  </r>
  <r>
    <s v="P136"/>
    <x v="2"/>
    <s v="2024-07-11"/>
    <x v="1"/>
    <s v="Check out our latest text on instagram!"/>
    <n v="3134"/>
    <n v="888"/>
    <n v="444"/>
    <n v="21938"/>
    <n v="21337"/>
    <n v="130"/>
    <x v="3"/>
    <s v="#EVRevolution"/>
    <m/>
    <m/>
    <n v="0.20357370772176134"/>
    <n v="4466"/>
  </r>
  <r>
    <s v="P137"/>
    <x v="3"/>
    <s v="2024-07-31"/>
    <x v="5"/>
    <s v="Check out our latest video on facebook!"/>
    <n v="3008"/>
    <n v="94"/>
    <n v="37"/>
    <n v="15040"/>
    <n v="14639"/>
    <n v="277"/>
    <x v="4"/>
    <s v="#FutureOfDriving"/>
    <m/>
    <m/>
    <n v="0.20871010638297871"/>
    <n v="3139"/>
  </r>
  <r>
    <s v="P138"/>
    <x v="0"/>
    <s v="2025-03-29"/>
    <x v="4"/>
    <s v="Check out our latest image on twitter!"/>
    <n v="305"/>
    <n v="187"/>
    <n v="243"/>
    <n v="4575"/>
    <n v="3704"/>
    <n v="234"/>
    <x v="2"/>
    <s v="#FutureOfDriving"/>
    <m/>
    <m/>
    <n v="0.16065573770491803"/>
    <n v="735"/>
  </r>
  <r>
    <s v="P139"/>
    <x v="1"/>
    <s v="2024-10-29"/>
    <x v="1"/>
    <s v="Check out our latest text on youtube!"/>
    <n v="2746"/>
    <n v="156"/>
    <n v="203"/>
    <n v="32952"/>
    <n v="32147"/>
    <n v="147"/>
    <x v="0"/>
    <s v="#EVRevolution"/>
    <m/>
    <m/>
    <n v="9.422796795338674E-2"/>
    <n v="3105"/>
  </r>
  <r>
    <s v="P140"/>
    <x v="3"/>
    <s v="2024-07-15"/>
    <x v="4"/>
    <s v="Check out our latest image on facebook!"/>
    <n v="2291"/>
    <n v="78"/>
    <n v="485"/>
    <n v="18328"/>
    <n v="18101"/>
    <n v="10"/>
    <x v="1"/>
    <s v="#EVRevolution"/>
    <s v="#SmoothLikeNitroTesla"/>
    <m/>
    <n v="0.15571802706241816"/>
    <n v="2854"/>
  </r>
  <r>
    <s v="P141"/>
    <x v="0"/>
    <s v="2024-08-31"/>
    <x v="4"/>
    <s v="Check out our latest image on twitter!"/>
    <n v="3170"/>
    <n v="857"/>
    <n v="379"/>
    <n v="19020"/>
    <n v="18559"/>
    <n v="240"/>
    <x v="4"/>
    <s v="#FutureOfDriving"/>
    <m/>
    <m/>
    <n v="0.2316508937960042"/>
    <n v="4406"/>
  </r>
  <r>
    <s v="P142"/>
    <x v="1"/>
    <s v="2025-03-25"/>
    <x v="2"/>
    <s v="Check out our latest story on youtube!"/>
    <n v="2070"/>
    <n v="275"/>
    <n v="386"/>
    <n v="39330"/>
    <n v="38627"/>
    <n v="114"/>
    <x v="3"/>
    <s v="#FutureOfDriving"/>
    <m/>
    <m/>
    <n v="6.9438087973557078E-2"/>
    <n v="2731"/>
  </r>
  <r>
    <s v="P143"/>
    <x v="1"/>
    <s v="2024-10-02"/>
    <x v="3"/>
    <s v="Check out our latest carousel on youtube!"/>
    <n v="80"/>
    <n v="362"/>
    <n v="80"/>
    <n v="1040"/>
    <n v="349"/>
    <n v="117"/>
    <x v="2"/>
    <s v="#TeslaCoInnovation"/>
    <m/>
    <m/>
    <n v="0.50192307692307692"/>
    <n v="522"/>
  </r>
  <r>
    <s v="P144"/>
    <x v="1"/>
    <s v="2024-10-28"/>
    <x v="2"/>
    <s v="Check out our latest story on youtube!"/>
    <n v="4929"/>
    <n v="749"/>
    <n v="452"/>
    <n v="93651"/>
    <n v="92810"/>
    <n v="66"/>
    <x v="3"/>
    <s v="#EVRevolution"/>
    <m/>
    <m/>
    <n v="6.5455787978772245E-2"/>
    <n v="6130"/>
  </r>
  <r>
    <s v="P145"/>
    <x v="2"/>
    <s v="2024-08-12"/>
    <x v="3"/>
    <s v="Check out our latest carousel on instagram!"/>
    <n v="1878"/>
    <n v="62"/>
    <n v="179"/>
    <n v="37560"/>
    <n v="36874"/>
    <n v="142"/>
    <x v="3"/>
    <s v="#TeslaCoInnovation"/>
    <m/>
    <m/>
    <n v="5.6416400425985093E-2"/>
    <n v="2119"/>
  </r>
  <r>
    <s v="P146"/>
    <x v="1"/>
    <s v="2024-06-05"/>
    <x v="0"/>
    <s v="Check out our latest reel on youtube!"/>
    <n v="3065"/>
    <n v="772"/>
    <n v="142"/>
    <n v="18390"/>
    <n v="17875"/>
    <n v="200"/>
    <x v="4"/>
    <s v="#EVRevolution"/>
    <s v="#AnytimeIsTeslaTime"/>
    <m/>
    <n v="0.21636759108210984"/>
    <n v="3979"/>
  </r>
  <r>
    <s v="P147"/>
    <x v="2"/>
    <s v="2024-10-21"/>
    <x v="0"/>
    <s v="Check out our latest reel on instagram!"/>
    <n v="3256"/>
    <n v="459"/>
    <n v="266"/>
    <n v="26048"/>
    <n v="25529"/>
    <n v="143"/>
    <x v="1"/>
    <s v="#TeslaCoInnovation"/>
    <m/>
    <m/>
    <n v="0.15283323095823095"/>
    <n v="3981"/>
  </r>
  <r>
    <s v="P148"/>
    <x v="2"/>
    <s v="2025-04-15"/>
    <x v="5"/>
    <s v="Check out our latest video on instagram!"/>
    <n v="4133"/>
    <n v="466"/>
    <n v="327"/>
    <n v="24798"/>
    <n v="24620"/>
    <n v="176"/>
    <x v="3"/>
    <s v="#EVRevolution"/>
    <m/>
    <m/>
    <n v="0.19864505202032423"/>
    <n v="4926"/>
  </r>
  <r>
    <s v="P149"/>
    <x v="0"/>
    <s v="2024-06-16"/>
    <x v="5"/>
    <s v="Check out our latest video on twitter!"/>
    <n v="1702"/>
    <n v="750"/>
    <n v="179"/>
    <n v="34040"/>
    <n v="33174"/>
    <n v="76"/>
    <x v="0"/>
    <s v="#EVRevolution"/>
    <m/>
    <m/>
    <n v="7.7291421856639245E-2"/>
    <n v="2631"/>
  </r>
  <r>
    <s v="P150"/>
    <x v="1"/>
    <s v="2024-08-22"/>
    <x v="3"/>
    <s v="Check out our latest carousel on youtube!"/>
    <n v="4295"/>
    <n v="853"/>
    <n v="325"/>
    <n v="85900"/>
    <n v="85788"/>
    <n v="290"/>
    <x v="3"/>
    <s v="#TeslaCoInnovation"/>
    <m/>
    <m/>
    <n v="6.3713620488940623E-2"/>
    <n v="5473"/>
  </r>
  <r>
    <s v="P151"/>
    <x v="2"/>
    <s v="2024-07-26"/>
    <x v="4"/>
    <s v="Check out our latest image on instagram!"/>
    <n v="3559"/>
    <n v="59"/>
    <n v="289"/>
    <n v="35590"/>
    <n v="35105"/>
    <n v="122"/>
    <x v="0"/>
    <s v="#EVRevolution"/>
    <m/>
    <m/>
    <n v="0.10977802753582468"/>
    <n v="3907"/>
  </r>
  <r>
    <s v="P152"/>
    <x v="3"/>
    <s v="2025-04-22"/>
    <x v="4"/>
    <s v="Check out our latest image on facebook!"/>
    <n v="4804"/>
    <n v="550"/>
    <n v="270"/>
    <n v="28824"/>
    <n v="28370"/>
    <n v="47"/>
    <x v="3"/>
    <s v="#EVRevolution"/>
    <m/>
    <m/>
    <n v="0.19511518179295032"/>
    <n v="5624"/>
  </r>
  <r>
    <s v="P153"/>
    <x v="0"/>
    <s v="2025-01-01"/>
    <x v="5"/>
    <s v="Check out our latest video on twitter!"/>
    <n v="754"/>
    <n v="197"/>
    <n v="257"/>
    <n v="6786"/>
    <n v="6221"/>
    <n v="212"/>
    <x v="2"/>
    <s v="#TeslaCoInnovation"/>
    <m/>
    <m/>
    <n v="0.17801355732390214"/>
    <n v="1208"/>
  </r>
  <r>
    <s v="P154"/>
    <x v="2"/>
    <s v="2024-10-09"/>
    <x v="3"/>
    <s v="Check out our latest carousel on instagram!"/>
    <n v="985"/>
    <n v="932"/>
    <n v="287"/>
    <n v="6895"/>
    <n v="6757"/>
    <n v="64"/>
    <x v="3"/>
    <s v="#FutureOfDriving"/>
    <m/>
    <m/>
    <n v="0.31965192168237855"/>
    <n v="2204"/>
  </r>
  <r>
    <s v="P155"/>
    <x v="1"/>
    <s v="2024-12-21"/>
    <x v="4"/>
    <s v="Check out our latest image on youtube!"/>
    <n v="2283"/>
    <n v="210"/>
    <n v="130"/>
    <n v="22830"/>
    <n v="22617"/>
    <n v="143"/>
    <x v="1"/>
    <s v="#FutureOfDriving"/>
    <m/>
    <m/>
    <n v="0.11489268506351293"/>
    <n v="2623"/>
  </r>
  <r>
    <s v="P156"/>
    <x v="3"/>
    <s v="2024-10-22"/>
    <x v="3"/>
    <s v="Check out our latest carousel on facebook!"/>
    <n v="3352"/>
    <n v="941"/>
    <n v="482"/>
    <n v="43576"/>
    <n v="43338"/>
    <n v="240"/>
    <x v="1"/>
    <s v="#FutureOfDriving"/>
    <m/>
    <m/>
    <n v="0.1095786671562328"/>
    <n v="4775"/>
  </r>
  <r>
    <s v="P157"/>
    <x v="1"/>
    <s v="2024-07-23"/>
    <x v="2"/>
    <s v="Check out our latest story on youtube!"/>
    <n v="4775"/>
    <n v="173"/>
    <n v="206"/>
    <n v="47750"/>
    <n v="47544"/>
    <n v="187"/>
    <x v="1"/>
    <s v="#FutureOfDriving"/>
    <m/>
    <m/>
    <n v="0.10793717277486911"/>
    <n v="5154"/>
  </r>
  <r>
    <s v="P158"/>
    <x v="2"/>
    <s v="2024-08-11"/>
    <x v="2"/>
    <s v="Check out our latest story on instagram!"/>
    <n v="1762"/>
    <n v="405"/>
    <n v="423"/>
    <n v="22906"/>
    <n v="21925"/>
    <n v="25"/>
    <x v="0"/>
    <s v="#TeslaCoInnovation"/>
    <m/>
    <m/>
    <n v="0.11307081114118571"/>
    <n v="2590"/>
  </r>
  <r>
    <s v="P159"/>
    <x v="3"/>
    <s v="2024-11-25"/>
    <x v="2"/>
    <s v="Check out our latest story on facebook!"/>
    <n v="2120"/>
    <n v="158"/>
    <n v="488"/>
    <n v="12720"/>
    <n v="12085"/>
    <n v="17"/>
    <x v="1"/>
    <s v="#FutureOfDriving"/>
    <m/>
    <m/>
    <n v="0.21745283018867925"/>
    <n v="2766"/>
  </r>
  <r>
    <s v="P160"/>
    <x v="0"/>
    <s v="2024-08-24"/>
    <x v="5"/>
    <s v="Check out our latest video on twitter!"/>
    <n v="1082"/>
    <n v="209"/>
    <n v="484"/>
    <n v="19476"/>
    <n v="18654"/>
    <n v="20"/>
    <x v="4"/>
    <s v="#TeslaCoInnovation"/>
    <m/>
    <m/>
    <n v="9.1137810638734856E-2"/>
    <n v="1775"/>
  </r>
  <r>
    <s v="P161"/>
    <x v="0"/>
    <s v="2025-02-19"/>
    <x v="1"/>
    <s v="Check out our latest text on twitter!"/>
    <n v="4671"/>
    <n v="876"/>
    <n v="366"/>
    <n v="51381"/>
    <n v="50565"/>
    <n v="245"/>
    <x v="3"/>
    <s v="#TeslaCoInnovation"/>
    <m/>
    <m/>
    <n v="0.11508145034156594"/>
    <n v="5913"/>
  </r>
  <r>
    <s v="P162"/>
    <x v="3"/>
    <s v="2025-04-01"/>
    <x v="2"/>
    <s v="Check out our latest story on facebook!"/>
    <n v="3430"/>
    <n v="566"/>
    <n v="164"/>
    <n v="48020"/>
    <n v="47305"/>
    <n v="120"/>
    <x v="4"/>
    <s v="#FutureOfDriving"/>
    <m/>
    <m/>
    <n v="8.6630570595585168E-2"/>
    <n v="4160"/>
  </r>
  <r>
    <s v="P163"/>
    <x v="2"/>
    <s v="2025-04-08"/>
    <x v="4"/>
    <s v="Check out our latest image on instagram!"/>
    <n v="4501"/>
    <n v="375"/>
    <n v="323"/>
    <n v="22505"/>
    <n v="21836"/>
    <n v="132"/>
    <x v="1"/>
    <s v="#TeslaCoInnovation"/>
    <m/>
    <m/>
    <n v="0.23101532992668297"/>
    <n v="5199"/>
  </r>
  <r>
    <s v="P164"/>
    <x v="1"/>
    <s v="2025-02-27"/>
    <x v="1"/>
    <s v="Check out our latest text on youtube!"/>
    <n v="4934"/>
    <n v="971"/>
    <n v="156"/>
    <n v="39472"/>
    <n v="39025"/>
    <n v="169"/>
    <x v="3"/>
    <s v="#TeslaCoInnovation"/>
    <s v="#AnytimeIsTeslaTime"/>
    <m/>
    <n v="0.15355188488042157"/>
    <n v="6061"/>
  </r>
  <r>
    <s v="P165"/>
    <x v="0"/>
    <s v="2024-12-11"/>
    <x v="1"/>
    <s v="Check out our latest text on twitter!"/>
    <n v="3239"/>
    <n v="43"/>
    <n v="211"/>
    <n v="22673"/>
    <n v="22171"/>
    <n v="230"/>
    <x v="1"/>
    <s v="#TeslaCoInnovation"/>
    <m/>
    <m/>
    <n v="0.15405989502933004"/>
    <n v="3493"/>
  </r>
  <r>
    <s v="P166"/>
    <x v="0"/>
    <s v="2025-02-16"/>
    <x v="0"/>
    <s v="Check out our latest reel on twitter!"/>
    <n v="1076"/>
    <n v="313"/>
    <n v="306"/>
    <n v="11836"/>
    <n v="11596"/>
    <n v="104"/>
    <x v="0"/>
    <s v="#FutureOfDriving"/>
    <m/>
    <m/>
    <n v="0.14320716458262928"/>
    <n v="1695"/>
  </r>
  <r>
    <s v="P167"/>
    <x v="2"/>
    <s v="2024-11-28"/>
    <x v="1"/>
    <s v="Check out our latest text on instagram!"/>
    <n v="4771"/>
    <n v="818"/>
    <n v="56"/>
    <n v="57252"/>
    <n v="56378"/>
    <n v="150"/>
    <x v="4"/>
    <s v="#FutureOfDriving"/>
    <m/>
    <m/>
    <n v="9.859917557465242E-2"/>
    <n v="5645"/>
  </r>
  <r>
    <s v="P168"/>
    <x v="3"/>
    <s v="2024-11-12"/>
    <x v="1"/>
    <s v="Check out our latest text on facebook!"/>
    <n v="2418"/>
    <n v="754"/>
    <n v="54"/>
    <n v="43524"/>
    <n v="42743"/>
    <n v="182"/>
    <x v="0"/>
    <s v="#EVRevolution"/>
    <m/>
    <m/>
    <n v="7.412002573292896E-2"/>
    <n v="3226"/>
  </r>
  <r>
    <s v="P169"/>
    <x v="1"/>
    <s v="2024-12-03"/>
    <x v="5"/>
    <s v="Check out our latest video on youtube!"/>
    <n v="3809"/>
    <n v="273"/>
    <n v="200"/>
    <n v="34281"/>
    <n v="33534"/>
    <n v="83"/>
    <x v="0"/>
    <s v="#EVRevolution"/>
    <m/>
    <m/>
    <n v="0.12490884163239112"/>
    <n v="4282"/>
  </r>
  <r>
    <s v="P170"/>
    <x v="0"/>
    <s v="2025-04-28"/>
    <x v="1"/>
    <s v="Check out our latest text on twitter!"/>
    <n v="3577"/>
    <n v="596"/>
    <n v="493"/>
    <n v="67963"/>
    <n v="67839"/>
    <n v="53"/>
    <x v="2"/>
    <s v="#TeslaCoInnovation"/>
    <m/>
    <m/>
    <n v="6.8655003457763777E-2"/>
    <n v="4666"/>
  </r>
  <r>
    <s v="P171"/>
    <x v="1"/>
    <s v="2024-12-31"/>
    <x v="5"/>
    <s v="Check out our latest video on youtube!"/>
    <n v="1018"/>
    <n v="447"/>
    <n v="332"/>
    <n v="18324"/>
    <n v="18164"/>
    <n v="38"/>
    <x v="1"/>
    <s v="#FutureOfDriving"/>
    <m/>
    <m/>
    <n v="9.8068107400130972E-2"/>
    <n v="1797"/>
  </r>
  <r>
    <s v="P172"/>
    <x v="3"/>
    <s v="2024-08-14"/>
    <x v="3"/>
    <s v="Check out our latest carousel on facebook!"/>
    <n v="3073"/>
    <n v="553"/>
    <n v="174"/>
    <n v="52241"/>
    <n v="51605"/>
    <n v="246"/>
    <x v="2"/>
    <s v="#EVRevolution"/>
    <m/>
    <m/>
    <n v="7.2739802071170159E-2"/>
    <n v="3800"/>
  </r>
  <r>
    <s v="P173"/>
    <x v="0"/>
    <s v="2024-12-05"/>
    <x v="5"/>
    <s v="Check out our latest video on twitter!"/>
    <n v="1330"/>
    <n v="925"/>
    <n v="35"/>
    <n v="15960"/>
    <n v="15379"/>
    <n v="229"/>
    <x v="2"/>
    <s v="#FutureOfDriving"/>
    <m/>
    <m/>
    <n v="0.14348370927318296"/>
    <n v="2290"/>
  </r>
  <r>
    <s v="P174"/>
    <x v="3"/>
    <s v="2024-06-22"/>
    <x v="1"/>
    <s v="Check out our latest text on facebook!"/>
    <n v="3828"/>
    <n v="148"/>
    <n v="253"/>
    <n v="30624"/>
    <n v="30229"/>
    <n v="235"/>
    <x v="4"/>
    <s v="#EVRevolution"/>
    <m/>
    <m/>
    <n v="0.13809430512016718"/>
    <n v="4229"/>
  </r>
  <r>
    <s v="P175"/>
    <x v="2"/>
    <s v="2025-01-17"/>
    <x v="0"/>
    <s v="Check out our latest reel on instagram!"/>
    <n v="142"/>
    <n v="784"/>
    <n v="183"/>
    <n v="1704"/>
    <n v="995"/>
    <n v="154"/>
    <x v="3"/>
    <s v="#FutureOfDriving"/>
    <m/>
    <m/>
    <n v="0.6508215962441315"/>
    <n v="1109"/>
  </r>
  <r>
    <s v="P176"/>
    <x v="3"/>
    <s v="2024-06-20"/>
    <x v="5"/>
    <s v="Check out our latest video on facebook!"/>
    <n v="3798"/>
    <n v="31"/>
    <n v="279"/>
    <n v="75960"/>
    <n v="75813"/>
    <n v="266"/>
    <x v="0"/>
    <s v="#TeslaCoInnovation"/>
    <m/>
    <m/>
    <n v="5.4081095313322801E-2"/>
    <n v="4108"/>
  </r>
  <r>
    <s v="P177"/>
    <x v="2"/>
    <s v="2024-07-10"/>
    <x v="3"/>
    <s v="Check out our latest carousel on instagram!"/>
    <n v="3099"/>
    <n v="694"/>
    <n v="171"/>
    <n v="43386"/>
    <n v="42921"/>
    <n v="52"/>
    <x v="2"/>
    <s v="#TeslaCoInnovation"/>
    <m/>
    <m/>
    <n v="9.1365878393951966E-2"/>
    <n v="3964"/>
  </r>
  <r>
    <s v="P178"/>
    <x v="2"/>
    <s v="2024-11-07"/>
    <x v="5"/>
    <s v="Check out our latest video on instagram!"/>
    <n v="129"/>
    <n v="643"/>
    <n v="136"/>
    <n v="1290"/>
    <n v="839"/>
    <n v="238"/>
    <x v="3"/>
    <s v="#TeslaCoInnovation"/>
    <m/>
    <m/>
    <n v="0.70387596899224802"/>
    <n v="908"/>
  </r>
  <r>
    <s v="P179"/>
    <x v="3"/>
    <s v="2024-07-15"/>
    <x v="3"/>
    <s v="Check out our latest carousel on facebook!"/>
    <n v="3796"/>
    <n v="667"/>
    <n v="395"/>
    <n v="64532"/>
    <n v="63550"/>
    <n v="292"/>
    <x v="4"/>
    <s v="#TeslaCoInnovation"/>
    <m/>
    <m/>
    <n v="7.5280481001673588E-2"/>
    <n v="4858"/>
  </r>
  <r>
    <s v="P180"/>
    <x v="1"/>
    <s v="2024-12-03"/>
    <x v="1"/>
    <s v="Check out our latest text on youtube!"/>
    <n v="3711"/>
    <n v="352"/>
    <n v="290"/>
    <n v="48243"/>
    <n v="47579"/>
    <n v="11"/>
    <x v="0"/>
    <s v="#TeslaCoInnovation"/>
    <m/>
    <m/>
    <n v="9.023070704558174E-2"/>
    <n v="4353"/>
  </r>
  <r>
    <s v="P181"/>
    <x v="1"/>
    <s v="2025-03-21"/>
    <x v="4"/>
    <s v="Check out our latest image on youtube!"/>
    <n v="606"/>
    <n v="789"/>
    <n v="470"/>
    <n v="7878"/>
    <n v="7389"/>
    <n v="239"/>
    <x v="2"/>
    <s v="#EVRevolution"/>
    <m/>
    <m/>
    <n v="0.23673521198273673"/>
    <n v="1865"/>
  </r>
  <r>
    <s v="P182"/>
    <x v="3"/>
    <s v="2024-07-31"/>
    <x v="4"/>
    <s v="Check out our latest image on facebook!"/>
    <n v="4689"/>
    <n v="134"/>
    <n v="403"/>
    <n v="51579"/>
    <n v="50924"/>
    <n v="173"/>
    <x v="3"/>
    <s v="#TeslaCoInnovation"/>
    <m/>
    <m/>
    <n v="0.10132030477519921"/>
    <n v="5226"/>
  </r>
  <r>
    <s v="P183"/>
    <x v="2"/>
    <s v="2024-12-17"/>
    <x v="2"/>
    <s v="Check out our latest story on instagram!"/>
    <n v="360"/>
    <n v="590"/>
    <n v="393"/>
    <n v="4680"/>
    <n v="4322"/>
    <n v="208"/>
    <x v="1"/>
    <s v="#FutureOfDriving"/>
    <m/>
    <m/>
    <n v="0.28696581196581195"/>
    <n v="1343"/>
  </r>
  <r>
    <s v="P184"/>
    <x v="0"/>
    <s v="2024-07-28"/>
    <x v="4"/>
    <s v="Check out our latest image on twitter!"/>
    <n v="3215"/>
    <n v="960"/>
    <n v="202"/>
    <n v="32150"/>
    <n v="31404"/>
    <n v="251"/>
    <x v="0"/>
    <s v="#EVRevolution"/>
    <m/>
    <m/>
    <n v="0.13614307931570763"/>
    <n v="4377"/>
  </r>
  <r>
    <s v="P185"/>
    <x v="2"/>
    <s v="2025-01-11"/>
    <x v="3"/>
    <s v="Check out our latest carousel on instagram!"/>
    <n v="4523"/>
    <n v="61"/>
    <n v="157"/>
    <n v="49753"/>
    <n v="49329"/>
    <n v="71"/>
    <x v="4"/>
    <s v="#EVRevolution"/>
    <m/>
    <m/>
    <n v="9.5290736237010829E-2"/>
    <n v="4741"/>
  </r>
  <r>
    <s v="P186"/>
    <x v="3"/>
    <s v="2024-08-24"/>
    <x v="3"/>
    <s v="Check out our latest carousel on facebook!"/>
    <n v="4292"/>
    <n v="51"/>
    <n v="392"/>
    <n v="55796"/>
    <n v="54826"/>
    <n v="264"/>
    <x v="2"/>
    <s v="#EVRevolution"/>
    <m/>
    <m/>
    <n v="8.4862714173059003E-2"/>
    <n v="4735"/>
  </r>
  <r>
    <s v="P187"/>
    <x v="0"/>
    <s v="2024-12-22"/>
    <x v="0"/>
    <s v="Check out our latest reel on twitter!"/>
    <n v="1644"/>
    <n v="546"/>
    <n v="150"/>
    <n v="27948"/>
    <n v="27184"/>
    <n v="300"/>
    <x v="2"/>
    <s v="#EVRevolution"/>
    <m/>
    <m/>
    <n v="8.3726921425504502E-2"/>
    <n v="2340"/>
  </r>
  <r>
    <s v="P188"/>
    <x v="1"/>
    <s v="2024-06-06"/>
    <x v="0"/>
    <s v="Check out our latest reel on youtube!"/>
    <n v="2728"/>
    <n v="533"/>
    <n v="215"/>
    <n v="40920"/>
    <n v="40816"/>
    <n v="137"/>
    <x v="1"/>
    <s v="#FutureOfDriving"/>
    <m/>
    <m/>
    <n v="8.4946236559139784E-2"/>
    <n v="3476"/>
  </r>
  <r>
    <s v="P189"/>
    <x v="3"/>
    <s v="2025-03-24"/>
    <x v="0"/>
    <s v="Check out our latest reel on facebook!"/>
    <n v="3360"/>
    <n v="525"/>
    <n v="500"/>
    <n v="60480"/>
    <n v="59610"/>
    <n v="192"/>
    <x v="0"/>
    <s v="#TeslaCoInnovation"/>
    <m/>
    <m/>
    <n v="7.2503306878306875E-2"/>
    <n v="4385"/>
  </r>
  <r>
    <s v="P190"/>
    <x v="1"/>
    <s v="2024-10-04"/>
    <x v="1"/>
    <s v="Check out our latest text on youtube!"/>
    <n v="1963"/>
    <n v="213"/>
    <n v="19"/>
    <n v="39260"/>
    <n v="38771"/>
    <n v="145"/>
    <x v="4"/>
    <s v="#FutureOfDriving"/>
    <m/>
    <m/>
    <n v="5.5909322465613857E-2"/>
    <n v="2195"/>
  </r>
  <r>
    <s v="P191"/>
    <x v="1"/>
    <s v="2024-12-03"/>
    <x v="2"/>
    <s v="Check out our latest story on youtube!"/>
    <n v="4285"/>
    <n v="886"/>
    <n v="376"/>
    <n v="55705"/>
    <n v="55556"/>
    <n v="51"/>
    <x v="2"/>
    <s v="#FutureOfDriving"/>
    <m/>
    <m/>
    <n v="9.9578134817341346E-2"/>
    <n v="5547"/>
  </r>
  <r>
    <s v="P192"/>
    <x v="2"/>
    <s v="2024-11-29"/>
    <x v="5"/>
    <s v="Check out our latest video on instagram!"/>
    <n v="1176"/>
    <n v="464"/>
    <n v="394"/>
    <n v="14112"/>
    <n v="13588"/>
    <n v="272"/>
    <x v="4"/>
    <s v="#EVRevolution"/>
    <m/>
    <m/>
    <n v="0.1441326530612245"/>
    <n v="2034"/>
  </r>
  <r>
    <s v="P193"/>
    <x v="0"/>
    <s v="2024-09-11"/>
    <x v="4"/>
    <s v="Check out our latest image on twitter!"/>
    <n v="4858"/>
    <n v="317"/>
    <n v="129"/>
    <n v="53438"/>
    <n v="52687"/>
    <n v="223"/>
    <x v="2"/>
    <s v="#EVRevolution"/>
    <m/>
    <m/>
    <n v="9.9255211647142488E-2"/>
    <n v="5304"/>
  </r>
  <r>
    <s v="P194"/>
    <x v="1"/>
    <s v="2024-10-02"/>
    <x v="2"/>
    <s v="Check out our latest story on youtube!"/>
    <n v="4350"/>
    <n v="771"/>
    <n v="7"/>
    <n v="60900"/>
    <n v="60592"/>
    <n v="195"/>
    <x v="0"/>
    <s v="#EVRevolution"/>
    <m/>
    <m/>
    <n v="8.4203612479474554E-2"/>
    <n v="5128"/>
  </r>
  <r>
    <s v="P195"/>
    <x v="2"/>
    <s v="2024-08-15"/>
    <x v="3"/>
    <s v="Check out our latest carousel on instagram!"/>
    <n v="914"/>
    <n v="464"/>
    <n v="246"/>
    <n v="11882"/>
    <n v="11500"/>
    <n v="282"/>
    <x v="3"/>
    <s v="#FutureOfDriving"/>
    <s v="#TeslaCoInnovation"/>
    <s v="#AnytimeIsTeslaTime"/>
    <n v="0.13667732704931829"/>
    <n v="1624"/>
  </r>
  <r>
    <s v="P196"/>
    <x v="2"/>
    <s v="2024-12-19"/>
    <x v="1"/>
    <s v="Check out our latest text on instagram!"/>
    <n v="1813"/>
    <n v="623"/>
    <n v="72"/>
    <n v="19943"/>
    <n v="18959"/>
    <n v="85"/>
    <x v="2"/>
    <s v="#EVRevolution"/>
    <m/>
    <m/>
    <n v="0.12575841147269717"/>
    <n v="2508"/>
  </r>
  <r>
    <s v="P197"/>
    <x v="0"/>
    <s v="2024-10-22"/>
    <x v="0"/>
    <s v="Check out our latest reel on twitter!"/>
    <n v="4782"/>
    <n v="721"/>
    <n v="82"/>
    <n v="86076"/>
    <n v="85339"/>
    <n v="19"/>
    <x v="0"/>
    <s v="#EVRevolution"/>
    <m/>
    <m/>
    <n v="6.4884520656164318E-2"/>
    <n v="5585"/>
  </r>
  <r>
    <s v="P198"/>
    <x v="0"/>
    <s v="2024-09-14"/>
    <x v="4"/>
    <s v="Check out our latest image on twitter!"/>
    <n v="1048"/>
    <n v="374"/>
    <n v="450"/>
    <n v="9432"/>
    <n v="8882"/>
    <n v="158"/>
    <x v="2"/>
    <s v="#TeslaCoInnovation"/>
    <m/>
    <m/>
    <n v="0.19847328244274809"/>
    <n v="1872"/>
  </r>
  <r>
    <s v="P199"/>
    <x v="1"/>
    <s v="2024-11-30"/>
    <x v="3"/>
    <s v="Check out our latest carousel on youtube!"/>
    <n v="2509"/>
    <n v="324"/>
    <n v="171"/>
    <n v="35126"/>
    <n v="34685"/>
    <n v="277"/>
    <x v="1"/>
    <s v="#TeslaCoInnovation"/>
    <m/>
    <m/>
    <n v="8.5520696919660646E-2"/>
    <n v="3004"/>
  </r>
  <r>
    <s v="P200"/>
    <x v="3"/>
    <s v="2025-04-07"/>
    <x v="0"/>
    <s v="Check out our latest reel on facebook!"/>
    <n v="3718"/>
    <n v="385"/>
    <n v="310"/>
    <n v="70642"/>
    <n v="69749"/>
    <n v="233"/>
    <x v="1"/>
    <s v="#TeslaCoInnovation"/>
    <m/>
    <m/>
    <n v="6.246991874522239E-2"/>
    <n v="4413"/>
  </r>
  <r>
    <s v="P201"/>
    <x v="0"/>
    <s v="2025-01-15"/>
    <x v="0"/>
    <s v="Check out our latest reel on twitter!"/>
    <n v="802"/>
    <n v="262"/>
    <n v="244"/>
    <n v="14436"/>
    <n v="14280"/>
    <n v="49"/>
    <x v="0"/>
    <s v="#EVRevolution"/>
    <m/>
    <m/>
    <n v="9.0606816292601824E-2"/>
    <n v="1308"/>
  </r>
  <r>
    <s v="P202"/>
    <x v="3"/>
    <s v="2024-06-02"/>
    <x v="4"/>
    <s v="Check out our latest image on facebook!"/>
    <n v="1871"/>
    <n v="252"/>
    <n v="335"/>
    <n v="29936"/>
    <n v="29576"/>
    <n v="288"/>
    <x v="2"/>
    <s v="#EVRevolution"/>
    <m/>
    <m/>
    <n v="8.2108498129342594E-2"/>
    <n v="2458"/>
  </r>
  <r>
    <s v="P203"/>
    <x v="2"/>
    <s v="2024-11-21"/>
    <x v="3"/>
    <s v="Check out our latest carousel on instagram!"/>
    <n v="3773"/>
    <n v="299"/>
    <n v="38"/>
    <n v="71687"/>
    <n v="71447"/>
    <n v="286"/>
    <x v="0"/>
    <s v="#FutureOfDriving"/>
    <m/>
    <m/>
    <n v="5.7332570758993957E-2"/>
    <n v="4110"/>
  </r>
  <r>
    <s v="P204"/>
    <x v="2"/>
    <s v="2025-01-01"/>
    <x v="3"/>
    <s v="Check out our latest carousel on instagram!"/>
    <n v="2234"/>
    <n v="653"/>
    <n v="432"/>
    <n v="11170"/>
    <n v="10569"/>
    <n v="198"/>
    <x v="2"/>
    <s v="#FutureOfDriving"/>
    <m/>
    <m/>
    <n v="0.29713518352730528"/>
    <n v="3319"/>
  </r>
  <r>
    <s v="P205"/>
    <x v="0"/>
    <s v="2025-04-24"/>
    <x v="5"/>
    <s v="Check out our latest video on twitter!"/>
    <n v="3820"/>
    <n v="697"/>
    <n v="268"/>
    <n v="45840"/>
    <n v="45631"/>
    <n v="171"/>
    <x v="3"/>
    <s v="#TeslaCoInnovation"/>
    <s v="#SmoothLikeNitroTesla"/>
    <m/>
    <n v="0.1043848167539267"/>
    <n v="4785"/>
  </r>
  <r>
    <s v="P206"/>
    <x v="0"/>
    <s v="2024-06-24"/>
    <x v="1"/>
    <s v="Check out our latest text on twitter!"/>
    <n v="941"/>
    <n v="121"/>
    <n v="458"/>
    <n v="14115"/>
    <n v="13838"/>
    <n v="87"/>
    <x v="0"/>
    <s v="#EVRevolution"/>
    <m/>
    <m/>
    <n v="0.10768685795253277"/>
    <n v="1520"/>
  </r>
  <r>
    <s v="P207"/>
    <x v="0"/>
    <s v="2024-12-29"/>
    <x v="3"/>
    <s v="Check out our latest carousel on twitter!"/>
    <n v="4274"/>
    <n v="340"/>
    <n v="281"/>
    <n v="34192"/>
    <n v="33446"/>
    <n v="129"/>
    <x v="2"/>
    <s v="#TeslaCoInnovation"/>
    <s v="#SmoothLikeNitroTesla"/>
    <m/>
    <n v="0.14316214319138981"/>
    <n v="4895"/>
  </r>
  <r>
    <s v="P208"/>
    <x v="1"/>
    <s v="2024-06-24"/>
    <x v="5"/>
    <s v="Check out our latest video on youtube!"/>
    <n v="2949"/>
    <n v="476"/>
    <n v="403"/>
    <n v="44235"/>
    <n v="43705"/>
    <n v="135"/>
    <x v="1"/>
    <s v="#TeslaCoInnovation"/>
    <m/>
    <m/>
    <n v="8.6537809426924378E-2"/>
    <n v="3828"/>
  </r>
  <r>
    <s v="P209"/>
    <x v="0"/>
    <s v="2025-03-19"/>
    <x v="5"/>
    <s v="Check out our latest video on twitter!"/>
    <n v="3160"/>
    <n v="204"/>
    <n v="297"/>
    <n v="44240"/>
    <n v="43666"/>
    <n v="49"/>
    <x v="3"/>
    <s v="#FutureOfDriving"/>
    <s v="#AnytimeIsTeslaTime"/>
    <m/>
    <n v="8.2753164556962022E-2"/>
    <n v="3661"/>
  </r>
  <r>
    <s v="P210"/>
    <x v="1"/>
    <s v="2025-02-19"/>
    <x v="4"/>
    <s v="Check out our latest image on youtube!"/>
    <n v="257"/>
    <n v="966"/>
    <n v="398"/>
    <n v="3341"/>
    <n v="2753"/>
    <n v="287"/>
    <x v="0"/>
    <s v="#FutureOfDriving"/>
    <m/>
    <m/>
    <n v="0.48518407662376534"/>
    <n v="1621"/>
  </r>
  <r>
    <s v="P211"/>
    <x v="0"/>
    <s v="2024-07-18"/>
    <x v="3"/>
    <s v="Check out our latest carousel on twitter!"/>
    <n v="2120"/>
    <n v="38"/>
    <n v="212"/>
    <n v="12720"/>
    <n v="12564"/>
    <n v="21"/>
    <x v="3"/>
    <s v="#FutureOfDriving"/>
    <m/>
    <m/>
    <n v="0.18632075471698112"/>
    <n v="2370"/>
  </r>
  <r>
    <s v="P212"/>
    <x v="1"/>
    <s v="2025-03-03"/>
    <x v="5"/>
    <s v="Check out our latest video on youtube!"/>
    <n v="3874"/>
    <n v="884"/>
    <n v="19"/>
    <n v="38740"/>
    <n v="38552"/>
    <n v="219"/>
    <x v="1"/>
    <s v="#TeslaCoInnovation"/>
    <m/>
    <m/>
    <n v="0.123309241094476"/>
    <n v="4777"/>
  </r>
  <r>
    <s v="P213"/>
    <x v="3"/>
    <s v="2025-05-01"/>
    <x v="3"/>
    <s v="Check out our latest carousel on facebook!"/>
    <n v="2696"/>
    <n v="628"/>
    <n v="443"/>
    <n v="45832"/>
    <n v="45632"/>
    <n v="248"/>
    <x v="3"/>
    <s v="#EVRevolution"/>
    <m/>
    <m/>
    <n v="8.21914819340199E-2"/>
    <n v="3767"/>
  </r>
  <r>
    <s v="P214"/>
    <x v="2"/>
    <s v="2024-12-23"/>
    <x v="4"/>
    <s v="Check out our latest image on instagram!"/>
    <n v="521"/>
    <n v="746"/>
    <n v="315"/>
    <n v="4168"/>
    <n v="3399"/>
    <n v="282"/>
    <x v="1"/>
    <s v="#FutureOfDriving"/>
    <m/>
    <m/>
    <n v="0.37955854126679461"/>
    <n v="1582"/>
  </r>
  <r>
    <s v="P215"/>
    <x v="3"/>
    <s v="2025-05-06"/>
    <x v="4"/>
    <s v="Check out our latest image on facebook!"/>
    <n v="4872"/>
    <n v="925"/>
    <n v="176"/>
    <n v="82824"/>
    <n v="82543"/>
    <n v="89"/>
    <x v="1"/>
    <s v="#EVRevolution"/>
    <m/>
    <m/>
    <n v="7.2116777745580993E-2"/>
    <n v="5973"/>
  </r>
  <r>
    <s v="P216"/>
    <x v="1"/>
    <s v="2024-07-29"/>
    <x v="2"/>
    <s v="Check out our latest story on youtube!"/>
    <n v="1509"/>
    <n v="88"/>
    <n v="163"/>
    <n v="30180"/>
    <n v="29689"/>
    <n v="119"/>
    <x v="1"/>
    <s v="#EVRevolution"/>
    <m/>
    <m/>
    <n v="5.8316766070245198E-2"/>
    <n v="1760"/>
  </r>
  <r>
    <s v="P217"/>
    <x v="3"/>
    <s v="2024-12-03"/>
    <x v="4"/>
    <s v="Check out our latest image on facebook!"/>
    <n v="4606"/>
    <n v="931"/>
    <n v="230"/>
    <n v="92120"/>
    <n v="91440"/>
    <n v="56"/>
    <x v="4"/>
    <s v="#TeslaCoInnovation"/>
    <m/>
    <m/>
    <n v="6.2603126356925748E-2"/>
    <n v="5767"/>
  </r>
  <r>
    <s v="P218"/>
    <x v="3"/>
    <s v="2024-06-11"/>
    <x v="3"/>
    <s v="Check out our latest carousel on facebook!"/>
    <n v="1869"/>
    <n v="453"/>
    <n v="490"/>
    <n v="14952"/>
    <n v="14309"/>
    <n v="275"/>
    <x v="3"/>
    <s v="#TeslaCoInnovation"/>
    <m/>
    <m/>
    <n v="0.18806848582129482"/>
    <n v="2812"/>
  </r>
  <r>
    <s v="P219"/>
    <x v="0"/>
    <s v="2025-01-28"/>
    <x v="0"/>
    <s v="Check out our latest reel on twitter!"/>
    <n v="1188"/>
    <n v="470"/>
    <n v="174"/>
    <n v="7128"/>
    <n v="6145"/>
    <n v="270"/>
    <x v="3"/>
    <s v="#TeslaCoInnovation"/>
    <m/>
    <m/>
    <n v="0.25701459034792368"/>
    <n v="1832"/>
  </r>
  <r>
    <s v="P220"/>
    <x v="2"/>
    <s v="2024-06-02"/>
    <x v="2"/>
    <s v="Check out our latest story on instagram!"/>
    <n v="84"/>
    <n v="897"/>
    <n v="85"/>
    <n v="588"/>
    <n v="8"/>
    <n v="12"/>
    <x v="4"/>
    <s v="#EVRevolution"/>
    <m/>
    <m/>
    <n v="1.8129251700680271"/>
    <n v="1066"/>
  </r>
  <r>
    <s v="P221"/>
    <x v="3"/>
    <s v="2025-03-23"/>
    <x v="5"/>
    <s v="Check out our latest video on facebook!"/>
    <n v="4453"/>
    <n v="111"/>
    <n v="420"/>
    <n v="31171"/>
    <n v="30565"/>
    <n v="23"/>
    <x v="4"/>
    <s v="#TeslaCoInnovation"/>
    <m/>
    <m/>
    <n v="0.15989220750056141"/>
    <n v="4984"/>
  </r>
  <r>
    <s v="P222"/>
    <x v="3"/>
    <s v="2024-10-08"/>
    <x v="0"/>
    <s v="Check out our latest reel on facebook!"/>
    <n v="1814"/>
    <n v="653"/>
    <n v="363"/>
    <n v="25396"/>
    <n v="25286"/>
    <n v="39"/>
    <x v="0"/>
    <s v="#FutureOfDriving"/>
    <s v="#SmoothLikeNitroTesla"/>
    <m/>
    <n v="0.11143487163332809"/>
    <n v="2830"/>
  </r>
  <r>
    <s v="P223"/>
    <x v="0"/>
    <s v="2024-11-12"/>
    <x v="4"/>
    <s v="Check out our latest image on twitter!"/>
    <n v="3338"/>
    <n v="277"/>
    <n v="118"/>
    <n v="60084"/>
    <n v="59842"/>
    <n v="252"/>
    <x v="4"/>
    <s v="#TeslaCoInnovation"/>
    <m/>
    <m/>
    <n v="6.2129685107516146E-2"/>
    <n v="3733"/>
  </r>
  <r>
    <s v="P224"/>
    <x v="3"/>
    <s v="2025-05-13"/>
    <x v="4"/>
    <s v="Check out our latest image on facebook!"/>
    <n v="602"/>
    <n v="594"/>
    <n v="156"/>
    <n v="4214"/>
    <n v="3363"/>
    <n v="164"/>
    <x v="2"/>
    <s v="#TeslaCoInnovation"/>
    <m/>
    <m/>
    <n v="0.32083531086853345"/>
    <n v="1352"/>
  </r>
  <r>
    <s v="P225"/>
    <x v="0"/>
    <s v="2024-06-20"/>
    <x v="3"/>
    <s v="Check out our latest carousel on twitter!"/>
    <n v="4672"/>
    <n v="325"/>
    <n v="32"/>
    <n v="88768"/>
    <n v="87833"/>
    <n v="118"/>
    <x v="4"/>
    <s v="#EVRevolution"/>
    <m/>
    <m/>
    <n v="5.6653298485940883E-2"/>
    <n v="5029"/>
  </r>
  <r>
    <s v="P226"/>
    <x v="2"/>
    <s v="2024-08-07"/>
    <x v="3"/>
    <s v="Check out our latest carousel on instagram!"/>
    <n v="1741"/>
    <n v="164"/>
    <n v="318"/>
    <n v="8705"/>
    <n v="8272"/>
    <n v="121"/>
    <x v="4"/>
    <s v="#TeslaCoInnovation"/>
    <m/>
    <m/>
    <n v="0.25537047673750718"/>
    <n v="2223"/>
  </r>
  <r>
    <s v="P227"/>
    <x v="2"/>
    <s v="2024-06-12"/>
    <x v="1"/>
    <s v="Check out our latest text on instagram!"/>
    <n v="246"/>
    <n v="149"/>
    <n v="130"/>
    <n v="4674"/>
    <n v="4390"/>
    <n v="217"/>
    <x v="2"/>
    <s v="#FutureOfDriving"/>
    <m/>
    <m/>
    <n v="0.11232349165596919"/>
    <n v="525"/>
  </r>
  <r>
    <s v="P228"/>
    <x v="2"/>
    <s v="2024-07-01"/>
    <x v="2"/>
    <s v="Check out our latest story on instagram!"/>
    <n v="4808"/>
    <n v="772"/>
    <n v="320"/>
    <n v="72120"/>
    <n v="71696"/>
    <n v="195"/>
    <x v="0"/>
    <s v="#EVRevolution"/>
    <m/>
    <m/>
    <n v="8.1808097615085965E-2"/>
    <n v="5900"/>
  </r>
  <r>
    <s v="P229"/>
    <x v="2"/>
    <s v="2024-07-03"/>
    <x v="3"/>
    <s v="Check out our latest carousel on instagram!"/>
    <n v="4799"/>
    <n v="694"/>
    <n v="289"/>
    <n v="43191"/>
    <n v="42228"/>
    <n v="118"/>
    <x v="4"/>
    <s v="#TeslaCoInnovation"/>
    <m/>
    <m/>
    <n v="0.13387048227640017"/>
    <n v="5782"/>
  </r>
  <r>
    <s v="P230"/>
    <x v="3"/>
    <s v="2024-07-15"/>
    <x v="0"/>
    <s v="Check out our latest reel on facebook!"/>
    <n v="3663"/>
    <n v="17"/>
    <n v="295"/>
    <n v="51282"/>
    <n v="50567"/>
    <n v="84"/>
    <x v="2"/>
    <s v="#EVRevolution"/>
    <m/>
    <m/>
    <n v="7.7512577512577507E-2"/>
    <n v="3975"/>
  </r>
  <r>
    <s v="P231"/>
    <x v="2"/>
    <s v="2025-05-01"/>
    <x v="1"/>
    <s v="Check out our latest text on instagram!"/>
    <n v="1430"/>
    <n v="376"/>
    <n v="33"/>
    <n v="21450"/>
    <n v="20509"/>
    <n v="251"/>
    <x v="0"/>
    <s v="#FutureOfDriving"/>
    <m/>
    <m/>
    <n v="8.5734265734265735E-2"/>
    <n v="1839"/>
  </r>
  <r>
    <s v="P232"/>
    <x v="0"/>
    <s v="2025-04-29"/>
    <x v="2"/>
    <s v="Check out our latest story on twitter!"/>
    <n v="249"/>
    <n v="592"/>
    <n v="230"/>
    <n v="1494"/>
    <n v="1044"/>
    <n v="201"/>
    <x v="3"/>
    <s v="#EVRevolution"/>
    <m/>
    <m/>
    <n v="0.7168674698795181"/>
    <n v="1071"/>
  </r>
  <r>
    <s v="P233"/>
    <x v="3"/>
    <s v="2025-03-08"/>
    <x v="4"/>
    <s v="Check out our latest image on facebook!"/>
    <n v="2382"/>
    <n v="265"/>
    <n v="134"/>
    <n v="38112"/>
    <n v="37437"/>
    <n v="249"/>
    <x v="3"/>
    <s v="#FutureOfDriving"/>
    <m/>
    <m/>
    <n v="7.2969143576826198E-2"/>
    <n v="2781"/>
  </r>
  <r>
    <s v="P234"/>
    <x v="3"/>
    <s v="2024-06-01"/>
    <x v="1"/>
    <s v="Check out our latest text on facebook!"/>
    <n v="1272"/>
    <n v="465"/>
    <n v="99"/>
    <n v="24168"/>
    <n v="23719"/>
    <n v="42"/>
    <x v="4"/>
    <s v="#TeslaCoInnovation"/>
    <m/>
    <m/>
    <n v="7.5968222442899705E-2"/>
    <n v="1836"/>
  </r>
  <r>
    <s v="P235"/>
    <x v="3"/>
    <s v="2024-12-22"/>
    <x v="4"/>
    <s v="Check out our latest image on facebook!"/>
    <n v="3196"/>
    <n v="941"/>
    <n v="376"/>
    <n v="35156"/>
    <n v="34444"/>
    <n v="241"/>
    <x v="2"/>
    <s v="#TeslaCoInnovation"/>
    <m/>
    <m/>
    <n v="0.1283706906360223"/>
    <n v="4513"/>
  </r>
  <r>
    <s v="P236"/>
    <x v="3"/>
    <s v="2024-08-19"/>
    <x v="1"/>
    <s v="Check out our latest text on facebook!"/>
    <n v="1257"/>
    <n v="19"/>
    <n v="351"/>
    <n v="12570"/>
    <n v="11660"/>
    <n v="194"/>
    <x v="1"/>
    <s v="#FutureOfDriving"/>
    <s v="#AnytimeIsTeslaTime"/>
    <s v="#EVRevolution"/>
    <n v="0.12943516308671441"/>
    <n v="1627"/>
  </r>
  <r>
    <s v="P237"/>
    <x v="2"/>
    <s v="2024-10-22"/>
    <x v="2"/>
    <s v="Check out our latest story on instagram!"/>
    <n v="3770"/>
    <n v="917"/>
    <n v="129"/>
    <n v="71630"/>
    <n v="71322"/>
    <n v="76"/>
    <x v="0"/>
    <s v="#FutureOfDriving"/>
    <m/>
    <m/>
    <n v="6.7234398994834563E-2"/>
    <n v="4816"/>
  </r>
  <r>
    <s v="P238"/>
    <x v="0"/>
    <s v="2024-07-16"/>
    <x v="1"/>
    <s v="Check out our latest text on twitter!"/>
    <n v="4725"/>
    <n v="400"/>
    <n v="362"/>
    <n v="75600"/>
    <n v="74927"/>
    <n v="43"/>
    <x v="3"/>
    <s v="#FutureOfDriving"/>
    <m/>
    <m/>
    <n v="7.2579365079365077E-2"/>
    <n v="5487"/>
  </r>
  <r>
    <s v="P239"/>
    <x v="1"/>
    <s v="2025-02-24"/>
    <x v="1"/>
    <s v="Check out our latest text on youtube!"/>
    <n v="4188"/>
    <n v="942"/>
    <n v="118"/>
    <n v="20940"/>
    <n v="20471"/>
    <n v="102"/>
    <x v="4"/>
    <s v="#FutureOfDriving"/>
    <m/>
    <m/>
    <n v="0.25062082139446035"/>
    <n v="5248"/>
  </r>
  <r>
    <s v="P240"/>
    <x v="0"/>
    <s v="2024-08-26"/>
    <x v="3"/>
    <s v="Check out our latest carousel on twitter!"/>
    <n v="929"/>
    <n v="192"/>
    <n v="322"/>
    <n v="16722"/>
    <n v="15996"/>
    <n v="145"/>
    <x v="2"/>
    <s v="#EVRevolution"/>
    <s v="#TeslaCoInnovation"/>
    <s v="#AnytimeIsTeslaTime"/>
    <n v="8.6293505561535699E-2"/>
    <n v="1443"/>
  </r>
  <r>
    <s v="P241"/>
    <x v="3"/>
    <s v="2025-01-18"/>
    <x v="2"/>
    <s v="Check out our latest story on facebook!"/>
    <n v="4321"/>
    <n v="874"/>
    <n v="172"/>
    <n v="30247"/>
    <n v="29254"/>
    <n v="122"/>
    <x v="3"/>
    <s v="#TeslaCoInnovation"/>
    <m/>
    <m/>
    <n v="0.17743908486792079"/>
    <n v="5367"/>
  </r>
  <r>
    <s v="P242"/>
    <x v="3"/>
    <s v="2024-07-07"/>
    <x v="0"/>
    <s v="Check out our latest reel on facebook!"/>
    <n v="4767"/>
    <n v="190"/>
    <n v="340"/>
    <n v="28602"/>
    <n v="28044"/>
    <n v="210"/>
    <x v="2"/>
    <s v="#EVRevolution"/>
    <m/>
    <m/>
    <n v="0.18519683938186141"/>
    <n v="5297"/>
  </r>
  <r>
    <s v="P243"/>
    <x v="0"/>
    <s v="2025-03-06"/>
    <x v="4"/>
    <s v="Check out our latest image on twitter!"/>
    <n v="3592"/>
    <n v="911"/>
    <n v="375"/>
    <n v="50288"/>
    <n v="49490"/>
    <n v="32"/>
    <x v="3"/>
    <s v="#FutureOfDriving"/>
    <m/>
    <m/>
    <n v="9.7001272669424113E-2"/>
    <n v="4878"/>
  </r>
  <r>
    <s v="P244"/>
    <x v="1"/>
    <s v="2024-10-25"/>
    <x v="5"/>
    <s v="Check out our latest video on youtube!"/>
    <n v="4661"/>
    <n v="935"/>
    <n v="433"/>
    <n v="23305"/>
    <n v="22583"/>
    <n v="63"/>
    <x v="2"/>
    <s v="#FutureOfDriving"/>
    <m/>
    <m/>
    <n v="0.25869984981763572"/>
    <n v="6029"/>
  </r>
  <r>
    <s v="P245"/>
    <x v="3"/>
    <s v="2025-01-12"/>
    <x v="0"/>
    <s v="Check out our latest reel on facebook!"/>
    <n v="4134"/>
    <n v="824"/>
    <n v="99"/>
    <n v="41340"/>
    <n v="41050"/>
    <n v="177"/>
    <x v="0"/>
    <s v="#EVRevolution"/>
    <m/>
    <m/>
    <n v="0.12232704402515723"/>
    <n v="5057"/>
  </r>
  <r>
    <s v="P246"/>
    <x v="3"/>
    <s v="2024-10-11"/>
    <x v="4"/>
    <s v="Check out our latest image on facebook!"/>
    <n v="400"/>
    <n v="680"/>
    <n v="434"/>
    <n v="6400"/>
    <n v="5472"/>
    <n v="160"/>
    <x v="1"/>
    <s v="#FutureOfDriving"/>
    <m/>
    <m/>
    <n v="0.23656250000000001"/>
    <n v="1514"/>
  </r>
  <r>
    <s v="P247"/>
    <x v="3"/>
    <s v="2024-08-27"/>
    <x v="0"/>
    <s v="Check out our latest reel on facebook!"/>
    <n v="3960"/>
    <n v="266"/>
    <n v="8"/>
    <n v="35640"/>
    <n v="34850"/>
    <n v="208"/>
    <x v="4"/>
    <s v="#FutureOfDriving"/>
    <s v="#EVRevolution"/>
    <s v="#BetterWithTesla"/>
    <n v="0.11879910213243547"/>
    <n v="4234"/>
  </r>
  <r>
    <s v="P248"/>
    <x v="3"/>
    <s v="2025-02-02"/>
    <x v="2"/>
    <s v="Check out our latest story on facebook!"/>
    <n v="886"/>
    <n v="126"/>
    <n v="153"/>
    <n v="4430"/>
    <n v="4037"/>
    <n v="212"/>
    <x v="4"/>
    <s v="#EVRevolution"/>
    <m/>
    <m/>
    <n v="0.26297968397291194"/>
    <n v="1165"/>
  </r>
  <r>
    <s v="P249"/>
    <x v="0"/>
    <s v="2024-07-18"/>
    <x v="4"/>
    <s v="Check out our latest image on twitter!"/>
    <n v="827"/>
    <n v="77"/>
    <n v="402"/>
    <n v="14886"/>
    <n v="14129"/>
    <n v="254"/>
    <x v="1"/>
    <s v="#EVRevolution"/>
    <m/>
    <m/>
    <n v="8.7733440816874911E-2"/>
    <n v="1306"/>
  </r>
  <r>
    <s v="P250"/>
    <x v="3"/>
    <s v="2024-06-22"/>
    <x v="0"/>
    <s v="Check out our latest reel on facebook!"/>
    <n v="3813"/>
    <n v="935"/>
    <n v="274"/>
    <n v="68634"/>
    <n v="68488"/>
    <n v="251"/>
    <x v="4"/>
    <s v="#FutureOfDriving"/>
    <m/>
    <m/>
    <n v="7.3170731707317069E-2"/>
    <n v="5022"/>
  </r>
  <r>
    <s v="P251"/>
    <x v="2"/>
    <s v="2025-03-27"/>
    <x v="3"/>
    <s v="Check out our latest carousel on instagram!"/>
    <n v="1377"/>
    <n v="796"/>
    <n v="387"/>
    <n v="22032"/>
    <n v="21869"/>
    <n v="189"/>
    <x v="4"/>
    <s v="#FutureOfDriving"/>
    <m/>
    <m/>
    <n v="0.11619462599854757"/>
    <n v="2560"/>
  </r>
  <r>
    <s v="P252"/>
    <x v="3"/>
    <s v="2025-04-28"/>
    <x v="3"/>
    <s v="Check out our latest carousel on facebook!"/>
    <n v="2089"/>
    <n v="476"/>
    <n v="69"/>
    <n v="16712"/>
    <n v="16309"/>
    <n v="64"/>
    <x v="2"/>
    <s v="#FutureOfDriving"/>
    <m/>
    <m/>
    <n v="0.15761129727142173"/>
    <n v="2634"/>
  </r>
  <r>
    <s v="P253"/>
    <x v="0"/>
    <s v="2024-08-03"/>
    <x v="0"/>
    <s v="Check out our latest reel on twitter!"/>
    <n v="3791"/>
    <n v="593"/>
    <n v="228"/>
    <n v="53074"/>
    <n v="52613"/>
    <n v="205"/>
    <x v="4"/>
    <s v="#EVRevolution"/>
    <m/>
    <m/>
    <n v="8.6897539284772202E-2"/>
    <n v="4612"/>
  </r>
  <r>
    <s v="P254"/>
    <x v="0"/>
    <s v="2025-01-14"/>
    <x v="4"/>
    <s v="Check out our latest image on twitter!"/>
    <n v="2692"/>
    <n v="115"/>
    <n v="64"/>
    <n v="21536"/>
    <n v="21120"/>
    <n v="224"/>
    <x v="1"/>
    <s v="#FutureOfDriving"/>
    <m/>
    <m/>
    <n v="0.13331166419019316"/>
    <n v="2871"/>
  </r>
  <r>
    <s v="P255"/>
    <x v="3"/>
    <s v="2025-04-03"/>
    <x v="2"/>
    <s v="Check out our latest story on facebook!"/>
    <n v="3767"/>
    <n v="514"/>
    <n v="238"/>
    <n v="37670"/>
    <n v="36807"/>
    <n v="226"/>
    <x v="3"/>
    <s v="#FutureOfDriving"/>
    <m/>
    <m/>
    <n v="0.11996283514733209"/>
    <n v="4519"/>
  </r>
  <r>
    <s v="P256"/>
    <x v="1"/>
    <s v="2024-09-18"/>
    <x v="3"/>
    <s v="Check out our latest carousel on youtube!"/>
    <n v="2143"/>
    <n v="12"/>
    <n v="204"/>
    <n v="40717"/>
    <n v="40125"/>
    <n v="248"/>
    <x v="1"/>
    <s v="#EVRevolution"/>
    <m/>
    <m/>
    <n v="5.7936488444630008E-2"/>
    <n v="2359"/>
  </r>
  <r>
    <s v="P257"/>
    <x v="3"/>
    <s v="2025-04-06"/>
    <x v="4"/>
    <s v="Check out our latest image on facebook!"/>
    <n v="3090"/>
    <n v="697"/>
    <n v="164"/>
    <n v="49440"/>
    <n v="48524"/>
    <n v="25"/>
    <x v="1"/>
    <s v="#EVRevolution"/>
    <s v="#EVRevolution"/>
    <s v="#BetterWithTesla"/>
    <n v="7.9915048543689318E-2"/>
    <n v="3951"/>
  </r>
  <r>
    <s v="P258"/>
    <x v="2"/>
    <s v="2024-08-05"/>
    <x v="2"/>
    <s v="Check out our latest story on instagram!"/>
    <n v="3601"/>
    <n v="695"/>
    <n v="75"/>
    <n v="21606"/>
    <n v="21454"/>
    <n v="172"/>
    <x v="1"/>
    <s v="#EVRevolution"/>
    <m/>
    <m/>
    <n v="0.2023049153013052"/>
    <n v="4371"/>
  </r>
  <r>
    <s v="P259"/>
    <x v="3"/>
    <s v="2025-02-10"/>
    <x v="1"/>
    <s v="Check out our latest text on facebook!"/>
    <n v="562"/>
    <n v="158"/>
    <n v="149"/>
    <n v="3372"/>
    <n v="2940"/>
    <n v="93"/>
    <x v="0"/>
    <s v="#TeslaCoInnovation"/>
    <m/>
    <m/>
    <n v="0.25771055753262156"/>
    <n v="869"/>
  </r>
  <r>
    <s v="P260"/>
    <x v="2"/>
    <s v="2025-02-12"/>
    <x v="2"/>
    <s v="Check out our latest story on instagram!"/>
    <n v="4332"/>
    <n v="771"/>
    <n v="219"/>
    <n v="60648"/>
    <n v="60397"/>
    <n v="10"/>
    <x v="2"/>
    <s v="#TeslaCoInnovation"/>
    <s v="#EVRevolution"/>
    <s v="#BetterWithTesla"/>
    <n v="8.7752275425405618E-2"/>
    <n v="5322"/>
  </r>
  <r>
    <s v="P261"/>
    <x v="2"/>
    <s v="2024-10-27"/>
    <x v="4"/>
    <s v="Check out our latest image on instagram!"/>
    <n v="4853"/>
    <n v="837"/>
    <n v="340"/>
    <n v="72795"/>
    <n v="72237"/>
    <n v="170"/>
    <x v="0"/>
    <s v="#EVRevolution"/>
    <m/>
    <m/>
    <n v="8.2835359571399134E-2"/>
    <n v="6030"/>
  </r>
  <r>
    <s v="P262"/>
    <x v="1"/>
    <s v="2025-01-18"/>
    <x v="4"/>
    <s v="Check out our latest image on youtube!"/>
    <n v="1206"/>
    <n v="238"/>
    <n v="36"/>
    <n v="9648"/>
    <n v="9417"/>
    <n v="237"/>
    <x v="4"/>
    <s v="#TeslaCoInnovation"/>
    <m/>
    <m/>
    <n v="0.15339966832504145"/>
    <n v="1480"/>
  </r>
  <r>
    <s v="P263"/>
    <x v="2"/>
    <s v="2024-08-20"/>
    <x v="0"/>
    <s v="Check out our latest reel on instagram!"/>
    <n v="2603"/>
    <n v="690"/>
    <n v="205"/>
    <n v="13015"/>
    <n v="12130"/>
    <n v="20"/>
    <x v="1"/>
    <s v="#FutureOfDriving"/>
    <m/>
    <m/>
    <n v="0.26876680752977333"/>
    <n v="3498"/>
  </r>
  <r>
    <s v="P264"/>
    <x v="0"/>
    <s v="2025-01-30"/>
    <x v="4"/>
    <s v="Check out our latest image on twitter!"/>
    <n v="59"/>
    <n v="163"/>
    <n v="93"/>
    <n v="590"/>
    <n v="475"/>
    <n v="293"/>
    <x v="1"/>
    <s v="#TeslaCoInnovation"/>
    <m/>
    <m/>
    <n v="0.53389830508474578"/>
    <n v="315"/>
  </r>
  <r>
    <s v="P265"/>
    <x v="0"/>
    <s v="2025-02-20"/>
    <x v="3"/>
    <s v="Check out our latest carousel on twitter!"/>
    <n v="1877"/>
    <n v="745"/>
    <n v="225"/>
    <n v="11262"/>
    <n v="10967"/>
    <n v="41"/>
    <x v="3"/>
    <s v="#EVRevolution"/>
    <m/>
    <m/>
    <n v="0.25279701651571657"/>
    <n v="2847"/>
  </r>
  <r>
    <s v="P266"/>
    <x v="3"/>
    <s v="2024-11-25"/>
    <x v="2"/>
    <s v="Check out our latest story on facebook!"/>
    <n v="4182"/>
    <n v="640"/>
    <n v="240"/>
    <n v="50184"/>
    <n v="49351"/>
    <n v="10"/>
    <x v="2"/>
    <s v="#TeslaCoInnovation"/>
    <m/>
    <m/>
    <n v="0.10086880280567512"/>
    <n v="5062"/>
  </r>
  <r>
    <s v="P267"/>
    <x v="0"/>
    <s v="2024-10-04"/>
    <x v="0"/>
    <s v="Check out our latest reel on twitter!"/>
    <n v="4187"/>
    <n v="66"/>
    <n v="31"/>
    <n v="66992"/>
    <n v="66614"/>
    <n v="62"/>
    <x v="4"/>
    <s v="#FutureOfDriving"/>
    <m/>
    <m/>
    <n v="6.3947934081681396E-2"/>
    <n v="4284"/>
  </r>
  <r>
    <s v="P268"/>
    <x v="2"/>
    <s v="2025-04-13"/>
    <x v="0"/>
    <s v="Check out our latest reel on instagram!"/>
    <n v="4579"/>
    <n v="125"/>
    <n v="300"/>
    <n v="59527"/>
    <n v="59400"/>
    <n v="269"/>
    <x v="0"/>
    <s v="#EVRevolution"/>
    <m/>
    <m/>
    <n v="8.4062694239588759E-2"/>
    <n v="5004"/>
  </r>
  <r>
    <s v="P269"/>
    <x v="2"/>
    <s v="2024-11-05"/>
    <x v="5"/>
    <s v="Check out our latest video on instagram!"/>
    <n v="4561"/>
    <n v="51"/>
    <n v="441"/>
    <n v="22805"/>
    <n v="21890"/>
    <n v="45"/>
    <x v="1"/>
    <s v="#TeslaCoInnovation"/>
    <m/>
    <m/>
    <n v="0.22157421618066214"/>
    <n v="5053"/>
  </r>
  <r>
    <s v="P270"/>
    <x v="1"/>
    <s v="2025-01-15"/>
    <x v="0"/>
    <s v="Check out our latest reel on youtube!"/>
    <n v="3774"/>
    <n v="239"/>
    <n v="39"/>
    <n v="60384"/>
    <n v="59490"/>
    <n v="241"/>
    <x v="2"/>
    <s v="#TeslaCoInnovation"/>
    <m/>
    <m/>
    <n v="6.7103868574456813E-2"/>
    <n v="4052"/>
  </r>
  <r>
    <s v="P271"/>
    <x v="2"/>
    <s v="2024-10-17"/>
    <x v="5"/>
    <s v="Check out our latest video on instagram!"/>
    <n v="3575"/>
    <n v="749"/>
    <n v="111"/>
    <n v="21450"/>
    <n v="20785"/>
    <n v="195"/>
    <x v="1"/>
    <s v="#EVRevolution"/>
    <m/>
    <m/>
    <n v="0.20675990675990677"/>
    <n v="4435"/>
  </r>
  <r>
    <s v="P272"/>
    <x v="2"/>
    <s v="2025-03-27"/>
    <x v="1"/>
    <s v="Check out our latest text on instagram!"/>
    <n v="4941"/>
    <n v="414"/>
    <n v="266"/>
    <n v="39528"/>
    <n v="39154"/>
    <n v="217"/>
    <x v="2"/>
    <s v="#TeslaCoInnovation"/>
    <m/>
    <m/>
    <n v="0.14220299534507186"/>
    <n v="5621"/>
  </r>
  <r>
    <s v="P273"/>
    <x v="1"/>
    <s v="2024-10-12"/>
    <x v="2"/>
    <s v="Check out our latest story on youtube!"/>
    <n v="3641"/>
    <n v="226"/>
    <n v="46"/>
    <n v="40051"/>
    <n v="39319"/>
    <n v="296"/>
    <x v="3"/>
    <s v="#EVRevolution"/>
    <m/>
    <m/>
    <n v="9.7700431949264685E-2"/>
    <n v="3913"/>
  </r>
  <r>
    <s v="P274"/>
    <x v="0"/>
    <s v="2025-01-01"/>
    <x v="3"/>
    <s v="Check out our latest carousel on twitter!"/>
    <n v="3535"/>
    <n v="494"/>
    <n v="152"/>
    <n v="53025"/>
    <n v="52791"/>
    <n v="44"/>
    <x v="3"/>
    <s v="#TeslaCoInnovation"/>
    <m/>
    <m/>
    <n v="7.8849599245638849E-2"/>
    <n v="4181"/>
  </r>
  <r>
    <s v="P275"/>
    <x v="3"/>
    <s v="2024-08-05"/>
    <x v="0"/>
    <s v="Check out our latest reel on facebook!"/>
    <n v="1741"/>
    <n v="831"/>
    <n v="345"/>
    <n v="17410"/>
    <n v="16844"/>
    <n v="58"/>
    <x v="2"/>
    <s v="#EVRevolution"/>
    <m/>
    <m/>
    <n v="0.16754738655944859"/>
    <n v="2917"/>
  </r>
  <r>
    <s v="P276"/>
    <x v="0"/>
    <s v="2024-06-07"/>
    <x v="3"/>
    <s v="Check out our latest carousel on twitter!"/>
    <n v="1556"/>
    <n v="195"/>
    <n v="131"/>
    <n v="9336"/>
    <n v="8875"/>
    <n v="137"/>
    <x v="1"/>
    <s v="#TeslaCoInnovation"/>
    <m/>
    <m/>
    <n v="0.2015852613538989"/>
    <n v="1882"/>
  </r>
  <r>
    <s v="P277"/>
    <x v="3"/>
    <s v="2025-04-06"/>
    <x v="4"/>
    <s v="Check out our latest image on facebook!"/>
    <n v="4236"/>
    <n v="711"/>
    <n v="298"/>
    <n v="21180"/>
    <n v="20516"/>
    <n v="238"/>
    <x v="0"/>
    <s v="#FutureOfDriving"/>
    <m/>
    <m/>
    <n v="0.24763928234183191"/>
    <n v="5245"/>
  </r>
  <r>
    <s v="P278"/>
    <x v="0"/>
    <s v="2024-11-26"/>
    <x v="1"/>
    <s v="Check out our latest text on twitter!"/>
    <n v="4516"/>
    <n v="836"/>
    <n v="169"/>
    <n v="49676"/>
    <n v="49257"/>
    <n v="282"/>
    <x v="3"/>
    <s v="#EVRevolution"/>
    <m/>
    <m/>
    <n v="0.11114018842096787"/>
    <n v="5521"/>
  </r>
  <r>
    <s v="P279"/>
    <x v="1"/>
    <s v="2024-09-02"/>
    <x v="4"/>
    <s v="Check out our latest image on youtube!"/>
    <n v="4905"/>
    <n v="845"/>
    <n v="129"/>
    <n v="98100"/>
    <n v="97772"/>
    <n v="279"/>
    <x v="1"/>
    <s v="#TeslaCoInnovation"/>
    <m/>
    <m/>
    <n v="5.9928644240570844E-2"/>
    <n v="5879"/>
  </r>
  <r>
    <s v="P280"/>
    <x v="1"/>
    <s v="2024-10-21"/>
    <x v="5"/>
    <s v="Check out our latest video on youtube!"/>
    <n v="4275"/>
    <n v="680"/>
    <n v="385"/>
    <n v="64125"/>
    <n v="63650"/>
    <n v="104"/>
    <x v="3"/>
    <s v="#EVRevolution"/>
    <s v="#TeslaCoInnovation"/>
    <s v="#AnytimeIsTeslaTime"/>
    <n v="8.3274853801169585E-2"/>
    <n v="5340"/>
  </r>
  <r>
    <s v="P281"/>
    <x v="1"/>
    <s v="2025-03-22"/>
    <x v="4"/>
    <s v="Check out our latest image on youtube!"/>
    <n v="3166"/>
    <n v="90"/>
    <n v="341"/>
    <n v="56988"/>
    <n v="56125"/>
    <n v="135"/>
    <x v="1"/>
    <s v="#EVRevolution"/>
    <m/>
    <m/>
    <n v="6.3118551273952411E-2"/>
    <n v="3597"/>
  </r>
  <r>
    <s v="P282"/>
    <x v="2"/>
    <s v="2024-10-03"/>
    <x v="5"/>
    <s v="Check out our latest video on instagram!"/>
    <n v="1488"/>
    <n v="417"/>
    <n v="168"/>
    <n v="19344"/>
    <n v="18395"/>
    <n v="30"/>
    <x v="2"/>
    <s v="#FutureOfDriving"/>
    <m/>
    <m/>
    <n v="0.1071650124069479"/>
    <n v="2073"/>
  </r>
  <r>
    <s v="P283"/>
    <x v="0"/>
    <s v="2025-05-09"/>
    <x v="0"/>
    <s v="Check out our latest reel on twitter!"/>
    <n v="3367"/>
    <n v="302"/>
    <n v="57"/>
    <n v="63973"/>
    <n v="63789"/>
    <n v="157"/>
    <x v="1"/>
    <s v="#FutureOfDriving"/>
    <m/>
    <m/>
    <n v="5.8243321401216137E-2"/>
    <n v="3726"/>
  </r>
  <r>
    <s v="P284"/>
    <x v="0"/>
    <s v="2024-09-17"/>
    <x v="1"/>
    <s v="Check out our latest text on twitter!"/>
    <n v="571"/>
    <n v="190"/>
    <n v="352"/>
    <n v="9707"/>
    <n v="9418"/>
    <n v="231"/>
    <x v="3"/>
    <s v="#TeslaCoInnovation"/>
    <m/>
    <m/>
    <n v="0.11465952405480581"/>
    <n v="1113"/>
  </r>
  <r>
    <s v="P285"/>
    <x v="1"/>
    <s v="2024-07-18"/>
    <x v="1"/>
    <s v="Check out our latest text on youtube!"/>
    <n v="4021"/>
    <n v="794"/>
    <n v="77"/>
    <n v="36189"/>
    <n v="35505"/>
    <n v="174"/>
    <x v="4"/>
    <s v="#EVRevolution"/>
    <m/>
    <m/>
    <n v="0.13517919809886983"/>
    <n v="4892"/>
  </r>
  <r>
    <s v="P286"/>
    <x v="1"/>
    <s v="2024-09-25"/>
    <x v="5"/>
    <s v="Check out our latest video on youtube!"/>
    <n v="3389"/>
    <n v="344"/>
    <n v="229"/>
    <n v="20334"/>
    <n v="19443"/>
    <n v="228"/>
    <x v="2"/>
    <s v="#FutureOfDriving"/>
    <m/>
    <m/>
    <n v="0.19484607062063539"/>
    <n v="3962"/>
  </r>
  <r>
    <s v="P287"/>
    <x v="2"/>
    <s v="2024-08-15"/>
    <x v="0"/>
    <s v="Check out our latest reel on instagram!"/>
    <n v="1164"/>
    <n v="616"/>
    <n v="324"/>
    <n v="6984"/>
    <n v="6636"/>
    <n v="82"/>
    <x v="0"/>
    <s v="#EVRevolution"/>
    <m/>
    <m/>
    <n v="0.30126002290950743"/>
    <n v="2104"/>
  </r>
  <r>
    <s v="P288"/>
    <x v="1"/>
    <s v="2025-04-17"/>
    <x v="3"/>
    <s v="Check out our latest carousel on youtube!"/>
    <n v="4780"/>
    <n v="691"/>
    <n v="380"/>
    <n v="86040"/>
    <n v="85743"/>
    <n v="262"/>
    <x v="2"/>
    <s v="#FutureOfDriving"/>
    <m/>
    <m/>
    <n v="6.800325430032543E-2"/>
    <n v="5851"/>
  </r>
  <r>
    <s v="P289"/>
    <x v="3"/>
    <s v="2024-11-28"/>
    <x v="3"/>
    <s v="Check out our latest carousel on facebook!"/>
    <n v="2751"/>
    <n v="33"/>
    <n v="430"/>
    <n v="44016"/>
    <n v="43415"/>
    <n v="129"/>
    <x v="4"/>
    <s v="#FutureOfDriving"/>
    <m/>
    <m/>
    <n v="7.3018902217375503E-2"/>
    <n v="3214"/>
  </r>
  <r>
    <s v="P290"/>
    <x v="2"/>
    <s v="2024-12-20"/>
    <x v="3"/>
    <s v="Check out our latest carousel on instagram!"/>
    <n v="2107"/>
    <n v="550"/>
    <n v="349"/>
    <n v="35819"/>
    <n v="35340"/>
    <n v="191"/>
    <x v="3"/>
    <s v="#EVRevolution"/>
    <m/>
    <m/>
    <n v="8.3921940869371006E-2"/>
    <n v="3006"/>
  </r>
  <r>
    <s v="P291"/>
    <x v="3"/>
    <s v="2024-11-06"/>
    <x v="5"/>
    <s v="Check out our latest video on facebook!"/>
    <n v="4663"/>
    <n v="145"/>
    <n v="225"/>
    <n v="69945"/>
    <n v="69596"/>
    <n v="35"/>
    <x v="3"/>
    <s v="#EVRevolution"/>
    <m/>
    <m/>
    <n v="7.1956537279290869E-2"/>
    <n v="5033"/>
  </r>
  <r>
    <s v="P292"/>
    <x v="3"/>
    <s v="2024-11-17"/>
    <x v="1"/>
    <s v="Check out our latest text on facebook!"/>
    <n v="880"/>
    <n v="297"/>
    <n v="345"/>
    <n v="12320"/>
    <n v="11978"/>
    <n v="238"/>
    <x v="4"/>
    <s v="#TeslaCoInnovation"/>
    <s v="#AnytimeIsTeslaTime"/>
    <m/>
    <n v="0.12353896103896105"/>
    <n v="1522"/>
  </r>
  <r>
    <s v="P293"/>
    <x v="3"/>
    <s v="2025-05-14"/>
    <x v="1"/>
    <s v="Check out our latest text on facebook!"/>
    <n v="2634"/>
    <n v="726"/>
    <n v="241"/>
    <n v="28974"/>
    <n v="28102"/>
    <n v="277"/>
    <x v="0"/>
    <s v="#EVRevolution"/>
    <m/>
    <m/>
    <n v="0.12428384068475185"/>
    <n v="3601"/>
  </r>
  <r>
    <s v="P294"/>
    <x v="3"/>
    <s v="2024-06-19"/>
    <x v="3"/>
    <s v="Check out our latest carousel on facebook!"/>
    <n v="4731"/>
    <n v="173"/>
    <n v="276"/>
    <n v="28386"/>
    <n v="28185"/>
    <n v="89"/>
    <x v="2"/>
    <s v="#EVRevolution"/>
    <m/>
    <m/>
    <n v="0.18248432325794406"/>
    <n v="5180"/>
  </r>
  <r>
    <s v="P295"/>
    <x v="0"/>
    <s v="2025-05-06"/>
    <x v="4"/>
    <s v="Check out our latest image on twitter!"/>
    <n v="1952"/>
    <n v="344"/>
    <n v="287"/>
    <n v="15616"/>
    <n v="15403"/>
    <n v="235"/>
    <x v="1"/>
    <s v="#FutureOfDriving"/>
    <s v="#TeslaCoInnovation"/>
    <s v="#AnytimeIsTeslaTime"/>
    <n v="0.16540727459016394"/>
    <n v="2583"/>
  </r>
  <r>
    <s v="P296"/>
    <x v="0"/>
    <s v="2025-02-11"/>
    <x v="5"/>
    <s v="Check out our latest video on twitter!"/>
    <n v="3440"/>
    <n v="13"/>
    <n v="20"/>
    <n v="58480"/>
    <n v="58146"/>
    <n v="210"/>
    <x v="3"/>
    <s v="#TeslaCoInnovation"/>
    <s v="#SmoothLikeNitroTesla"/>
    <m/>
    <n v="5.9387824897400819E-2"/>
    <n v="3473"/>
  </r>
  <r>
    <s v="P297"/>
    <x v="0"/>
    <s v="2024-12-24"/>
    <x v="1"/>
    <s v="Check out our latest text on twitter!"/>
    <n v="2166"/>
    <n v="354"/>
    <n v="117"/>
    <n v="10830"/>
    <n v="10245"/>
    <n v="24"/>
    <x v="3"/>
    <s v="#EVRevolution"/>
    <m/>
    <m/>
    <n v="0.24349030470914126"/>
    <n v="2637"/>
  </r>
  <r>
    <s v="P298"/>
    <x v="3"/>
    <s v="2024-10-24"/>
    <x v="4"/>
    <s v="Check out our latest image on facebook!"/>
    <n v="4303"/>
    <n v="451"/>
    <n v="286"/>
    <n v="86060"/>
    <n v="85823"/>
    <n v="14"/>
    <x v="2"/>
    <s v="#TeslaCoInnovation"/>
    <m/>
    <m/>
    <n v="5.8563792702765516E-2"/>
    <n v="5040"/>
  </r>
  <r>
    <s v="P299"/>
    <x v="3"/>
    <s v="2024-08-26"/>
    <x v="4"/>
    <s v="Check out our latest image on facebook!"/>
    <n v="2581"/>
    <n v="517"/>
    <n v="117"/>
    <n v="23229"/>
    <n v="22331"/>
    <n v="70"/>
    <x v="2"/>
    <s v="#FutureOfDriving"/>
    <m/>
    <m/>
    <n v="0.13840458048129492"/>
    <n v="3215"/>
  </r>
  <r>
    <s v="P300"/>
    <x v="0"/>
    <s v="2024-08-31"/>
    <x v="3"/>
    <s v="Check out our latest carousel on twitter!"/>
    <n v="4494"/>
    <n v="717"/>
    <n v="45"/>
    <n v="62916"/>
    <n v="62688"/>
    <n v="191"/>
    <x v="0"/>
    <s v="#TeslaCoInnovation"/>
    <s v="#EVRevolution"/>
    <s v="#BetterWithTesla"/>
    <n v="8.3539958039290485E-2"/>
    <n v="5256"/>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
  <r>
    <s v="P295"/>
    <x v="0"/>
    <s v="2025-05-06"/>
    <s v="Image"/>
    <s v="Check out our latest image on twitter!"/>
    <n v="1952"/>
    <n v="344"/>
    <n v="287"/>
    <n v="15616"/>
    <n v="15403"/>
    <n v="235"/>
    <s v="ModelYCampaign"/>
    <s v="#FutureOfDriving"/>
    <s v="#TeslaCoInnovation"/>
    <s v="#AnytimeIsTeslaTime"/>
    <n v="0.16540727459016394"/>
    <n v="2583"/>
  </r>
  <r>
    <s v="P002"/>
    <x v="0"/>
    <s v="2025-04-03"/>
    <s v="Text"/>
    <s v="Check out our latest text on twitter!"/>
    <n v="4054"/>
    <n v="389"/>
    <n v="493"/>
    <n v="64864"/>
    <n v="64383"/>
    <n v="117"/>
    <s v="ModelYCampaign"/>
    <s v="#TeslaCoInnovation"/>
    <s v="#BetterWithTesla"/>
    <m/>
    <n v="7.6097681302417369E-2"/>
    <n v="4936"/>
  </r>
  <r>
    <s v="P283"/>
    <x v="0"/>
    <s v="2025-05-09"/>
    <s v="Reel"/>
    <s v="Check out our latest reel on twitter!"/>
    <n v="3367"/>
    <n v="302"/>
    <n v="57"/>
    <n v="63973"/>
    <n v="63789"/>
    <n v="157"/>
    <s v="ModelYCampaign"/>
    <s v="#FutureOfDriving"/>
    <m/>
    <m/>
    <n v="5.8243321401216137E-2"/>
    <n v="3726"/>
  </r>
  <r>
    <s v="P281"/>
    <x v="1"/>
    <s v="2025-03-22"/>
    <s v="Image"/>
    <s v="Check out our latest image on youtube!"/>
    <n v="3166"/>
    <n v="90"/>
    <n v="341"/>
    <n v="56988"/>
    <n v="56125"/>
    <n v="135"/>
    <s v="ModelYCampaign"/>
    <s v="#EVRevolution"/>
    <m/>
    <m/>
    <n v="6.3118551273952411E-2"/>
    <n v="3597"/>
  </r>
  <r>
    <s v="P279"/>
    <x v="1"/>
    <s v="2024-09-02"/>
    <s v="Image"/>
    <s v="Check out our latest image on youtube!"/>
    <n v="4905"/>
    <n v="845"/>
    <n v="129"/>
    <n v="98100"/>
    <n v="97772"/>
    <n v="279"/>
    <s v="ModelYCampaign"/>
    <s v="#TeslaCoInnovation"/>
    <m/>
    <m/>
    <n v="5.9928644240570844E-2"/>
    <n v="5879"/>
  </r>
  <r>
    <s v="P006"/>
    <x v="2"/>
    <s v="2024-10-31"/>
    <s v="Carousel"/>
    <s v="Check out our latest carousel on facebook!"/>
    <n v="2945"/>
    <n v="930"/>
    <n v="355"/>
    <n v="23560"/>
    <n v="23275"/>
    <n v="256"/>
    <s v="ModelYCampaign"/>
    <s v="#TeslaCoInnovation"/>
    <m/>
    <m/>
    <n v="0.17954159592529711"/>
    <n v="4230"/>
  </r>
  <r>
    <s v="P007"/>
    <x v="0"/>
    <s v="2024-06-24"/>
    <s v="Carousel"/>
    <s v="Check out our latest carousel on twitter!"/>
    <n v="3860"/>
    <n v="201"/>
    <n v="279"/>
    <n v="61760"/>
    <n v="61660"/>
    <n v="235"/>
    <s v="ModelYCampaign"/>
    <s v="#TeslaCoInnovation"/>
    <m/>
    <m/>
    <n v="7.0272020725388601E-2"/>
    <n v="4340"/>
  </r>
  <r>
    <s v="P276"/>
    <x v="0"/>
    <s v="2024-06-07"/>
    <s v="Carousel"/>
    <s v="Check out our latest carousel on twitter!"/>
    <n v="1556"/>
    <n v="195"/>
    <n v="131"/>
    <n v="9336"/>
    <n v="8875"/>
    <n v="137"/>
    <s v="ModelYCampaign"/>
    <s v="#TeslaCoInnovation"/>
    <m/>
    <m/>
    <n v="0.2015852613538989"/>
    <n v="1882"/>
  </r>
  <r>
    <s v="P009"/>
    <x v="2"/>
    <s v="2024-08-30"/>
    <s v="Text"/>
    <s v="Check out our latest text on facebook!"/>
    <n v="3784"/>
    <n v="808"/>
    <n v="404"/>
    <n v="56760"/>
    <n v="56343"/>
    <n v="131"/>
    <s v="ModelYCampaign"/>
    <s v="#TeslaCoInnovation"/>
    <m/>
    <m/>
    <n v="8.8019732205778717E-2"/>
    <n v="4996"/>
  </r>
  <r>
    <s v="P010"/>
    <x v="2"/>
    <s v="2025-03-11"/>
    <s v="Image"/>
    <s v="Check out our latest image on facebook!"/>
    <n v="4241"/>
    <n v="902"/>
    <n v="47"/>
    <n v="72097"/>
    <n v="71598"/>
    <n v="167"/>
    <s v="ModelYCampaign"/>
    <s v="#TeslaCoInnovation"/>
    <m/>
    <m/>
    <n v="7.198635172059864E-2"/>
    <n v="5190"/>
  </r>
  <r>
    <s v="P271"/>
    <x v="3"/>
    <s v="2024-10-17"/>
    <s v="Video"/>
    <s v="Check out our latest video on instagram!"/>
    <n v="3575"/>
    <n v="749"/>
    <n v="111"/>
    <n v="21450"/>
    <n v="20785"/>
    <n v="195"/>
    <s v="ModelYCampaign"/>
    <s v="#EVRevolution"/>
    <m/>
    <m/>
    <n v="0.20675990675990677"/>
    <n v="4435"/>
  </r>
  <r>
    <s v="P269"/>
    <x v="3"/>
    <s v="2024-11-05"/>
    <s v="Video"/>
    <s v="Check out our latest video on instagram!"/>
    <n v="4561"/>
    <n v="51"/>
    <n v="441"/>
    <n v="22805"/>
    <n v="21890"/>
    <n v="45"/>
    <s v="ModelYCampaign"/>
    <s v="#TeslaCoInnovation"/>
    <m/>
    <m/>
    <n v="0.22157421618066214"/>
    <n v="5053"/>
  </r>
  <r>
    <s v="P264"/>
    <x v="0"/>
    <s v="2025-01-30"/>
    <s v="Image"/>
    <s v="Check out our latest image on twitter!"/>
    <n v="59"/>
    <n v="163"/>
    <n v="93"/>
    <n v="590"/>
    <n v="475"/>
    <n v="293"/>
    <s v="ModelYCampaign"/>
    <s v="#TeslaCoInnovation"/>
    <m/>
    <m/>
    <n v="0.53389830508474578"/>
    <n v="315"/>
  </r>
  <r>
    <s v="P263"/>
    <x v="3"/>
    <s v="2024-08-20"/>
    <s v="Reel"/>
    <s v="Check out our latest reel on instagram!"/>
    <n v="2603"/>
    <n v="690"/>
    <n v="205"/>
    <n v="13015"/>
    <n v="12130"/>
    <n v="20"/>
    <s v="ModelYCampaign"/>
    <s v="#FutureOfDriving"/>
    <m/>
    <m/>
    <n v="0.26876680752977333"/>
    <n v="3498"/>
  </r>
  <r>
    <s v="P258"/>
    <x v="3"/>
    <s v="2024-08-05"/>
    <s v="Story"/>
    <s v="Check out our latest story on instagram!"/>
    <n v="3601"/>
    <n v="695"/>
    <n v="75"/>
    <n v="21606"/>
    <n v="21454"/>
    <n v="172"/>
    <s v="ModelYCampaign"/>
    <s v="#EVRevolution"/>
    <m/>
    <m/>
    <n v="0.2023049153013052"/>
    <n v="4371"/>
  </r>
  <r>
    <s v="P257"/>
    <x v="2"/>
    <s v="2025-04-06"/>
    <s v="Image"/>
    <s v="Check out our latest image on facebook!"/>
    <n v="3090"/>
    <n v="697"/>
    <n v="164"/>
    <n v="49440"/>
    <n v="48524"/>
    <n v="25"/>
    <s v="ModelYCampaign"/>
    <s v="#EVRevolution"/>
    <s v="#EVRevolution"/>
    <s v="#BetterWithTesla"/>
    <n v="7.9915048543689318E-2"/>
    <n v="3951"/>
  </r>
  <r>
    <s v="P256"/>
    <x v="1"/>
    <s v="2024-09-18"/>
    <s v="Carousel"/>
    <s v="Check out our latest carousel on youtube!"/>
    <n v="2143"/>
    <n v="12"/>
    <n v="204"/>
    <n v="40717"/>
    <n v="40125"/>
    <n v="248"/>
    <s v="ModelYCampaign"/>
    <s v="#EVRevolution"/>
    <m/>
    <m/>
    <n v="5.7936488444630008E-2"/>
    <n v="2359"/>
  </r>
  <r>
    <s v="P254"/>
    <x v="0"/>
    <s v="2025-01-14"/>
    <s v="Image"/>
    <s v="Check out our latest image on twitter!"/>
    <n v="2692"/>
    <n v="115"/>
    <n v="64"/>
    <n v="21536"/>
    <n v="21120"/>
    <n v="224"/>
    <s v="ModelYCampaign"/>
    <s v="#FutureOfDriving"/>
    <m/>
    <m/>
    <n v="0.13331166419019316"/>
    <n v="2871"/>
  </r>
  <r>
    <s v="P249"/>
    <x v="0"/>
    <s v="2024-07-18"/>
    <s v="Image"/>
    <s v="Check out our latest image on twitter!"/>
    <n v="827"/>
    <n v="77"/>
    <n v="402"/>
    <n v="14886"/>
    <n v="14129"/>
    <n v="254"/>
    <s v="ModelYCampaign"/>
    <s v="#EVRevolution"/>
    <m/>
    <m/>
    <n v="8.7733440816874911E-2"/>
    <n v="1306"/>
  </r>
  <r>
    <s v="P246"/>
    <x v="2"/>
    <s v="2024-10-11"/>
    <s v="Image"/>
    <s v="Check out our latest image on facebook!"/>
    <n v="400"/>
    <n v="680"/>
    <n v="434"/>
    <n v="6400"/>
    <n v="5472"/>
    <n v="160"/>
    <s v="ModelYCampaign"/>
    <s v="#FutureOfDriving"/>
    <m/>
    <m/>
    <n v="0.23656250000000001"/>
    <n v="1514"/>
  </r>
  <r>
    <s v="P236"/>
    <x v="2"/>
    <s v="2024-08-19"/>
    <s v="Text"/>
    <s v="Check out our latest text on facebook!"/>
    <n v="1257"/>
    <n v="19"/>
    <n v="351"/>
    <n v="12570"/>
    <n v="11660"/>
    <n v="194"/>
    <s v="ModelYCampaign"/>
    <s v="#FutureOfDriving"/>
    <s v="#AnytimeIsTeslaTime"/>
    <s v="#EVRevolution"/>
    <n v="0.12943516308671441"/>
    <n v="1627"/>
  </r>
  <r>
    <s v="P216"/>
    <x v="1"/>
    <s v="2024-07-29"/>
    <s v="Story"/>
    <s v="Check out our latest story on youtube!"/>
    <n v="1509"/>
    <n v="88"/>
    <n v="163"/>
    <n v="30180"/>
    <n v="29689"/>
    <n v="119"/>
    <s v="ModelYCampaign"/>
    <s v="#EVRevolution"/>
    <m/>
    <m/>
    <n v="5.8316766070245198E-2"/>
    <n v="1760"/>
  </r>
  <r>
    <s v="P023"/>
    <x v="2"/>
    <s v="2024-11-06"/>
    <s v="Video"/>
    <s v="Check out our latest video on facebook!"/>
    <n v="1606"/>
    <n v="547"/>
    <n v="316"/>
    <n v="32120"/>
    <n v="31736"/>
    <n v="225"/>
    <s v="ModelYCampaign"/>
    <s v="#TeslaCoInnovation"/>
    <s v="#AnytimeIsTeslaTime"/>
    <m/>
    <n v="7.6867995018679955E-2"/>
    <n v="2469"/>
  </r>
  <r>
    <s v="P215"/>
    <x v="2"/>
    <s v="2025-05-06"/>
    <s v="Image"/>
    <s v="Check out our latest image on facebook!"/>
    <n v="4872"/>
    <n v="925"/>
    <n v="176"/>
    <n v="82824"/>
    <n v="82543"/>
    <n v="89"/>
    <s v="ModelYCampaign"/>
    <s v="#EVRevolution"/>
    <m/>
    <m/>
    <n v="7.2116777745580993E-2"/>
    <n v="5973"/>
  </r>
  <r>
    <s v="P214"/>
    <x v="3"/>
    <s v="2024-12-23"/>
    <s v="Image"/>
    <s v="Check out our latest image on instagram!"/>
    <n v="521"/>
    <n v="746"/>
    <n v="315"/>
    <n v="4168"/>
    <n v="3399"/>
    <n v="282"/>
    <s v="ModelYCampaign"/>
    <s v="#FutureOfDriving"/>
    <m/>
    <m/>
    <n v="0.37955854126679461"/>
    <n v="1582"/>
  </r>
  <r>
    <s v="P026"/>
    <x v="1"/>
    <s v="2025-04-05"/>
    <s v="Reel"/>
    <s v="Check out our latest reel on youtube!"/>
    <n v="3009"/>
    <n v="413"/>
    <n v="358"/>
    <n v="42126"/>
    <n v="41309"/>
    <n v="211"/>
    <s v="ModelYCampaign"/>
    <s v="#FutureOfDriving"/>
    <m/>
    <m/>
    <n v="8.9730807577268201E-2"/>
    <n v="3780"/>
  </r>
  <r>
    <s v="P212"/>
    <x v="1"/>
    <s v="2025-03-03"/>
    <s v="Video"/>
    <s v="Check out our latest video on youtube!"/>
    <n v="3874"/>
    <n v="884"/>
    <n v="19"/>
    <n v="38740"/>
    <n v="38552"/>
    <n v="219"/>
    <s v="ModelYCampaign"/>
    <s v="#TeslaCoInnovation"/>
    <m/>
    <m/>
    <n v="0.123309241094476"/>
    <n v="4777"/>
  </r>
  <r>
    <s v="P208"/>
    <x v="1"/>
    <s v="2024-06-24"/>
    <s v="Video"/>
    <s v="Check out our latest video on youtube!"/>
    <n v="2949"/>
    <n v="476"/>
    <n v="403"/>
    <n v="44235"/>
    <n v="43705"/>
    <n v="135"/>
    <s v="ModelYCampaign"/>
    <s v="#TeslaCoInnovation"/>
    <m/>
    <m/>
    <n v="8.6537809426924378E-2"/>
    <n v="3828"/>
  </r>
  <r>
    <s v="P200"/>
    <x v="2"/>
    <s v="2025-04-07"/>
    <s v="Reel"/>
    <s v="Check out our latest reel on facebook!"/>
    <n v="3718"/>
    <n v="385"/>
    <n v="310"/>
    <n v="70642"/>
    <n v="69749"/>
    <n v="233"/>
    <s v="ModelYCampaign"/>
    <s v="#TeslaCoInnovation"/>
    <m/>
    <m/>
    <n v="6.246991874522239E-2"/>
    <n v="4413"/>
  </r>
  <r>
    <s v="P199"/>
    <x v="1"/>
    <s v="2024-11-30"/>
    <s v="Carousel"/>
    <s v="Check out our latest carousel on youtube!"/>
    <n v="2509"/>
    <n v="324"/>
    <n v="171"/>
    <n v="35126"/>
    <n v="34685"/>
    <n v="277"/>
    <s v="ModelYCampaign"/>
    <s v="#TeslaCoInnovation"/>
    <m/>
    <m/>
    <n v="8.5520696919660646E-2"/>
    <n v="3004"/>
  </r>
  <r>
    <s v="P031"/>
    <x v="3"/>
    <s v="2024-12-16"/>
    <s v="Text"/>
    <s v="Check out our latest text on instagram!"/>
    <n v="438"/>
    <n v="153"/>
    <n v="275"/>
    <n v="3066"/>
    <n v="2701"/>
    <n v="282"/>
    <s v="ModelYCampaign"/>
    <s v="#TeslaCoInnovation"/>
    <m/>
    <m/>
    <n v="0.28245270711024134"/>
    <n v="866"/>
  </r>
  <r>
    <s v="P188"/>
    <x v="1"/>
    <s v="2024-06-06"/>
    <s v="Reel"/>
    <s v="Check out our latest reel on youtube!"/>
    <n v="2728"/>
    <n v="533"/>
    <n v="215"/>
    <n v="40920"/>
    <n v="40816"/>
    <n v="137"/>
    <s v="ModelYCampaign"/>
    <s v="#FutureOfDriving"/>
    <m/>
    <m/>
    <n v="8.4946236559139784E-2"/>
    <n v="3476"/>
  </r>
  <r>
    <s v="P183"/>
    <x v="3"/>
    <s v="2024-12-17"/>
    <s v="Story"/>
    <s v="Check out our latest story on instagram!"/>
    <n v="360"/>
    <n v="590"/>
    <n v="393"/>
    <n v="4680"/>
    <n v="4322"/>
    <n v="208"/>
    <s v="ModelYCampaign"/>
    <s v="#FutureOfDriving"/>
    <m/>
    <m/>
    <n v="0.28696581196581195"/>
    <n v="1343"/>
  </r>
  <r>
    <s v="P171"/>
    <x v="1"/>
    <s v="2024-12-31"/>
    <s v="Video"/>
    <s v="Check out our latest video on youtube!"/>
    <n v="1018"/>
    <n v="447"/>
    <n v="332"/>
    <n v="18324"/>
    <n v="18164"/>
    <n v="38"/>
    <s v="ModelYCampaign"/>
    <s v="#FutureOfDriving"/>
    <m/>
    <m/>
    <n v="9.8068107400130972E-2"/>
    <n v="1797"/>
  </r>
  <r>
    <s v="P035"/>
    <x v="3"/>
    <s v="2024-11-30"/>
    <s v="Video"/>
    <s v="Check out our latest video on instagram!"/>
    <n v="3775"/>
    <n v="16"/>
    <n v="239"/>
    <n v="33975"/>
    <n v="33310"/>
    <n v="271"/>
    <s v="ModelYCampaign"/>
    <s v="#FutureOfDriving"/>
    <m/>
    <m/>
    <n v="0.11861662987490802"/>
    <n v="4030"/>
  </r>
  <r>
    <s v="P036"/>
    <x v="3"/>
    <s v="2025-04-19"/>
    <s v="Story"/>
    <s v="Check out our latest story on instagram!"/>
    <n v="4518"/>
    <n v="285"/>
    <n v="383"/>
    <n v="67770"/>
    <n v="67621"/>
    <n v="31"/>
    <s v="ModelYCampaign"/>
    <s v="#EVRevolution"/>
    <m/>
    <m/>
    <n v="7.6523535487678915E-2"/>
    <n v="5186"/>
  </r>
  <r>
    <s v="P037"/>
    <x v="2"/>
    <s v="2025-01-06"/>
    <s v="Carousel"/>
    <s v="Check out our latest carousel on facebook!"/>
    <n v="3024"/>
    <n v="925"/>
    <n v="350"/>
    <n v="24192"/>
    <n v="23518"/>
    <n v="36"/>
    <s v="ModelYCampaign"/>
    <s v="#EVRevolution"/>
    <m/>
    <m/>
    <n v="0.17770337301587302"/>
    <n v="4299"/>
  </r>
  <r>
    <s v="P165"/>
    <x v="0"/>
    <s v="2024-12-11"/>
    <s v="Text"/>
    <s v="Check out our latest text on twitter!"/>
    <n v="3239"/>
    <n v="43"/>
    <n v="211"/>
    <n v="22673"/>
    <n v="22171"/>
    <n v="230"/>
    <s v="ModelYCampaign"/>
    <s v="#TeslaCoInnovation"/>
    <m/>
    <m/>
    <n v="0.15405989502933004"/>
    <n v="3493"/>
  </r>
  <r>
    <s v="P163"/>
    <x v="3"/>
    <s v="2025-04-08"/>
    <s v="Image"/>
    <s v="Check out our latest image on instagram!"/>
    <n v="4501"/>
    <n v="375"/>
    <n v="323"/>
    <n v="22505"/>
    <n v="21836"/>
    <n v="132"/>
    <s v="ModelYCampaign"/>
    <s v="#TeslaCoInnovation"/>
    <m/>
    <m/>
    <n v="0.23101532992668297"/>
    <n v="5199"/>
  </r>
  <r>
    <s v="P159"/>
    <x v="2"/>
    <s v="2024-11-25"/>
    <s v="Story"/>
    <s v="Check out our latest story on facebook!"/>
    <n v="2120"/>
    <n v="158"/>
    <n v="488"/>
    <n v="12720"/>
    <n v="12085"/>
    <n v="17"/>
    <s v="ModelYCampaign"/>
    <s v="#FutureOfDriving"/>
    <m/>
    <m/>
    <n v="0.21745283018867925"/>
    <n v="2766"/>
  </r>
  <r>
    <s v="P157"/>
    <x v="1"/>
    <s v="2024-07-23"/>
    <s v="Story"/>
    <s v="Check out our latest story on youtube!"/>
    <n v="4775"/>
    <n v="173"/>
    <n v="206"/>
    <n v="47750"/>
    <n v="47544"/>
    <n v="187"/>
    <s v="ModelYCampaign"/>
    <s v="#FutureOfDriving"/>
    <m/>
    <m/>
    <n v="0.10793717277486911"/>
    <n v="5154"/>
  </r>
  <r>
    <s v="P156"/>
    <x v="2"/>
    <s v="2024-10-22"/>
    <s v="Carousel"/>
    <s v="Check out our latest carousel on facebook!"/>
    <n v="3352"/>
    <n v="941"/>
    <n v="482"/>
    <n v="43576"/>
    <n v="43338"/>
    <n v="240"/>
    <s v="ModelYCampaign"/>
    <s v="#FutureOfDriving"/>
    <m/>
    <m/>
    <n v="0.1095786671562328"/>
    <n v="4775"/>
  </r>
  <r>
    <s v="P155"/>
    <x v="1"/>
    <s v="2024-12-21"/>
    <s v="Image"/>
    <s v="Check out our latest image on youtube!"/>
    <n v="2283"/>
    <n v="210"/>
    <n v="130"/>
    <n v="22830"/>
    <n v="22617"/>
    <n v="143"/>
    <s v="ModelYCampaign"/>
    <s v="#FutureOfDriving"/>
    <m/>
    <m/>
    <n v="0.11489268506351293"/>
    <n v="2623"/>
  </r>
  <r>
    <s v="P147"/>
    <x v="3"/>
    <s v="2024-10-21"/>
    <s v="Reel"/>
    <s v="Check out our latest reel on instagram!"/>
    <n v="3256"/>
    <n v="459"/>
    <n v="266"/>
    <n v="26048"/>
    <n v="25529"/>
    <n v="143"/>
    <s v="ModelYCampaign"/>
    <s v="#TeslaCoInnovation"/>
    <m/>
    <m/>
    <n v="0.15283323095823095"/>
    <n v="3981"/>
  </r>
  <r>
    <s v="P140"/>
    <x v="2"/>
    <s v="2024-07-15"/>
    <s v="Image"/>
    <s v="Check out our latest image on facebook!"/>
    <n v="2291"/>
    <n v="78"/>
    <n v="485"/>
    <n v="18328"/>
    <n v="18101"/>
    <n v="10"/>
    <s v="ModelYCampaign"/>
    <s v="#EVRevolution"/>
    <s v="#SmoothLikeNitroTesla"/>
    <m/>
    <n v="0.15571802706241816"/>
    <n v="2854"/>
  </r>
  <r>
    <s v="P132"/>
    <x v="3"/>
    <s v="2025-03-04"/>
    <s v="Story"/>
    <s v="Check out our latest story on instagram!"/>
    <n v="1947"/>
    <n v="842"/>
    <n v="101"/>
    <n v="21417"/>
    <n v="20967"/>
    <n v="186"/>
    <s v="ModelYCampaign"/>
    <s v="#FutureOfDriving"/>
    <m/>
    <m/>
    <n v="0.13493953401503478"/>
    <n v="2890"/>
  </r>
  <r>
    <s v="P122"/>
    <x v="3"/>
    <s v="2024-10-02"/>
    <s v="Text"/>
    <s v="Check out our latest text on instagram!"/>
    <n v="3432"/>
    <n v="869"/>
    <n v="123"/>
    <n v="54912"/>
    <n v="53916"/>
    <n v="264"/>
    <s v="ModelYCampaign"/>
    <s v="#EVRevolution"/>
    <m/>
    <m/>
    <n v="8.0565268065268064E-2"/>
    <n v="4424"/>
  </r>
  <r>
    <s v="P111"/>
    <x v="1"/>
    <s v="2024-11-23"/>
    <s v="Image"/>
    <s v="Check out our latest image on youtube!"/>
    <n v="2719"/>
    <n v="17"/>
    <n v="285"/>
    <n v="40785"/>
    <n v="40281"/>
    <n v="40"/>
    <s v="ModelYCampaign"/>
    <s v="#TeslaCoInnovation"/>
    <m/>
    <m/>
    <n v="7.4071349760941527E-2"/>
    <n v="3021"/>
  </r>
  <r>
    <s v="P110"/>
    <x v="3"/>
    <s v="2024-07-29"/>
    <s v="Reel"/>
    <s v="Check out our latest reel on instagram!"/>
    <n v="3523"/>
    <n v="753"/>
    <n v="482"/>
    <n v="38753"/>
    <n v="38579"/>
    <n v="270"/>
    <s v="ModelYCampaign"/>
    <s v="#EVRevolution"/>
    <m/>
    <m/>
    <n v="0.12277759141227776"/>
    <n v="4758"/>
  </r>
  <r>
    <s v="P108"/>
    <x v="0"/>
    <s v="2025-03-25"/>
    <s v="Video"/>
    <s v="Check out our latest video on twitter!"/>
    <n v="4050"/>
    <n v="871"/>
    <n v="347"/>
    <n v="52650"/>
    <n v="51755"/>
    <n v="209"/>
    <s v="ModelYCampaign"/>
    <s v="#TeslaCoInnovation"/>
    <m/>
    <m/>
    <n v="0.10005698005698006"/>
    <n v="5268"/>
  </r>
  <r>
    <s v="P051"/>
    <x v="2"/>
    <s v="2024-06-13"/>
    <s v="Carousel"/>
    <s v="Check out our latest carousel on facebook!"/>
    <n v="2200"/>
    <n v="504"/>
    <n v="239"/>
    <n v="37400"/>
    <n v="36938"/>
    <n v="225"/>
    <s v="ModelYCampaign"/>
    <s v="#FutureOfDriving"/>
    <m/>
    <m/>
    <n v="7.8689839572192513E-2"/>
    <n v="2943"/>
  </r>
  <r>
    <s v="P103"/>
    <x v="2"/>
    <s v="2024-06-11"/>
    <s v="Image"/>
    <s v="Check out our latest image on facebook!"/>
    <n v="3689"/>
    <n v="48"/>
    <n v="306"/>
    <n v="40579"/>
    <n v="39588"/>
    <n v="212"/>
    <s v="ModelYCampaign"/>
    <s v="#EVRevolution"/>
    <m/>
    <m/>
    <n v="9.9632815002833983E-2"/>
    <n v="4043"/>
  </r>
  <r>
    <s v="P102"/>
    <x v="0"/>
    <s v="2024-09-18"/>
    <s v="Reel"/>
    <s v="Check out our latest reel on twitter!"/>
    <n v="1000"/>
    <n v="978"/>
    <n v="162"/>
    <n v="6000"/>
    <n v="5221"/>
    <n v="223"/>
    <s v="ModelYCampaign"/>
    <s v="#EVRevolution"/>
    <m/>
    <m/>
    <n v="0.35666666666666669"/>
    <n v="2140"/>
  </r>
  <r>
    <s v="P054"/>
    <x v="1"/>
    <s v="2025-03-13"/>
    <s v="Carousel"/>
    <s v="Check out our latest carousel on youtube!"/>
    <n v="1686"/>
    <n v="904"/>
    <n v="472"/>
    <n v="18546"/>
    <n v="18171"/>
    <n v="52"/>
    <s v="ModelYCampaign"/>
    <s v="#FutureOfDriving"/>
    <m/>
    <m/>
    <n v="0.16510298716704411"/>
    <n v="3062"/>
  </r>
  <r>
    <s v="P097"/>
    <x v="3"/>
    <s v="2024-08-13"/>
    <s v="Image"/>
    <s v="Check out our latest image on instagram!"/>
    <n v="4739"/>
    <n v="527"/>
    <n v="135"/>
    <n v="61607"/>
    <n v="61333"/>
    <n v="36"/>
    <s v="ModelYCampaign"/>
    <s v="#TeslaCoInnovation"/>
    <s v="#AnytimeIsTeslaTime"/>
    <m/>
    <n v="8.7668609086629767E-2"/>
    <n v="5401"/>
  </r>
  <r>
    <s v="P079"/>
    <x v="3"/>
    <s v="2024-10-09"/>
    <s v="Carousel"/>
    <s v="Check out our latest carousel on instagram!"/>
    <n v="3068"/>
    <n v="137"/>
    <n v="329"/>
    <n v="39884"/>
    <n v="39404"/>
    <n v="266"/>
    <s v="ModelYCampaign"/>
    <s v="#EVRevolution"/>
    <m/>
    <m/>
    <n v="8.860696018453515E-2"/>
    <n v="3534"/>
  </r>
  <r>
    <s v="P072"/>
    <x v="1"/>
    <s v="2025-03-03"/>
    <s v="Reel"/>
    <s v="Check out our latest reel on youtube!"/>
    <n v="296"/>
    <n v="60"/>
    <n v="141"/>
    <n v="5624"/>
    <n v="5239"/>
    <n v="88"/>
    <s v="ModelYCampaign"/>
    <s v="#EVRevolution"/>
    <m/>
    <m/>
    <n v="8.837126600284495E-2"/>
    <n v="497"/>
  </r>
  <r>
    <s v="P071"/>
    <x v="1"/>
    <s v="2024-09-02"/>
    <s v="Carousel"/>
    <s v="Check out our latest carousel on youtube!"/>
    <n v="2551"/>
    <n v="915"/>
    <n v="205"/>
    <n v="30612"/>
    <n v="30360"/>
    <n v="227"/>
    <s v="ModelYCampaign"/>
    <s v="#TeslaCoInnovation"/>
    <m/>
    <m/>
    <n v="0.1199202926956749"/>
    <n v="3671"/>
  </r>
</pivotCacheRecords>
</file>

<file path=xl/pivotCache/pivotCacheRecords10.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1">
  <r>
    <s v="P297"/>
    <x v="0"/>
    <s v="2024-12-24"/>
    <s v="Text"/>
    <s v="Check out our latest text on twitter!"/>
    <n v="2166"/>
    <n v="354"/>
    <n v="117"/>
    <n v="10830"/>
    <n v="10245"/>
    <n v="24"/>
    <s v="SustainabilityDrive"/>
    <s v="#EVRevolution"/>
    <m/>
    <m/>
    <n v="0.24349030470914126"/>
    <n v="2637"/>
  </r>
  <r>
    <s v="P296"/>
    <x v="0"/>
    <s v="2025-02-11"/>
    <s v="Video"/>
    <s v="Check out our latest video on twitter!"/>
    <n v="3440"/>
    <n v="13"/>
    <n v="20"/>
    <n v="58480"/>
    <n v="58146"/>
    <n v="210"/>
    <s v="SustainabilityDrive"/>
    <s v="#TeslaCoInnovation"/>
    <s v="#SmoothLikeNitroTesla"/>
    <m/>
    <n v="5.9387824897400819E-2"/>
    <n v="3473"/>
  </r>
  <r>
    <s v="P291"/>
    <x v="1"/>
    <s v="2024-11-06"/>
    <s v="Video"/>
    <s v="Check out our latest video on facebook!"/>
    <n v="4663"/>
    <n v="145"/>
    <n v="225"/>
    <n v="69945"/>
    <n v="69596"/>
    <n v="35"/>
    <s v="SustainabilityDrive"/>
    <s v="#EVRevolution"/>
    <m/>
    <m/>
    <n v="7.1956537279290869E-2"/>
    <n v="5033"/>
  </r>
  <r>
    <s v="P004"/>
    <x v="2"/>
    <s v="2024-08-12"/>
    <s v="Story"/>
    <s v="Check out our latest story on instagram!"/>
    <n v="2404"/>
    <n v="363"/>
    <n v="138"/>
    <n v="19232"/>
    <n v="18636"/>
    <n v="128"/>
    <s v="SustainabilityDrive"/>
    <s v="#EVRevolution"/>
    <m/>
    <m/>
    <n v="0.15105033277870217"/>
    <n v="2905"/>
  </r>
  <r>
    <s v="P290"/>
    <x v="2"/>
    <s v="2024-12-20"/>
    <s v="Carousel"/>
    <s v="Check out our latest carousel on instagram!"/>
    <n v="2107"/>
    <n v="550"/>
    <n v="349"/>
    <n v="35819"/>
    <n v="35340"/>
    <n v="191"/>
    <s v="SustainabilityDrive"/>
    <s v="#EVRevolution"/>
    <m/>
    <m/>
    <n v="8.3921940869371006E-2"/>
    <n v="3006"/>
  </r>
  <r>
    <s v="P284"/>
    <x v="0"/>
    <s v="2024-09-17"/>
    <s v="Text"/>
    <s v="Check out our latest text on twitter!"/>
    <n v="571"/>
    <n v="190"/>
    <n v="352"/>
    <n v="9707"/>
    <n v="9418"/>
    <n v="231"/>
    <s v="SustainabilityDrive"/>
    <s v="#TeslaCoInnovation"/>
    <m/>
    <m/>
    <n v="0.11465952405480581"/>
    <n v="1113"/>
  </r>
  <r>
    <s v="P280"/>
    <x v="3"/>
    <s v="2024-10-21"/>
    <s v="Video"/>
    <s v="Check out our latest video on youtube!"/>
    <n v="4275"/>
    <n v="680"/>
    <n v="385"/>
    <n v="64125"/>
    <n v="63650"/>
    <n v="104"/>
    <s v="SustainabilityDrive"/>
    <s v="#EVRevolution"/>
    <s v="#TeslaCoInnovation"/>
    <s v="#AnytimeIsTeslaTime"/>
    <n v="8.3274853801169585E-2"/>
    <n v="5340"/>
  </r>
  <r>
    <s v="P008"/>
    <x v="3"/>
    <s v="2024-07-13"/>
    <s v="Image"/>
    <s v="Check out our latest image on youtube!"/>
    <n v="3929"/>
    <n v="262"/>
    <n v="278"/>
    <n v="43219"/>
    <n v="42841"/>
    <n v="39"/>
    <s v="SustainabilityDrive"/>
    <s v="#EVRevolution"/>
    <m/>
    <m/>
    <n v="0.10340359564080613"/>
    <n v="4469"/>
  </r>
  <r>
    <s v="P278"/>
    <x v="0"/>
    <s v="2024-11-26"/>
    <s v="Text"/>
    <s v="Check out our latest text on twitter!"/>
    <n v="4516"/>
    <n v="836"/>
    <n v="169"/>
    <n v="49676"/>
    <n v="49257"/>
    <n v="282"/>
    <s v="SustainabilityDrive"/>
    <s v="#EVRevolution"/>
    <m/>
    <m/>
    <n v="0.11114018842096787"/>
    <n v="5521"/>
  </r>
  <r>
    <s v="P274"/>
    <x v="0"/>
    <s v="2025-01-01"/>
    <s v="Carousel"/>
    <s v="Check out our latest carousel on twitter!"/>
    <n v="3535"/>
    <n v="494"/>
    <n v="152"/>
    <n v="53025"/>
    <n v="52791"/>
    <n v="44"/>
    <s v="SustainabilityDrive"/>
    <s v="#TeslaCoInnovation"/>
    <m/>
    <m/>
    <n v="7.8849599245638849E-2"/>
    <n v="4181"/>
  </r>
  <r>
    <s v="P011"/>
    <x v="2"/>
    <s v="2025-02-02"/>
    <s v="Story"/>
    <s v="Check out our latest story on instagram!"/>
    <n v="1792"/>
    <n v="614"/>
    <n v="497"/>
    <n v="25088"/>
    <n v="24675"/>
    <n v="65"/>
    <s v="SustainabilityDrive"/>
    <s v="#FutureOfDriving"/>
    <m/>
    <m/>
    <n v="0.11571269132653061"/>
    <n v="2903"/>
  </r>
  <r>
    <s v="P273"/>
    <x v="3"/>
    <s v="2024-10-12"/>
    <s v="Story"/>
    <s v="Check out our latest story on youtube!"/>
    <n v="3641"/>
    <n v="226"/>
    <n v="46"/>
    <n v="40051"/>
    <n v="39319"/>
    <n v="296"/>
    <s v="SustainabilityDrive"/>
    <s v="#EVRevolution"/>
    <m/>
    <m/>
    <n v="9.7700431949264685E-2"/>
    <n v="3913"/>
  </r>
  <r>
    <s v="P265"/>
    <x v="0"/>
    <s v="2025-02-20"/>
    <s v="Carousel"/>
    <s v="Check out our latest carousel on twitter!"/>
    <n v="1877"/>
    <n v="745"/>
    <n v="225"/>
    <n v="11262"/>
    <n v="10967"/>
    <n v="41"/>
    <s v="SustainabilityDrive"/>
    <s v="#EVRevolution"/>
    <m/>
    <m/>
    <n v="0.25279701651571657"/>
    <n v="2847"/>
  </r>
  <r>
    <s v="P255"/>
    <x v="1"/>
    <s v="2025-04-03"/>
    <s v="Story"/>
    <s v="Check out our latest story on facebook!"/>
    <n v="3767"/>
    <n v="514"/>
    <n v="238"/>
    <n v="37670"/>
    <n v="36807"/>
    <n v="226"/>
    <s v="SustainabilityDrive"/>
    <s v="#FutureOfDriving"/>
    <m/>
    <m/>
    <n v="0.11996283514733209"/>
    <n v="4519"/>
  </r>
  <r>
    <s v="P243"/>
    <x v="0"/>
    <s v="2025-03-06"/>
    <s v="Image"/>
    <s v="Check out our latest image on twitter!"/>
    <n v="3592"/>
    <n v="911"/>
    <n v="375"/>
    <n v="50288"/>
    <n v="49490"/>
    <n v="32"/>
    <s v="SustainabilityDrive"/>
    <s v="#FutureOfDriving"/>
    <m/>
    <m/>
    <n v="9.7001272669424113E-2"/>
    <n v="4878"/>
  </r>
  <r>
    <s v="P241"/>
    <x v="1"/>
    <s v="2025-01-18"/>
    <s v="Story"/>
    <s v="Check out our latest story on facebook!"/>
    <n v="4321"/>
    <n v="874"/>
    <n v="172"/>
    <n v="30247"/>
    <n v="29254"/>
    <n v="122"/>
    <s v="SustainabilityDrive"/>
    <s v="#TeslaCoInnovation"/>
    <m/>
    <m/>
    <n v="0.17743908486792079"/>
    <n v="5367"/>
  </r>
  <r>
    <s v="P017"/>
    <x v="1"/>
    <s v="2025-05-05"/>
    <s v="Text"/>
    <s v="Check out our latest text on facebook!"/>
    <n v="4441"/>
    <n v="511"/>
    <n v="70"/>
    <n v="53292"/>
    <n v="53082"/>
    <n v="159"/>
    <s v="SustainabilityDrive"/>
    <s v="#EVRevolution"/>
    <m/>
    <m/>
    <n v="9.4235532537716729E-2"/>
    <n v="5022"/>
  </r>
  <r>
    <s v="P238"/>
    <x v="0"/>
    <s v="2024-07-16"/>
    <s v="Text"/>
    <s v="Check out our latest text on twitter!"/>
    <n v="4725"/>
    <n v="400"/>
    <n v="362"/>
    <n v="75600"/>
    <n v="74927"/>
    <n v="43"/>
    <s v="SustainabilityDrive"/>
    <s v="#FutureOfDriving"/>
    <m/>
    <m/>
    <n v="7.2579365079365077E-2"/>
    <n v="5487"/>
  </r>
  <r>
    <s v="P019"/>
    <x v="2"/>
    <s v="2024-06-23"/>
    <s v="Video"/>
    <s v="Check out our latest video on instagram!"/>
    <n v="1071"/>
    <n v="519"/>
    <n v="22"/>
    <n v="16065"/>
    <n v="15865"/>
    <n v="103"/>
    <s v="SustainabilityDrive"/>
    <s v="#TeslaCoInnovation"/>
    <m/>
    <m/>
    <n v="0.10034235916588857"/>
    <n v="1612"/>
  </r>
  <r>
    <s v="P233"/>
    <x v="1"/>
    <s v="2025-03-08"/>
    <s v="Image"/>
    <s v="Check out our latest image on facebook!"/>
    <n v="2382"/>
    <n v="265"/>
    <n v="134"/>
    <n v="38112"/>
    <n v="37437"/>
    <n v="249"/>
    <s v="SustainabilityDrive"/>
    <s v="#FutureOfDriving"/>
    <m/>
    <m/>
    <n v="7.2969143576826198E-2"/>
    <n v="2781"/>
  </r>
  <r>
    <s v="P021"/>
    <x v="2"/>
    <s v="2025-01-04"/>
    <s v="Reel"/>
    <s v="Check out our latest reel on instagram!"/>
    <n v="4838"/>
    <n v="640"/>
    <n v="128"/>
    <n v="72570"/>
    <n v="72396"/>
    <n v="83"/>
    <s v="SustainabilityDrive"/>
    <s v="#FutureOfDriving"/>
    <m/>
    <m/>
    <n v="7.7249552156538517E-2"/>
    <n v="5606"/>
  </r>
  <r>
    <s v="P022"/>
    <x v="1"/>
    <s v="2025-02-27"/>
    <s v="Text"/>
    <s v="Check out our latest text on facebook!"/>
    <n v="1570"/>
    <n v="187"/>
    <n v="260"/>
    <n v="25120"/>
    <n v="24613"/>
    <n v="133"/>
    <s v="SustainabilityDrive"/>
    <s v="#TeslaCoInnovation"/>
    <m/>
    <m/>
    <n v="8.0294585987261149E-2"/>
    <n v="2017"/>
  </r>
  <r>
    <s v="P232"/>
    <x v="0"/>
    <s v="2025-04-29"/>
    <s v="Story"/>
    <s v="Check out our latest story on twitter!"/>
    <n v="249"/>
    <n v="592"/>
    <n v="230"/>
    <n v="1494"/>
    <n v="1044"/>
    <n v="201"/>
    <s v="SustainabilityDrive"/>
    <s v="#EVRevolution"/>
    <m/>
    <m/>
    <n v="0.7168674698795181"/>
    <n v="1071"/>
  </r>
  <r>
    <s v="P219"/>
    <x v="0"/>
    <s v="2025-01-28"/>
    <s v="Reel"/>
    <s v="Check out our latest reel on twitter!"/>
    <n v="1188"/>
    <n v="470"/>
    <n v="174"/>
    <n v="7128"/>
    <n v="6145"/>
    <n v="270"/>
    <s v="SustainabilityDrive"/>
    <s v="#TeslaCoInnovation"/>
    <m/>
    <m/>
    <n v="0.25701459034792368"/>
    <n v="1832"/>
  </r>
  <r>
    <s v="P218"/>
    <x v="1"/>
    <s v="2024-06-11"/>
    <s v="Carousel"/>
    <s v="Check out our latest carousel on facebook!"/>
    <n v="1869"/>
    <n v="453"/>
    <n v="490"/>
    <n v="14952"/>
    <n v="14309"/>
    <n v="275"/>
    <s v="SustainabilityDrive"/>
    <s v="#TeslaCoInnovation"/>
    <m/>
    <m/>
    <n v="0.18806848582129482"/>
    <n v="2812"/>
  </r>
  <r>
    <s v="P213"/>
    <x v="1"/>
    <s v="2025-05-01"/>
    <s v="Carousel"/>
    <s v="Check out our latest carousel on facebook!"/>
    <n v="2696"/>
    <n v="628"/>
    <n v="443"/>
    <n v="45832"/>
    <n v="45632"/>
    <n v="248"/>
    <s v="SustainabilityDrive"/>
    <s v="#EVRevolution"/>
    <m/>
    <m/>
    <n v="8.21914819340199E-2"/>
    <n v="3767"/>
  </r>
  <r>
    <s v="P027"/>
    <x v="3"/>
    <s v="2024-09-17"/>
    <s v="Text"/>
    <s v="Check out our latest text on youtube!"/>
    <n v="2076"/>
    <n v="195"/>
    <n v="104"/>
    <n v="33216"/>
    <n v="32244"/>
    <n v="51"/>
    <s v="SustainabilityDrive"/>
    <s v="#FutureOfDriving"/>
    <m/>
    <m/>
    <n v="7.1501685934489398E-2"/>
    <n v="2375"/>
  </r>
  <r>
    <s v="P028"/>
    <x v="2"/>
    <s v="2025-03-04"/>
    <s v="Video"/>
    <s v="Check out our latest video on instagram!"/>
    <n v="432"/>
    <n v="624"/>
    <n v="123"/>
    <n v="6912"/>
    <n v="6259"/>
    <n v="79"/>
    <s v="SustainabilityDrive"/>
    <s v="#FutureOfDriving"/>
    <m/>
    <m/>
    <n v="0.17057291666666666"/>
    <n v="1179"/>
  </r>
  <r>
    <s v="P211"/>
    <x v="0"/>
    <s v="2024-07-18"/>
    <s v="Carousel"/>
    <s v="Check out our latest carousel on twitter!"/>
    <n v="2120"/>
    <n v="38"/>
    <n v="212"/>
    <n v="12720"/>
    <n v="12564"/>
    <n v="21"/>
    <s v="SustainabilityDrive"/>
    <s v="#FutureOfDriving"/>
    <m/>
    <m/>
    <n v="0.18632075471698112"/>
    <n v="2370"/>
  </r>
  <r>
    <s v="P209"/>
    <x v="0"/>
    <s v="2025-03-19"/>
    <s v="Video"/>
    <s v="Check out our latest video on twitter!"/>
    <n v="3160"/>
    <n v="204"/>
    <n v="297"/>
    <n v="44240"/>
    <n v="43666"/>
    <n v="49"/>
    <s v="SustainabilityDrive"/>
    <s v="#FutureOfDriving"/>
    <s v="#AnytimeIsTeslaTime"/>
    <m/>
    <n v="8.2753164556962022E-2"/>
    <n v="3661"/>
  </r>
  <r>
    <s v="P205"/>
    <x v="0"/>
    <s v="2025-04-24"/>
    <s v="Video"/>
    <s v="Check out our latest video on twitter!"/>
    <n v="3820"/>
    <n v="697"/>
    <n v="268"/>
    <n v="45840"/>
    <n v="45631"/>
    <n v="171"/>
    <s v="SustainabilityDrive"/>
    <s v="#TeslaCoInnovation"/>
    <s v="#SmoothLikeNitroTesla"/>
    <m/>
    <n v="0.1043848167539267"/>
    <n v="4785"/>
  </r>
  <r>
    <s v="P195"/>
    <x v="2"/>
    <s v="2024-08-15"/>
    <s v="Carousel"/>
    <s v="Check out our latest carousel on instagram!"/>
    <n v="914"/>
    <n v="464"/>
    <n v="246"/>
    <n v="11882"/>
    <n v="11500"/>
    <n v="282"/>
    <s v="SustainabilityDrive"/>
    <s v="#FutureOfDriving"/>
    <s v="#TeslaCoInnovation"/>
    <s v="#AnytimeIsTeslaTime"/>
    <n v="0.13667732704931829"/>
    <n v="1624"/>
  </r>
  <r>
    <s v="P182"/>
    <x v="1"/>
    <s v="2024-07-31"/>
    <s v="Image"/>
    <s v="Check out our latest image on facebook!"/>
    <n v="4689"/>
    <n v="134"/>
    <n v="403"/>
    <n v="51579"/>
    <n v="50924"/>
    <n v="173"/>
    <s v="SustainabilityDrive"/>
    <s v="#TeslaCoInnovation"/>
    <m/>
    <m/>
    <n v="0.10132030477519921"/>
    <n v="5226"/>
  </r>
  <r>
    <s v="P178"/>
    <x v="2"/>
    <s v="2024-11-07"/>
    <s v="Video"/>
    <s v="Check out our latest video on instagram!"/>
    <n v="129"/>
    <n v="643"/>
    <n v="136"/>
    <n v="1290"/>
    <n v="839"/>
    <n v="238"/>
    <s v="SustainabilityDrive"/>
    <s v="#TeslaCoInnovation"/>
    <m/>
    <m/>
    <n v="0.70387596899224802"/>
    <n v="908"/>
  </r>
  <r>
    <s v="P175"/>
    <x v="2"/>
    <s v="2025-01-17"/>
    <s v="Reel"/>
    <s v="Check out our latest reel on instagram!"/>
    <n v="142"/>
    <n v="784"/>
    <n v="183"/>
    <n v="1704"/>
    <n v="995"/>
    <n v="154"/>
    <s v="SustainabilityDrive"/>
    <s v="#FutureOfDriving"/>
    <m/>
    <m/>
    <n v="0.6508215962441315"/>
    <n v="1109"/>
  </r>
  <r>
    <s v="P164"/>
    <x v="3"/>
    <s v="2025-02-27"/>
    <s v="Text"/>
    <s v="Check out our latest text on youtube!"/>
    <n v="4934"/>
    <n v="971"/>
    <n v="156"/>
    <n v="39472"/>
    <n v="39025"/>
    <n v="169"/>
    <s v="SustainabilityDrive"/>
    <s v="#TeslaCoInnovation"/>
    <s v="#AnytimeIsTeslaTime"/>
    <m/>
    <n v="0.15355188488042157"/>
    <n v="6061"/>
  </r>
  <r>
    <s v="P161"/>
    <x v="0"/>
    <s v="2025-02-19"/>
    <s v="Text"/>
    <s v="Check out our latest text on twitter!"/>
    <n v="4671"/>
    <n v="876"/>
    <n v="366"/>
    <n v="51381"/>
    <n v="50565"/>
    <n v="245"/>
    <s v="SustainabilityDrive"/>
    <s v="#TeslaCoInnovation"/>
    <m/>
    <m/>
    <n v="0.11508145034156594"/>
    <n v="5913"/>
  </r>
  <r>
    <s v="P038"/>
    <x v="3"/>
    <s v="2025-02-17"/>
    <s v="Reel"/>
    <s v="Check out our latest reel on youtube!"/>
    <n v="3138"/>
    <n v="123"/>
    <n v="291"/>
    <n v="28242"/>
    <n v="27550"/>
    <n v="87"/>
    <s v="SustainabilityDrive"/>
    <s v="#TeslaCoInnovation"/>
    <m/>
    <m/>
    <n v="0.12577012959422137"/>
    <n v="3552"/>
  </r>
  <r>
    <s v="P154"/>
    <x v="2"/>
    <s v="2024-10-09"/>
    <s v="Carousel"/>
    <s v="Check out our latest carousel on instagram!"/>
    <n v="985"/>
    <n v="932"/>
    <n v="287"/>
    <n v="6895"/>
    <n v="6757"/>
    <n v="64"/>
    <s v="SustainabilityDrive"/>
    <s v="#FutureOfDriving"/>
    <m/>
    <m/>
    <n v="0.31965192168237855"/>
    <n v="2204"/>
  </r>
  <r>
    <s v="P040"/>
    <x v="0"/>
    <s v="2025-03-07"/>
    <s v="Image"/>
    <s v="Check out our latest image on twitter!"/>
    <n v="4750"/>
    <n v="151"/>
    <n v="415"/>
    <n v="38000"/>
    <n v="37792"/>
    <n v="299"/>
    <s v="SustainabilityDrive"/>
    <s v="#EVRevolution"/>
    <m/>
    <m/>
    <n v="0.13989473684210527"/>
    <n v="5316"/>
  </r>
  <r>
    <s v="P041"/>
    <x v="2"/>
    <s v="2025-03-08"/>
    <s v="Reel"/>
    <s v="Check out our latest reel on instagram!"/>
    <n v="456"/>
    <n v="629"/>
    <n v="428"/>
    <n v="8208"/>
    <n v="7377"/>
    <n v="205"/>
    <s v="SustainabilityDrive"/>
    <s v="#FutureOfDriving"/>
    <m/>
    <m/>
    <n v="0.18433235867446393"/>
    <n v="1513"/>
  </r>
  <r>
    <s v="P152"/>
    <x v="1"/>
    <s v="2025-04-22"/>
    <s v="Image"/>
    <s v="Check out our latest image on facebook!"/>
    <n v="4804"/>
    <n v="550"/>
    <n v="270"/>
    <n v="28824"/>
    <n v="28370"/>
    <n v="47"/>
    <s v="SustainabilityDrive"/>
    <s v="#EVRevolution"/>
    <m/>
    <m/>
    <n v="0.19511518179295032"/>
    <n v="5624"/>
  </r>
  <r>
    <s v="P150"/>
    <x v="3"/>
    <s v="2024-08-22"/>
    <s v="Carousel"/>
    <s v="Check out our latest carousel on youtube!"/>
    <n v="4295"/>
    <n v="853"/>
    <n v="325"/>
    <n v="85900"/>
    <n v="85788"/>
    <n v="290"/>
    <s v="SustainabilityDrive"/>
    <s v="#TeslaCoInnovation"/>
    <m/>
    <m/>
    <n v="6.3713620488940623E-2"/>
    <n v="5473"/>
  </r>
  <r>
    <s v="P148"/>
    <x v="2"/>
    <s v="2025-04-15"/>
    <s v="Video"/>
    <s v="Check out our latest video on instagram!"/>
    <n v="4133"/>
    <n v="466"/>
    <n v="327"/>
    <n v="24798"/>
    <n v="24620"/>
    <n v="176"/>
    <s v="SustainabilityDrive"/>
    <s v="#EVRevolution"/>
    <m/>
    <m/>
    <n v="0.19864505202032423"/>
    <n v="4926"/>
  </r>
  <r>
    <s v="P145"/>
    <x v="2"/>
    <s v="2024-08-12"/>
    <s v="Carousel"/>
    <s v="Check out our latest carousel on instagram!"/>
    <n v="1878"/>
    <n v="62"/>
    <n v="179"/>
    <n v="37560"/>
    <n v="36874"/>
    <n v="142"/>
    <s v="SustainabilityDrive"/>
    <s v="#TeslaCoInnovation"/>
    <m/>
    <m/>
    <n v="5.6416400425985093E-2"/>
    <n v="2119"/>
  </r>
  <r>
    <s v="P046"/>
    <x v="0"/>
    <s v="2025-05-02"/>
    <s v="Video"/>
    <s v="Check out our latest video on twitter!"/>
    <n v="1108"/>
    <n v="177"/>
    <n v="212"/>
    <n v="8864"/>
    <n v="8710"/>
    <n v="97"/>
    <s v="SustainabilityDrive"/>
    <s v="#TeslaCoInnovation"/>
    <m/>
    <m/>
    <n v="0.16888537906137185"/>
    <n v="1497"/>
  </r>
  <r>
    <s v="P144"/>
    <x v="3"/>
    <s v="2024-10-28"/>
    <s v="Story"/>
    <s v="Check out our latest story on youtube!"/>
    <n v="4929"/>
    <n v="749"/>
    <n v="452"/>
    <n v="93651"/>
    <n v="92810"/>
    <n v="66"/>
    <s v="SustainabilityDrive"/>
    <s v="#EVRevolution"/>
    <m/>
    <m/>
    <n v="6.5455787978772245E-2"/>
    <n v="6130"/>
  </r>
  <r>
    <s v="P142"/>
    <x v="3"/>
    <s v="2025-03-25"/>
    <s v="Story"/>
    <s v="Check out our latest story on youtube!"/>
    <n v="2070"/>
    <n v="275"/>
    <n v="386"/>
    <n v="39330"/>
    <n v="38627"/>
    <n v="114"/>
    <s v="SustainabilityDrive"/>
    <s v="#FutureOfDriving"/>
    <m/>
    <m/>
    <n v="6.9438087973557078E-2"/>
    <n v="2731"/>
  </r>
  <r>
    <s v="P049"/>
    <x v="0"/>
    <s v="2024-06-10"/>
    <s v="Story"/>
    <s v="Check out our latest story on twitter!"/>
    <n v="2164"/>
    <n v="549"/>
    <n v="274"/>
    <n v="28132"/>
    <n v="27361"/>
    <n v="177"/>
    <s v="SustainabilityDrive"/>
    <s v="#TeslaCoInnovation"/>
    <m/>
    <m/>
    <n v="0.10617801791554102"/>
    <n v="2987"/>
  </r>
  <r>
    <s v="P136"/>
    <x v="2"/>
    <s v="2024-07-11"/>
    <s v="Text"/>
    <s v="Check out our latest text on instagram!"/>
    <n v="3134"/>
    <n v="888"/>
    <n v="444"/>
    <n v="21938"/>
    <n v="21337"/>
    <n v="130"/>
    <s v="SustainabilityDrive"/>
    <s v="#EVRevolution"/>
    <m/>
    <m/>
    <n v="0.20357370772176134"/>
    <n v="4466"/>
  </r>
  <r>
    <s v="P135"/>
    <x v="1"/>
    <s v="2024-11-28"/>
    <s v="Text"/>
    <s v="Check out our latest text on facebook!"/>
    <n v="4213"/>
    <n v="253"/>
    <n v="434"/>
    <n v="75834"/>
    <n v="75437"/>
    <n v="272"/>
    <s v="SustainabilityDrive"/>
    <s v="#FutureOfDriving"/>
    <m/>
    <m/>
    <n v="6.461481657304112E-2"/>
    <n v="4900"/>
  </r>
  <r>
    <s v="P052"/>
    <x v="1"/>
    <s v="2025-01-03"/>
    <s v="Image"/>
    <s v="Check out our latest image on facebook!"/>
    <n v="947"/>
    <n v="338"/>
    <n v="350"/>
    <n v="10417"/>
    <n v="9730"/>
    <n v="34"/>
    <s v="SustainabilityDrive"/>
    <s v="#TeslaCoInnovation"/>
    <m/>
    <m/>
    <n v="0.1569549774407219"/>
    <n v="1635"/>
  </r>
  <r>
    <s v="P133"/>
    <x v="1"/>
    <s v="2025-02-06"/>
    <s v="Image"/>
    <s v="Check out our latest image on facebook!"/>
    <n v="2072"/>
    <n v="532"/>
    <n v="71"/>
    <n v="37296"/>
    <n v="36467"/>
    <n v="25"/>
    <s v="SustainabilityDrive"/>
    <s v="#TeslaCoInnovation"/>
    <m/>
    <m/>
    <n v="7.172350922350923E-2"/>
    <n v="2675"/>
  </r>
  <r>
    <s v="P130"/>
    <x v="3"/>
    <s v="2024-09-29"/>
    <s v="Reel"/>
    <s v="Check out our latest reel on youtube!"/>
    <n v="2936"/>
    <n v="439"/>
    <n v="44"/>
    <n v="38168"/>
    <n v="37571"/>
    <n v="22"/>
    <s v="SustainabilityDrive"/>
    <s v="#EVRevolution"/>
    <m/>
    <m/>
    <n v="8.9577656675749323E-2"/>
    <n v="3419"/>
  </r>
  <r>
    <s v="P055"/>
    <x v="1"/>
    <s v="2024-06-17"/>
    <s v="Image"/>
    <s v="Check out our latest image on facebook!"/>
    <n v="1226"/>
    <n v="119"/>
    <n v="7"/>
    <n v="14712"/>
    <n v="14049"/>
    <n v="123"/>
    <s v="SustainabilityDrive"/>
    <s v="#EVRevolution"/>
    <m/>
    <m/>
    <n v="9.1897770527460579E-2"/>
    <n v="1352"/>
  </r>
  <r>
    <s v="P125"/>
    <x v="0"/>
    <s v="2024-09-08"/>
    <s v="Carousel"/>
    <s v="Check out our latest carousel on twitter!"/>
    <n v="3811"/>
    <n v="866"/>
    <n v="216"/>
    <n v="34299"/>
    <n v="34088"/>
    <n v="233"/>
    <s v="SustainabilityDrive"/>
    <s v="#TeslaCoInnovation"/>
    <m/>
    <m/>
    <n v="0.14265722032712325"/>
    <n v="4893"/>
  </r>
  <r>
    <s v="P117"/>
    <x v="0"/>
    <s v="2024-11-04"/>
    <s v="Image"/>
    <s v="Check out our latest image on twitter!"/>
    <n v="1606"/>
    <n v="451"/>
    <n v="405"/>
    <n v="20878"/>
    <n v="20190"/>
    <n v="219"/>
    <s v="SustainabilityDrive"/>
    <s v="#EVRevolution"/>
    <m/>
    <m/>
    <n v="0.11792317271769326"/>
    <n v="2462"/>
  </r>
  <r>
    <s v="P058"/>
    <x v="2"/>
    <s v="2025-04-15"/>
    <s v="Reel"/>
    <s v="Check out our latest reel on instagram!"/>
    <n v="103"/>
    <n v="770"/>
    <n v="19"/>
    <n v="1030"/>
    <n v="410"/>
    <n v="262"/>
    <s v="SustainabilityDrive"/>
    <s v="#TeslaCoInnovation"/>
    <m/>
    <m/>
    <n v="0.86601941747572819"/>
    <n v="892"/>
  </r>
  <r>
    <s v="P115"/>
    <x v="0"/>
    <s v="2025-05-11"/>
    <s v="Image"/>
    <s v="Check out our latest image on twitter!"/>
    <n v="2493"/>
    <n v="97"/>
    <n v="44"/>
    <n v="42381"/>
    <n v="41991"/>
    <n v="242"/>
    <s v="SustainabilityDrive"/>
    <s v="#TeslaCoInnovation"/>
    <s v="#AnytimeIsTeslaTime"/>
    <m/>
    <n v="6.2150491965739366E-2"/>
    <n v="2634"/>
  </r>
  <r>
    <s v="P106"/>
    <x v="2"/>
    <s v="2025-02-04"/>
    <s v="Image"/>
    <s v="Check out our latest image on instagram!"/>
    <n v="4619"/>
    <n v="821"/>
    <n v="499"/>
    <n v="69285"/>
    <n v="69141"/>
    <n v="298"/>
    <s v="SustainabilityDrive"/>
    <s v="#TeslaCoInnovation"/>
    <m/>
    <m/>
    <n v="8.5718409468138843E-2"/>
    <n v="5939"/>
  </r>
  <r>
    <s v="P098"/>
    <x v="0"/>
    <s v="2024-06-10"/>
    <s v="Story"/>
    <s v="Check out our latest story on twitter!"/>
    <n v="1575"/>
    <n v="771"/>
    <n v="486"/>
    <n v="25200"/>
    <n v="24826"/>
    <n v="17"/>
    <s v="SustainabilityDrive"/>
    <s v="#FutureOfDriving"/>
    <m/>
    <m/>
    <n v="0.11238095238095239"/>
    <n v="2832"/>
  </r>
  <r>
    <s v="P095"/>
    <x v="2"/>
    <s v="2024-11-08"/>
    <s v="Text"/>
    <s v="Check out our latest text on instagram!"/>
    <n v="3182"/>
    <n v="559"/>
    <n v="160"/>
    <n v="57276"/>
    <n v="56890"/>
    <n v="163"/>
    <s v="SustainabilityDrive"/>
    <s v="#FutureOfDriving"/>
    <m/>
    <m/>
    <n v="6.8108806480899509E-2"/>
    <n v="3901"/>
  </r>
  <r>
    <s v="P091"/>
    <x v="1"/>
    <s v="2025-03-24"/>
    <s v="Image"/>
    <s v="Check out our latest image on facebook!"/>
    <n v="1263"/>
    <n v="397"/>
    <n v="357"/>
    <n v="25260"/>
    <n v="24615"/>
    <n v="137"/>
    <s v="SustainabilityDrive"/>
    <s v="#EVRevolution"/>
    <m/>
    <m/>
    <n v="7.984956452889945E-2"/>
    <n v="2017"/>
  </r>
  <r>
    <s v="P090"/>
    <x v="2"/>
    <s v="2024-06-03"/>
    <s v="Image"/>
    <s v="Check out our latest image on instagram!"/>
    <n v="3861"/>
    <n v="960"/>
    <n v="101"/>
    <n v="69498"/>
    <n v="68817"/>
    <n v="297"/>
    <s v="SustainabilityDrive"/>
    <s v="#TeslaCoInnovation"/>
    <m/>
    <m/>
    <n v="7.0822181933293038E-2"/>
    <n v="4922"/>
  </r>
  <r>
    <s v="P088"/>
    <x v="1"/>
    <s v="2024-07-07"/>
    <s v="Story"/>
    <s v="Check out our latest story on facebook!"/>
    <n v="302"/>
    <n v="47"/>
    <n v="430"/>
    <n v="5738"/>
    <n v="4890"/>
    <n v="25"/>
    <s v="SustainabilityDrive"/>
    <s v="#TeslaCoInnovation"/>
    <m/>
    <m/>
    <n v="0.13576158940397351"/>
    <n v="779"/>
  </r>
  <r>
    <s v="P086"/>
    <x v="3"/>
    <s v="2025-01-27"/>
    <s v="Text"/>
    <s v="Check out our latest text on youtube!"/>
    <n v="3428"/>
    <n v="305"/>
    <n v="85"/>
    <n v="58276"/>
    <n v="58052"/>
    <n v="242"/>
    <s v="SustainabilityDrive"/>
    <s v="#EVRevolution"/>
    <s v="#BetterWithTesla"/>
    <m/>
    <n v="6.5515821264328367E-2"/>
    <n v="3818"/>
  </r>
  <r>
    <s v="P084"/>
    <x v="1"/>
    <s v="2024-12-09"/>
    <s v="Image"/>
    <s v="Check out our latest image on facebook!"/>
    <n v="1841"/>
    <n v="851"/>
    <n v="342"/>
    <n v="34979"/>
    <n v="34154"/>
    <n v="255"/>
    <s v="SustainabilityDrive"/>
    <s v="#FutureOfDriving"/>
    <m/>
    <m/>
    <n v="8.6737756939878216E-2"/>
    <n v="3034"/>
  </r>
  <r>
    <s v="P078"/>
    <x v="0"/>
    <s v="2024-06-17"/>
    <s v="Image"/>
    <s v="Check out our latest image on twitter!"/>
    <n v="954"/>
    <n v="324"/>
    <n v="288"/>
    <n v="19080"/>
    <n v="18859"/>
    <n v="21"/>
    <s v="SustainabilityDrive"/>
    <s v="#FutureOfDriving"/>
    <m/>
    <m/>
    <n v="8.2075471698113203E-2"/>
    <n v="1566"/>
  </r>
  <r>
    <s v="P076"/>
    <x v="0"/>
    <s v="2024-11-07"/>
    <s v="Story"/>
    <s v="Check out our latest story on twitter!"/>
    <n v="1121"/>
    <n v="135"/>
    <n v="18"/>
    <n v="15694"/>
    <n v="14957"/>
    <n v="99"/>
    <s v="SustainabilityDrive"/>
    <s v="#TeslaCoInnovation"/>
    <m/>
    <m/>
    <n v="8.1177520071364848E-2"/>
    <n v="1274"/>
  </r>
  <r>
    <s v="P075"/>
    <x v="2"/>
    <s v="2024-08-01"/>
    <s v="Reel"/>
    <s v="Check out our latest reel on instagram!"/>
    <n v="1674"/>
    <n v="929"/>
    <n v="37"/>
    <n v="21762"/>
    <n v="20998"/>
    <n v="255"/>
    <s v="SustainabilityDrive"/>
    <s v="#TeslaCoInnovation"/>
    <m/>
    <m/>
    <n v="0.12131237937689551"/>
    <n v="2640"/>
  </r>
  <r>
    <s v="P073"/>
    <x v="1"/>
    <s v="2024-10-18"/>
    <s v="Story"/>
    <s v="Check out our latest story on facebook!"/>
    <n v="4126"/>
    <n v="426"/>
    <n v="486"/>
    <n v="78394"/>
    <n v="77798"/>
    <n v="88"/>
    <s v="SustainabilityDrive"/>
    <s v="#FutureOfDriving"/>
    <m/>
    <m/>
    <n v="6.4265122330790625E-2"/>
    <n v="503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BA34CE-449C-4245-8899-E6B59F0049E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8" firstHeaderRow="0" firstDataRow="1" firstDataCol="1"/>
  <pivotFields count="16">
    <pivotField showAll="0"/>
    <pivotField axis="axisRow" showAll="0">
      <items count="5">
        <item x="0"/>
        <item x="1"/>
        <item x="2"/>
        <item x="3"/>
        <item t="default"/>
      </items>
    </pivotField>
    <pivotField showAll="0"/>
    <pivotField showAll="0">
      <items count="7">
        <item h="1" x="0"/>
        <item h="1" x="2"/>
        <item h="1" x="3"/>
        <item h="1" x="4"/>
        <item h="1" x="1"/>
        <item x="5"/>
        <item t="default"/>
      </items>
    </pivotField>
    <pivotField showAll="0"/>
    <pivotField dataField="1" numFmtId="1" showAll="0"/>
    <pivotField dataField="1" numFmtId="1" showAll="0"/>
    <pivotField dataField="1" numFmtId="1" showAll="0"/>
    <pivotField numFmtId="1" showAll="0"/>
    <pivotField numFmtId="1" showAll="0"/>
    <pivotField numFmtId="1" showAll="0"/>
    <pivotField showAll="0"/>
    <pivotField showAll="0"/>
    <pivotField showAll="0"/>
    <pivotField showAll="0"/>
    <pivotField numFmtId="10" showAll="0"/>
  </pivotFields>
  <rowFields count="1">
    <field x="1"/>
  </rowFields>
  <rowItems count="5">
    <i>
      <x/>
    </i>
    <i>
      <x v="1"/>
    </i>
    <i>
      <x v="2"/>
    </i>
    <i>
      <x v="3"/>
    </i>
    <i t="grand">
      <x/>
    </i>
  </rowItems>
  <colFields count="1">
    <field x="-2"/>
  </colFields>
  <colItems count="3">
    <i>
      <x/>
    </i>
    <i i="1">
      <x v="1"/>
    </i>
    <i i="2">
      <x v="2"/>
    </i>
  </colItems>
  <dataFields count="3">
    <dataField name="Sum of Likes" fld="5" baseField="0" baseItem="0" numFmtId="1"/>
    <dataField name="Sum of Shares" fld="6" baseField="0" baseItem="0" numFmtId="1"/>
    <dataField name="Sum of Comments" fld="7"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9E49066-1588-4A9F-A1D8-3AA439DC975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C6" firstHeaderRow="0" firstDataRow="1" firstDataCol="0"/>
  <pivotFields count="16">
    <pivotField dataField="1" showAll="0"/>
    <pivotField showAll="0"/>
    <pivotField showAll="0"/>
    <pivotField showAll="0"/>
    <pivotField showAll="0"/>
    <pivotField numFmtId="1" showAll="0"/>
    <pivotField numFmtId="1" showAll="0"/>
    <pivotField numFmtId="1" showAll="0"/>
    <pivotField numFmtId="1" showAll="0"/>
    <pivotField numFmtId="1" showAll="0"/>
    <pivotField dataField="1" numFmtId="1" showAll="0"/>
    <pivotField showAll="0"/>
    <pivotField showAll="0">
      <items count="4">
        <item x="2"/>
        <item x="1"/>
        <item x="0"/>
        <item t="default"/>
      </items>
    </pivotField>
    <pivotField showAll="0">
      <items count="7">
        <item x="1"/>
        <item x="5"/>
        <item x="3"/>
        <item x="2"/>
        <item x="4"/>
        <item x="0"/>
        <item t="default"/>
      </items>
    </pivotField>
    <pivotField showAll="0">
      <items count="5">
        <item x="3"/>
        <item x="2"/>
        <item x="1"/>
        <item x="0"/>
        <item t="default"/>
      </items>
    </pivotField>
    <pivotField numFmtId="10" showAll="0"/>
  </pivotFields>
  <rowItems count="1">
    <i/>
  </rowItems>
  <colFields count="1">
    <field x="-2"/>
  </colFields>
  <colItems count="3">
    <i>
      <x/>
    </i>
    <i i="1">
      <x v="1"/>
    </i>
    <i i="2">
      <x v="2"/>
    </i>
  </colItems>
  <dataFields count="3">
    <dataField name="Average  Clicks" fld="10" subtotal="average" baseField="12" baseItem="0" numFmtId="1"/>
    <dataField name="Total posts " fld="0" subtotal="count" baseField="12" baseItem="0"/>
    <dataField name="Total Clicks " fld="10" baseField="12"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38F805D-501F-4501-8512-5D9DFD2CC999}"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17">
    <pivotField showAll="0"/>
    <pivotField axis="axisRow" showAll="0">
      <items count="5">
        <item x="3"/>
        <item x="2"/>
        <item x="0"/>
        <item x="1"/>
        <item t="default"/>
      </items>
    </pivotField>
    <pivotField showAll="0"/>
    <pivotField showAll="0"/>
    <pivotField showAll="0"/>
    <pivotField numFmtId="1" showAll="0"/>
    <pivotField numFmtId="1" showAll="0"/>
    <pivotField numFmtId="1" showAll="0"/>
    <pivotField numFmtId="1" showAll="0"/>
    <pivotField numFmtId="1" showAll="0"/>
    <pivotField numFmtId="1" showAll="0"/>
    <pivotField showAll="0"/>
    <pivotField showAll="0"/>
    <pivotField showAll="0"/>
    <pivotField showAll="0"/>
    <pivotField numFmtId="10" showAll="0"/>
    <pivotField dataField="1" numFmtId="1" showAll="0"/>
  </pivotFields>
  <rowFields count="1">
    <field x="1"/>
  </rowFields>
  <rowItems count="5">
    <i>
      <x/>
    </i>
    <i>
      <x v="1"/>
    </i>
    <i>
      <x v="2"/>
    </i>
    <i>
      <x v="3"/>
    </i>
    <i t="grand">
      <x/>
    </i>
  </rowItems>
  <colItems count="1">
    <i/>
  </colItems>
  <dataFields count="1">
    <dataField name="Sum of Engagement " fld="16"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D7F461F-E5E2-4DC0-A382-BE0B0F90A47B}" name="PivotTable6"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8">
    <pivotField showAll="0"/>
    <pivotField axis="axisRow" showAll="0">
      <items count="5">
        <item x="1"/>
        <item x="0"/>
        <item x="2"/>
        <item x="3"/>
        <item t="default"/>
      </items>
    </pivotField>
    <pivotField showAll="0"/>
    <pivotField showAll="0"/>
    <pivotField showAll="0"/>
    <pivotField showAll="0"/>
    <pivotField numFmtId="164" showAll="0"/>
    <pivotField dataField="1" numFmtId="10" showAll="0"/>
  </pivotFields>
  <rowFields count="1">
    <field x="1"/>
  </rowFields>
  <rowItems count="5">
    <i>
      <x/>
    </i>
    <i>
      <x v="1"/>
    </i>
    <i>
      <x v="2"/>
    </i>
    <i>
      <x v="3"/>
    </i>
    <i t="grand">
      <x/>
    </i>
  </rowItems>
  <colItems count="1">
    <i/>
  </colItems>
  <dataFields count="1">
    <dataField name="Average of Follower Growth Rate " fld="7" subtotal="average" baseField="1"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8C414F5-8D4A-4204-99FC-B68B4D691E45}"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8" firstHeaderRow="1" firstDataRow="1" firstDataCol="1"/>
  <pivotFields count="8">
    <pivotField showAll="0"/>
    <pivotField axis="axisRow" showAll="0">
      <items count="5">
        <item x="0"/>
        <item x="3"/>
        <item x="1"/>
        <item x="2"/>
        <item t="default"/>
      </items>
    </pivotField>
    <pivotField showAll="0"/>
    <pivotField showAll="0"/>
    <pivotField showAll="0"/>
    <pivotField showAll="0"/>
    <pivotField dataField="1" numFmtId="164" showAll="0"/>
    <pivotField numFmtId="10" showAll="0"/>
  </pivotFields>
  <rowFields count="1">
    <field x="1"/>
  </rowFields>
  <rowItems count="5">
    <i>
      <x/>
    </i>
    <i>
      <x v="1"/>
    </i>
    <i>
      <x v="2"/>
    </i>
    <i>
      <x v="3"/>
    </i>
    <i t="grand">
      <x/>
    </i>
  </rowItems>
  <colItems count="1">
    <i/>
  </colItems>
  <dataFields count="1">
    <dataField name="Average of ad spend " fld="6" subtotal="average" baseField="1" baseItem="0" numFmtId="166"/>
  </dataFields>
  <formats count="1">
    <format dxfId="5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794B508-603B-48DA-BCEA-6FC39FC91391}"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17">
    <pivotField showAll="0"/>
    <pivotField axis="axisRow" showAll="0">
      <items count="5">
        <item x="3"/>
        <item x="2"/>
        <item x="0"/>
        <item x="1"/>
        <item t="default"/>
      </items>
    </pivotField>
    <pivotField showAll="0"/>
    <pivotField showAll="0"/>
    <pivotField showAll="0"/>
    <pivotField numFmtId="1" showAll="0"/>
    <pivotField numFmtId="1" showAll="0"/>
    <pivotField numFmtId="1" showAll="0"/>
    <pivotField numFmtId="1" showAll="0"/>
    <pivotField numFmtId="1" showAll="0"/>
    <pivotField numFmtId="1" showAll="0"/>
    <pivotField showAll="0"/>
    <pivotField showAll="0"/>
    <pivotField showAll="0"/>
    <pivotField showAll="0"/>
    <pivotField numFmtId="10" showAll="0"/>
    <pivotField dataField="1" numFmtId="1" showAll="0"/>
  </pivotFields>
  <rowFields count="1">
    <field x="1"/>
  </rowFields>
  <rowItems count="5">
    <i>
      <x/>
    </i>
    <i>
      <x v="1"/>
    </i>
    <i>
      <x v="2"/>
    </i>
    <i>
      <x v="3"/>
    </i>
    <i t="grand">
      <x/>
    </i>
  </rowItems>
  <colItems count="1">
    <i/>
  </colItems>
  <dataFields count="1">
    <dataField name="Average of Engagement " fld="16" subtotal="average" baseField="1"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0F87450-8989-465F-A024-60E5236AEA9C}" name="PivotTable9"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E6" firstHeaderRow="1" firstDataRow="1" firstDataCol="1"/>
  <pivotFields count="8">
    <pivotField showAll="0"/>
    <pivotField axis="axisRow" showAll="0">
      <items count="5">
        <item x="1"/>
        <item x="0"/>
        <item x="2"/>
        <item x="3"/>
        <item t="default"/>
      </items>
    </pivotField>
    <pivotField showAll="0"/>
    <pivotField showAll="0"/>
    <pivotField showAll="0"/>
    <pivotField showAll="0"/>
    <pivotField dataField="1" numFmtId="164" showAll="0"/>
    <pivotField numFmtId="10" showAll="0"/>
  </pivotFields>
  <rowFields count="1">
    <field x="1"/>
  </rowFields>
  <rowItems count="5">
    <i>
      <x/>
    </i>
    <i>
      <x v="1"/>
    </i>
    <i>
      <x v="2"/>
    </i>
    <i>
      <x v="3"/>
    </i>
    <i t="grand">
      <x/>
    </i>
  </rowItems>
  <colItems count="1">
    <i/>
  </colItems>
  <dataFields count="1">
    <dataField name="Average of Ad_Spend" fld="6" subtotal="average" baseField="1" baseItem="0" numFmtId="166"/>
  </dataFields>
  <formats count="7">
    <format dxfId="47">
      <pivotArea outline="0" collapsedLevelsAreSubtotals="1" fieldPosition="0"/>
    </format>
    <format dxfId="46">
      <pivotArea type="all" dataOnly="0" outline="0" fieldPosition="0"/>
    </format>
    <format dxfId="45">
      <pivotArea outline="0" collapsedLevelsAreSubtotals="1" fieldPosition="0"/>
    </format>
    <format dxfId="44">
      <pivotArea field="1" type="button" dataOnly="0" labelOnly="1" outline="0" axis="axisRow" fieldPosition="0"/>
    </format>
    <format dxfId="43">
      <pivotArea dataOnly="0" labelOnly="1" fieldPosition="0">
        <references count="1">
          <reference field="1" count="0"/>
        </references>
      </pivotArea>
    </format>
    <format dxfId="42">
      <pivotArea dataOnly="0" labelOnly="1" grandRow="1" outline="0" fieldPosition="0"/>
    </format>
    <format dxfId="4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2EDF7C0-ADBB-48BF-817C-FBF19614C17C}"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6" firstHeaderRow="1" firstDataRow="1" firstDataCol="1"/>
  <pivotFields count="16">
    <pivotField axis="axisRow" showAll="0">
      <items count="5">
        <item x="3"/>
        <item x="2"/>
        <item x="0"/>
        <item x="1"/>
        <item t="default"/>
      </items>
    </pivotField>
    <pivotField showAll="0"/>
    <pivotField showAll="0"/>
    <pivotField showAll="0"/>
    <pivotField numFmtId="1" showAll="0"/>
    <pivotField numFmtId="1" showAll="0"/>
    <pivotField numFmtId="1" showAll="0"/>
    <pivotField numFmtId="1" showAll="0"/>
    <pivotField numFmtId="1" showAll="0"/>
    <pivotField numFmtId="1" showAll="0"/>
    <pivotField showAll="0"/>
    <pivotField showAll="0"/>
    <pivotField showAll="0"/>
    <pivotField showAll="0"/>
    <pivotField numFmtId="10" showAll="0"/>
    <pivotField dataField="1" numFmtId="1" showAll="0"/>
  </pivotFields>
  <rowFields count="1">
    <field x="0"/>
  </rowFields>
  <rowItems count="5">
    <i>
      <x/>
    </i>
    <i>
      <x v="1"/>
    </i>
    <i>
      <x v="2"/>
    </i>
    <i>
      <x v="3"/>
    </i>
    <i t="grand">
      <x/>
    </i>
  </rowItems>
  <colItems count="1">
    <i/>
  </colItems>
  <dataFields count="1">
    <dataField name="Average of Engagement " fld="15" subtotal="average" baseField="0" baseItem="0" numFmtId="1"/>
  </dataFields>
  <formats count="6">
    <format dxfId="53">
      <pivotArea type="all" dataOnly="0" outline="0" fieldPosition="0"/>
    </format>
    <format dxfId="52">
      <pivotArea outline="0" collapsedLevelsAreSubtotals="1" fieldPosition="0"/>
    </format>
    <format dxfId="51">
      <pivotArea field="0" type="button" dataOnly="0" labelOnly="1" outline="0" axis="axisRow" fieldPosition="0"/>
    </format>
    <format dxfId="50">
      <pivotArea dataOnly="0" labelOnly="1" fieldPosition="0">
        <references count="1">
          <reference field="0" count="0"/>
        </references>
      </pivotArea>
    </format>
    <format dxfId="49">
      <pivotArea dataOnly="0" labelOnly="1" grandRow="1" outline="0" fieldPosition="0"/>
    </format>
    <format dxfId="4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D3DD454-D96E-4041-ADA8-F0BCE8A8B41C}" name="PivotTable16"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F9" firstHeaderRow="0" firstDataRow="1" firstDataCol="1"/>
  <pivotFields count="9">
    <pivotField axis="axisRow" showAll="0">
      <items count="8">
        <item x="3"/>
        <item x="4"/>
        <item x="2"/>
        <item x="0"/>
        <item x="6"/>
        <item x="1"/>
        <item h="1" x="5"/>
        <item t="default"/>
      </items>
    </pivotField>
    <pivotField dataField="1" numFmtId="1" showAll="0"/>
    <pivotField dataField="1" numFmtId="1" showAll="0"/>
    <pivotField dataField="1" numFmtId="1" showAll="0"/>
    <pivotField dataField="1" numFmtId="1" showAll="0"/>
    <pivotField dataField="1" numFmtId="1" showAll="0"/>
    <pivotField numFmtId="1" showAll="0"/>
    <pivotField numFmtId="10" showAll="0"/>
    <pivotField numFmtId="1" showAll="0"/>
  </pivotFields>
  <rowFields count="1">
    <field x="0"/>
  </rowFields>
  <rowItems count="6">
    <i>
      <x/>
    </i>
    <i>
      <x v="1"/>
    </i>
    <i>
      <x v="2"/>
    </i>
    <i>
      <x v="3"/>
    </i>
    <i>
      <x v="4"/>
    </i>
    <i>
      <x v="5"/>
    </i>
  </rowItems>
  <colFields count="1">
    <field x="-2"/>
  </colFields>
  <colItems count="5">
    <i>
      <x/>
    </i>
    <i i="1">
      <x v="1"/>
    </i>
    <i i="2">
      <x v="2"/>
    </i>
    <i i="3">
      <x v="3"/>
    </i>
    <i i="4">
      <x v="4"/>
    </i>
  </colItems>
  <dataFields count="5">
    <dataField name="Average of Likes" fld="1" subtotal="average" baseField="0" baseItem="0" numFmtId="1"/>
    <dataField name="Average of Shares" fld="2" subtotal="average" baseField="0" baseItem="0" numFmtId="1"/>
    <dataField name="Average of Reach" fld="5" subtotal="average" baseField="0" baseItem="0" numFmtId="1"/>
    <dataField name="Average of Comments" fld="3" subtotal="average" baseField="0" baseItem="0" numFmtId="1"/>
    <dataField name="Average of Impressions" fld="4" subtotal="average" baseField="0" baseItem="0" numFmtId="1"/>
  </dataFields>
  <formats count="11">
    <format dxfId="40">
      <pivotArea type="all" dataOnly="0" outline="0" fieldPosition="0"/>
    </format>
    <format dxfId="39">
      <pivotArea outline="0" collapsedLevelsAreSubtotals="1" fieldPosition="0"/>
    </format>
    <format dxfId="38">
      <pivotArea field="0" type="button" dataOnly="0" labelOnly="1" outline="0" axis="axisRow" fieldPosition="0"/>
    </format>
    <format dxfId="37">
      <pivotArea dataOnly="0" labelOnly="1" fieldPosition="0">
        <references count="1">
          <reference field="0" count="0"/>
        </references>
      </pivotArea>
    </format>
    <format dxfId="36">
      <pivotArea dataOnly="0" labelOnly="1" grandRow="1" outline="0" fieldPosition="0"/>
    </format>
    <format dxfId="35">
      <pivotArea dataOnly="0" labelOnly="1" outline="0" fieldPosition="0">
        <references count="1">
          <reference field="4294967294" count="5">
            <x v="0"/>
            <x v="1"/>
            <x v="2"/>
            <x v="3"/>
            <x v="4"/>
          </reference>
        </references>
      </pivotArea>
    </format>
    <format dxfId="34">
      <pivotArea type="all" dataOnly="0" outline="0" fieldPosition="0"/>
    </format>
    <format dxfId="33">
      <pivotArea field="0" type="button" dataOnly="0" labelOnly="1" outline="0" axis="axisRow" fieldPosition="0"/>
    </format>
    <format dxfId="32">
      <pivotArea dataOnly="0" labelOnly="1" fieldPosition="0">
        <references count="1">
          <reference field="0" count="0"/>
        </references>
      </pivotArea>
    </format>
    <format dxfId="31">
      <pivotArea outline="0" collapsedLevelsAreSubtotals="1" fieldPosition="0"/>
    </format>
    <format dxfId="30">
      <pivotArea dataOnly="0" labelOnly="1" outline="0" fieldPosition="0">
        <references count="1">
          <reference field="4294967294" count="5">
            <x v="0"/>
            <x v="1"/>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65EEDF6-7A64-493A-90B5-4AD14EF7D048}" name="PivotTable18"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H10" firstHeaderRow="0" firstDataRow="1" firstDataCol="1"/>
  <pivotFields count="17">
    <pivotField showAll="0"/>
    <pivotField showAll="0"/>
    <pivotField showAll="0"/>
    <pivotField axis="axisRow" showAll="0">
      <items count="7">
        <item x="3"/>
        <item x="4"/>
        <item x="0"/>
        <item x="2"/>
        <item x="1"/>
        <item x="5"/>
        <item t="default"/>
      </items>
    </pivotField>
    <pivotField showAll="0"/>
    <pivotField dataField="1" numFmtId="1" showAll="0"/>
    <pivotField dataField="1" numFmtId="1" showAll="0"/>
    <pivotField dataField="1" numFmtId="1" showAll="0"/>
    <pivotField dataField="1" numFmtId="1" showAll="0"/>
    <pivotField dataField="1" numFmtId="1" showAll="0"/>
    <pivotField numFmtId="1" showAll="0"/>
    <pivotField showAll="0"/>
    <pivotField showAll="0"/>
    <pivotField showAll="0"/>
    <pivotField showAll="0"/>
    <pivotField dataField="1" numFmtId="10" showAll="0"/>
    <pivotField dataField="1" numFmtId="1" showAll="0"/>
  </pivotFields>
  <rowFields count="1">
    <field x="3"/>
  </rowFields>
  <rowItems count="7">
    <i>
      <x/>
    </i>
    <i>
      <x v="1"/>
    </i>
    <i>
      <x v="2"/>
    </i>
    <i>
      <x v="3"/>
    </i>
    <i>
      <x v="4"/>
    </i>
    <i>
      <x v="5"/>
    </i>
    <i t="grand">
      <x/>
    </i>
  </rowItems>
  <colFields count="1">
    <field x="-2"/>
  </colFields>
  <colItems count="7">
    <i>
      <x/>
    </i>
    <i i="1">
      <x v="1"/>
    </i>
    <i i="2">
      <x v="2"/>
    </i>
    <i i="3">
      <x v="3"/>
    </i>
    <i i="4">
      <x v="4"/>
    </i>
    <i i="5">
      <x v="5"/>
    </i>
    <i i="6">
      <x v="6"/>
    </i>
  </colItems>
  <dataFields count="7">
    <dataField name="Average of Likes" fld="5" subtotal="average" baseField="3" baseItem="0" numFmtId="1"/>
    <dataField name="Average of Shares" fld="6" subtotal="average" baseField="3" baseItem="1" numFmtId="1"/>
    <dataField name="Average of Comments" fld="7" subtotal="average" baseField="3" baseItem="0" numFmtId="1"/>
    <dataField name="Average of Reach" fld="9" subtotal="average" baseField="3" baseItem="0" numFmtId="1"/>
    <dataField name="Average of Impressions" fld="8" subtotal="average" baseField="3" baseItem="0" numFmtId="1"/>
    <dataField name="Average of Engagement " fld="16" subtotal="average" baseField="3" baseItem="0" numFmtId="1"/>
    <dataField name="Average of Engagement rate " fld="15" subtotal="average" baseField="3" baseItem="0" numFmtId="10"/>
  </dataFields>
  <formats count="6">
    <format dxfId="29">
      <pivotArea type="all" dataOnly="0" outline="0" fieldPosition="0"/>
    </format>
    <format dxfId="28">
      <pivotArea outline="0" collapsedLevelsAreSubtotals="1" fieldPosition="0"/>
    </format>
    <format dxfId="27">
      <pivotArea field="3" type="button" dataOnly="0" labelOnly="1" outline="0" axis="axisRow" fieldPosition="0"/>
    </format>
    <format dxfId="26">
      <pivotArea dataOnly="0" labelOnly="1" fieldPosition="0">
        <references count="1">
          <reference field="3" count="0"/>
        </references>
      </pivotArea>
    </format>
    <format dxfId="25">
      <pivotArea dataOnly="0" labelOnly="1" grandRow="1" outline="0" fieldPosition="0"/>
    </format>
    <format dxfId="24">
      <pivotArea dataOnly="0" labelOnly="1" outline="0" fieldPosition="0">
        <references count="1">
          <reference field="4294967294" count="5">
            <x v="1"/>
            <x v="2"/>
            <x v="3"/>
            <x v="4"/>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C8B7099-F886-4DCE-AAAD-1B245A01DBCA}" name="PivotTable19" cacheId="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G8" firstHeaderRow="1" firstDataRow="2" firstDataCol="1"/>
  <pivotFields count="17">
    <pivotField showAll="0"/>
    <pivotField axis="axisRow" showAll="0">
      <items count="5">
        <item x="3"/>
        <item x="2"/>
        <item x="0"/>
        <item x="1"/>
        <item t="default"/>
      </items>
    </pivotField>
    <pivotField showAll="0"/>
    <pivotField axis="axisCol" showAll="0">
      <items count="7">
        <item x="3"/>
        <item x="4"/>
        <item x="0"/>
        <item x="2"/>
        <item x="1"/>
        <item x="5"/>
        <item t="default"/>
      </items>
    </pivotField>
    <pivotField showAll="0"/>
    <pivotField numFmtId="1" showAll="0"/>
    <pivotField numFmtId="1" showAll="0"/>
    <pivotField numFmtId="1" showAll="0"/>
    <pivotField numFmtId="1" showAll="0"/>
    <pivotField numFmtId="1" showAll="0"/>
    <pivotField numFmtId="1" showAll="0"/>
    <pivotField showAll="0"/>
    <pivotField showAll="0"/>
    <pivotField showAll="0"/>
    <pivotField showAll="0"/>
    <pivotField numFmtId="10" showAll="0"/>
    <pivotField dataField="1" numFmtId="1" showAll="0"/>
  </pivotFields>
  <rowFields count="1">
    <field x="1"/>
  </rowFields>
  <rowItems count="4">
    <i>
      <x/>
    </i>
    <i>
      <x v="1"/>
    </i>
    <i>
      <x v="2"/>
    </i>
    <i>
      <x v="3"/>
    </i>
  </rowItems>
  <colFields count="1">
    <field x="3"/>
  </colFields>
  <colItems count="6">
    <i>
      <x/>
    </i>
    <i>
      <x v="1"/>
    </i>
    <i>
      <x v="2"/>
    </i>
    <i>
      <x v="3"/>
    </i>
    <i>
      <x v="4"/>
    </i>
    <i>
      <x v="5"/>
    </i>
  </colItems>
  <dataFields count="1">
    <dataField name="Average of Engagement " fld="16" subtotal="average" baseField="1" baseItem="3" numFmtId="1"/>
  </dataFields>
  <formats count="1">
    <format dxfId="23">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DB20A20-142B-418E-A913-6CA8E5C32ABF}" name="PivotTable2" cacheId="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D8" firstHeaderRow="0" firstDataRow="1" firstDataCol="1"/>
  <pivotFields count="17">
    <pivotField showAll="0"/>
    <pivotField showAll="0"/>
    <pivotField showAll="0"/>
    <pivotField showAll="0"/>
    <pivotField showAll="0"/>
    <pivotField dataField="1" numFmtId="1" showAll="0"/>
    <pivotField numFmtId="1" showAll="0"/>
    <pivotField numFmtId="1" showAll="0"/>
    <pivotField dataField="1" numFmtId="1" showAll="0"/>
    <pivotField numFmtId="1" showAll="0"/>
    <pivotField dataField="1" numFmtId="1" showAll="0"/>
    <pivotField axis="axisRow" showAll="0">
      <items count="6">
        <item x="0"/>
        <item x="2"/>
        <item x="1"/>
        <item x="3"/>
        <item x="4"/>
        <item t="default"/>
      </items>
    </pivotField>
    <pivotField showAll="0"/>
    <pivotField showAll="0"/>
    <pivotField showAll="0"/>
    <pivotField numFmtId="10" showAll="0"/>
    <pivotField numFmtId="1" showAll="0"/>
  </pivotFields>
  <rowFields count="1">
    <field x="11"/>
  </rowFields>
  <rowItems count="5">
    <i>
      <x/>
    </i>
    <i>
      <x v="1"/>
    </i>
    <i>
      <x v="2"/>
    </i>
    <i>
      <x v="3"/>
    </i>
    <i>
      <x v="4"/>
    </i>
  </rowItems>
  <colFields count="1">
    <field x="-2"/>
  </colFields>
  <colItems count="3">
    <i>
      <x/>
    </i>
    <i i="1">
      <x v="1"/>
    </i>
    <i i="2">
      <x v="2"/>
    </i>
  </colItems>
  <dataFields count="3">
    <dataField name="Total Impressions " fld="8" baseField="11" baseItem="0" numFmtId="1"/>
    <dataField name="Total Likes" fld="5" baseField="11" baseItem="0" numFmtId="1"/>
    <dataField name="Total Clicks" fld="10" baseField="11" baseItem="0" numFmtId="1"/>
  </dataFields>
  <formats count="5">
    <format dxfId="11">
      <pivotArea type="all" dataOnly="0" outline="0" fieldPosition="0"/>
    </format>
    <format dxfId="10">
      <pivotArea outline="0" collapsedLevelsAreSubtotals="1" fieldPosition="0"/>
    </format>
    <format dxfId="9">
      <pivotArea field="11" type="button" dataOnly="0" labelOnly="1" outline="0" axis="axisRow" fieldPosition="0"/>
    </format>
    <format dxfId="8">
      <pivotArea dataOnly="0" labelOnly="1" fieldPosition="0">
        <references count="1">
          <reference field="11" count="0"/>
        </references>
      </pivotArea>
    </format>
    <format dxfId="7">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E15E04A-F1CE-48FB-A305-528E00D0D935}" name="PivotTable6"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B17" firstHeaderRow="1" firstDataRow="1" firstDataCol="1"/>
  <pivotFields count="17">
    <pivotField showAll="0"/>
    <pivotField showAll="0"/>
    <pivotField showAll="0"/>
    <pivotField showAll="0"/>
    <pivotField showAll="0"/>
    <pivotField numFmtId="1" showAll="0"/>
    <pivotField numFmtId="1" showAll="0"/>
    <pivotField numFmtId="1" showAll="0"/>
    <pivotField numFmtId="1" showAll="0"/>
    <pivotField numFmtId="1" showAll="0"/>
    <pivotField numFmtId="1" showAll="0"/>
    <pivotField axis="axisRow" showAll="0">
      <items count="6">
        <item x="0"/>
        <item x="2"/>
        <item x="1"/>
        <item x="3"/>
        <item h="1" x="4"/>
        <item t="default"/>
      </items>
    </pivotField>
    <pivotField showAll="0"/>
    <pivotField showAll="0"/>
    <pivotField showAll="0"/>
    <pivotField numFmtId="10" showAll="0"/>
    <pivotField dataField="1" numFmtId="1" showAll="0"/>
  </pivotFields>
  <rowFields count="1">
    <field x="11"/>
  </rowFields>
  <rowItems count="5">
    <i>
      <x/>
    </i>
    <i>
      <x v="1"/>
    </i>
    <i>
      <x v="2"/>
    </i>
    <i>
      <x v="3"/>
    </i>
    <i t="grand">
      <x/>
    </i>
  </rowItems>
  <colItems count="1">
    <i/>
  </colItems>
  <dataFields count="1">
    <dataField name="Average of Engagement " fld="16" subtotal="average" baseField="0" baseItem="0" numFmtId="1"/>
  </dataFields>
  <formats count="6">
    <format dxfId="17">
      <pivotArea type="all" dataOnly="0" outline="0" fieldPosition="0"/>
    </format>
    <format dxfId="16">
      <pivotArea outline="0" collapsedLevelsAreSubtotals="1" fieldPosition="0"/>
    </format>
    <format dxfId="15">
      <pivotArea field="11" type="button" dataOnly="0" labelOnly="1" outline="0" axis="axisRow" fieldPosition="0"/>
    </format>
    <format dxfId="14">
      <pivotArea dataOnly="0" labelOnly="1" fieldPosition="0">
        <references count="1">
          <reference field="11" count="0"/>
        </references>
      </pivotArea>
    </format>
    <format dxfId="13">
      <pivotArea dataOnly="0" labelOnly="1" grandRow="1" outline="0" fieldPosition="0"/>
    </format>
    <format dxfId="1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617D6FF-03BF-4281-A523-BFD7D4E5B0A9}" name="PivotTable3" cacheId="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F3:I8" firstHeaderRow="0" firstDataRow="1" firstDataCol="1"/>
  <pivotFields count="17">
    <pivotField showAll="0"/>
    <pivotField showAll="0"/>
    <pivotField showAll="0"/>
    <pivotField showAll="0"/>
    <pivotField showAll="0"/>
    <pivotField dataField="1" numFmtId="1" showAll="0"/>
    <pivotField numFmtId="1" showAll="0"/>
    <pivotField numFmtId="1" showAll="0"/>
    <pivotField dataField="1" numFmtId="1" showAll="0"/>
    <pivotField numFmtId="1" showAll="0"/>
    <pivotField dataField="1" numFmtId="1" showAll="0"/>
    <pivotField axis="axisRow" showAll="0">
      <items count="6">
        <item x="0"/>
        <item x="2"/>
        <item x="1"/>
        <item x="3"/>
        <item x="4"/>
        <item t="default"/>
      </items>
    </pivotField>
    <pivotField showAll="0"/>
    <pivotField showAll="0"/>
    <pivotField showAll="0"/>
    <pivotField numFmtId="10" showAll="0"/>
    <pivotField numFmtId="1" showAll="0"/>
  </pivotFields>
  <rowFields count="1">
    <field x="11"/>
  </rowFields>
  <rowItems count="5">
    <i>
      <x/>
    </i>
    <i>
      <x v="1"/>
    </i>
    <i>
      <x v="2"/>
    </i>
    <i>
      <x v="3"/>
    </i>
    <i>
      <x v="4"/>
    </i>
  </rowItems>
  <colFields count="1">
    <field x="-2"/>
  </colFields>
  <colItems count="3">
    <i>
      <x/>
    </i>
    <i i="1">
      <x v="1"/>
    </i>
    <i i="2">
      <x v="2"/>
    </i>
  </colItems>
  <dataFields count="3">
    <dataField name="Average of Impressions" fld="8" subtotal="average" baseField="0" baseItem="1" numFmtId="1"/>
    <dataField name="Average of Likes" fld="5" subtotal="average" baseField="0" baseItem="1" numFmtId="1"/>
    <dataField name="Average of Clicks" fld="10" subtotal="average" baseField="0" baseItem="2" numFmtId="1"/>
  </dataFields>
  <formats count="5">
    <format dxfId="22">
      <pivotArea type="all" dataOnly="0" outline="0" fieldPosition="0"/>
    </format>
    <format dxfId="21">
      <pivotArea outline="0" collapsedLevelsAreSubtotals="1" fieldPosition="0"/>
    </format>
    <format dxfId="20">
      <pivotArea field="11" type="button" dataOnly="0" labelOnly="1" outline="0" axis="axisRow" fieldPosition="0"/>
    </format>
    <format dxfId="19">
      <pivotArea dataOnly="0" labelOnly="1" fieldPosition="0">
        <references count="1">
          <reference field="11" count="0"/>
        </references>
      </pivotArea>
    </format>
    <format dxfId="18">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CD6746E-8F7B-48E6-8064-B08EEB1B627A}" name="PivotTable7"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F7" firstHeaderRow="1" firstDataRow="2" firstDataCol="1"/>
  <pivotFields count="17">
    <pivotField showAll="0"/>
    <pivotField axis="axisRow" showAll="0">
      <items count="5">
        <item x="3"/>
        <item x="2"/>
        <item x="0"/>
        <item x="1"/>
        <item t="default"/>
      </items>
    </pivotField>
    <pivotField showAll="0"/>
    <pivotField showAll="0"/>
    <pivotField showAll="0"/>
    <pivotField numFmtId="1" showAll="0"/>
    <pivotField numFmtId="1" showAll="0"/>
    <pivotField numFmtId="1" showAll="0"/>
    <pivotField numFmtId="1" showAll="0"/>
    <pivotField numFmtId="1" showAll="0"/>
    <pivotField numFmtId="1" showAll="0"/>
    <pivotField axis="axisCol" showAll="0">
      <items count="6">
        <item x="0"/>
        <item x="2"/>
        <item x="1"/>
        <item x="3"/>
        <item h="1" x="4"/>
        <item t="default"/>
      </items>
    </pivotField>
    <pivotField showAll="0"/>
    <pivotField showAll="0"/>
    <pivotField showAll="0"/>
    <pivotField numFmtId="10" showAll="0"/>
    <pivotField dataField="1" numFmtId="1" showAll="0"/>
  </pivotFields>
  <rowFields count="1">
    <field x="1"/>
  </rowFields>
  <rowItems count="5">
    <i>
      <x/>
    </i>
    <i>
      <x v="1"/>
    </i>
    <i>
      <x v="2"/>
    </i>
    <i>
      <x v="3"/>
    </i>
    <i t="grand">
      <x/>
    </i>
  </rowItems>
  <colFields count="1">
    <field x="11"/>
  </colFields>
  <colItems count="5">
    <i>
      <x/>
    </i>
    <i>
      <x v="1"/>
    </i>
    <i>
      <x v="2"/>
    </i>
    <i>
      <x v="3"/>
    </i>
    <i t="grand">
      <x/>
    </i>
  </colItems>
  <dataFields count="1">
    <dataField name="Sum of Engagement " fld="16"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78252DC-B209-41E6-838A-F3D8934B1EB7}" name="PivotTable8"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B14" firstHeaderRow="1" firstDataRow="1" firstDataCol="1"/>
  <pivotFields count="8">
    <pivotField showAll="0"/>
    <pivotField axis="axisRow" showAll="0">
      <items count="5">
        <item x="1"/>
        <item x="0"/>
        <item x="2"/>
        <item x="3"/>
        <item t="default"/>
      </items>
    </pivotField>
    <pivotField showAll="0"/>
    <pivotField showAll="0"/>
    <pivotField showAll="0"/>
    <pivotField showAll="0"/>
    <pivotField dataField="1" numFmtId="164" showAll="0"/>
    <pivotField numFmtId="10" showAll="0"/>
  </pivotFields>
  <rowFields count="1">
    <field x="1"/>
  </rowFields>
  <rowItems count="5">
    <i>
      <x/>
    </i>
    <i>
      <x v="1"/>
    </i>
    <i>
      <x v="2"/>
    </i>
    <i>
      <x v="3"/>
    </i>
    <i t="grand">
      <x/>
    </i>
  </rowItems>
  <colItems count="1">
    <i/>
  </colItems>
  <dataFields count="1">
    <dataField name="Sum of Ad_Spend" fld="6" baseField="1"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A51C9F8D-3360-47FA-887B-4391A2F9BDCE}" name="PivotTable19" cacheId="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D1:E5" firstHeaderRow="1" firstDataRow="1" firstDataCol="1"/>
  <pivotFields count="8">
    <pivotField showAll="0"/>
    <pivotField axis="axisRow" showAll="0">
      <items count="5">
        <item x="1"/>
        <item x="0"/>
        <item x="2"/>
        <item x="3"/>
        <item t="default"/>
      </items>
    </pivotField>
    <pivotField showAll="0"/>
    <pivotField showAll="0"/>
    <pivotField showAll="0"/>
    <pivotField showAll="0"/>
    <pivotField numFmtId="164" showAll="0"/>
    <pivotField dataField="1" numFmtId="10" showAll="0"/>
  </pivotFields>
  <rowFields count="1">
    <field x="1"/>
  </rowFields>
  <rowItems count="4">
    <i>
      <x/>
    </i>
    <i>
      <x v="1"/>
    </i>
    <i>
      <x v="2"/>
    </i>
    <i>
      <x v="3"/>
    </i>
  </rowItems>
  <colItems count="1">
    <i/>
  </colItems>
  <dataFields count="1">
    <dataField name="Sum of Follower Growth Rate " fld="7" baseField="1"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DF865694-A5FF-4722-B4D2-937ACFA9D6BA}" name="PivotTable20" cacheId="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D7:E11" firstHeaderRow="1" firstDataRow="1" firstDataCol="1"/>
  <pivotFields count="17">
    <pivotField showAll="0"/>
    <pivotField dataField="1" showAll="0"/>
    <pivotField showAll="0"/>
    <pivotField showAll="0"/>
    <pivotField showAll="0"/>
    <pivotField numFmtId="1" showAll="0"/>
    <pivotField numFmtId="1" showAll="0"/>
    <pivotField numFmtId="1" showAll="0"/>
    <pivotField numFmtId="1" showAll="0"/>
    <pivotField numFmtId="1" showAll="0"/>
    <pivotField numFmtId="1" showAll="0"/>
    <pivotField axis="axisRow" showAll="0">
      <items count="6">
        <item x="0"/>
        <item x="2"/>
        <item x="1"/>
        <item x="3"/>
        <item h="1" x="4"/>
        <item t="default"/>
      </items>
    </pivotField>
    <pivotField showAll="0"/>
    <pivotField showAll="0"/>
    <pivotField showAll="0"/>
    <pivotField numFmtId="10" showAll="0"/>
    <pivotField numFmtId="1" showAll="0"/>
  </pivotFields>
  <rowFields count="1">
    <field x="11"/>
  </rowFields>
  <rowItems count="4">
    <i>
      <x/>
    </i>
    <i>
      <x v="1"/>
    </i>
    <i>
      <x v="2"/>
    </i>
    <i>
      <x v="3"/>
    </i>
  </rowItems>
  <colItems count="1">
    <i/>
  </colItems>
  <dataFields count="1">
    <dataField name="Count of Platform"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3C013A08-1C10-4619-8BD1-39BB2DCD6CDD}" name="PivotTable24" cacheId="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27:B31" firstHeaderRow="1" firstDataRow="1" firstDataCol="1"/>
  <pivotFields count="17">
    <pivotField showAll="0"/>
    <pivotField axis="axisRow" showAll="0">
      <items count="5">
        <item x="1"/>
        <item x="2"/>
        <item x="0"/>
        <item x="3"/>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1"/>
  </rowFields>
  <rowItems count="4">
    <i>
      <x/>
    </i>
    <i>
      <x v="1"/>
    </i>
    <i>
      <x v="2"/>
    </i>
    <i>
      <x v="3"/>
    </i>
  </rowItems>
  <colItems count="1">
    <i/>
  </colItems>
  <dataFields count="1">
    <dataField name="Count of Campaign_Name" fld="1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5C6F8188-672C-4CB3-A1C5-93E2A531AE69}" name="PivotTable23" cacheId="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19:B23" firstHeaderRow="1" firstDataRow="1" firstDataCol="1"/>
  <pivotFields count="17">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1"/>
  </rowFields>
  <rowItems count="4">
    <i>
      <x/>
    </i>
    <i>
      <x v="1"/>
    </i>
    <i>
      <x v="2"/>
    </i>
    <i>
      <x v="3"/>
    </i>
  </rowItems>
  <colItems count="1">
    <i/>
  </colItems>
  <dataFields count="1">
    <dataField name="Count of Campaign_Name" fld="1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8EA9FFD7-5D71-4097-A095-A96D184E164B}" name="PivotTable22"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11:B15" firstHeaderRow="1" firstDataRow="1" firstDataCol="1"/>
  <pivotFields count="17">
    <pivotField showAll="0"/>
    <pivotField axis="axisRow" showAll="0">
      <items count="5">
        <item x="0"/>
        <item x="2"/>
        <item x="3"/>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1"/>
  </rowFields>
  <rowItems count="4">
    <i>
      <x/>
    </i>
    <i>
      <x v="1"/>
    </i>
    <i>
      <x v="2"/>
    </i>
    <i>
      <x v="3"/>
    </i>
  </rowItems>
  <colItems count="1">
    <i/>
  </colItems>
  <dataFields count="1">
    <dataField name="Count of Campaign_Name" fld="1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0D191CFE-76F0-47F7-A358-9BFFF67C5F49}" name="PivotTable21"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B7" firstHeaderRow="1" firstDataRow="1" firstDataCol="1"/>
  <pivotFields count="17">
    <pivotField showAll="0"/>
    <pivotField axis="axisRow" showAll="0">
      <items count="5">
        <item x="1"/>
        <item x="2"/>
        <item x="0"/>
        <item x="3"/>
        <item t="default"/>
      </items>
    </pivotField>
    <pivotField showAll="0"/>
    <pivotField showAll="0"/>
    <pivotField showAll="0"/>
    <pivotField showAll="0"/>
    <pivotField showAll="0"/>
    <pivotField showAll="0"/>
    <pivotField showAll="0"/>
    <pivotField showAll="0"/>
    <pivotField showAll="0"/>
    <pivotField dataField="1" showAll="0">
      <items count="2">
        <item x="0"/>
        <item t="default"/>
      </items>
    </pivotField>
    <pivotField showAll="0"/>
    <pivotField showAll="0"/>
    <pivotField showAll="0"/>
    <pivotField showAll="0"/>
    <pivotField showAll="0"/>
  </pivotFields>
  <rowFields count="1">
    <field x="1"/>
  </rowFields>
  <rowItems count="4">
    <i>
      <x/>
    </i>
    <i>
      <x v="1"/>
    </i>
    <i>
      <x v="2"/>
    </i>
    <i>
      <x v="3"/>
    </i>
  </rowItems>
  <colItems count="1">
    <i/>
  </colItems>
  <dataFields count="1">
    <dataField name="Count of Campaign_Name" fld="1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5C827466-6920-492F-9AC8-3910E7307C43}" name="PivotTable26" cacheId="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A1:E52" firstHeaderRow="1" firstDataRow="2" firstDataCol="1"/>
  <pivotFields count="8">
    <pivotField axis="axisRow"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axis="axisCol" showAll="0">
      <items count="5">
        <item x="1"/>
        <item x="0"/>
        <item x="2"/>
        <item x="3"/>
        <item t="default"/>
      </items>
    </pivotField>
    <pivotField showAll="0"/>
    <pivotField showAll="0"/>
    <pivotField showAll="0"/>
    <pivotField showAll="0"/>
    <pivotField numFmtId="164" showAll="0"/>
    <pivotField dataField="1" numFmtId="10" showAll="0"/>
  </pivotFields>
  <rowFields count="1">
    <field x="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rowItems>
  <colFields count="1">
    <field x="1"/>
  </colFields>
  <colItems count="4">
    <i>
      <x/>
    </i>
    <i>
      <x v="1"/>
    </i>
    <i>
      <x v="2"/>
    </i>
    <i>
      <x v="3"/>
    </i>
  </colItems>
  <dataFields count="1">
    <dataField name="Sum of Follower Growth Rate " fld="7" baseField="0" baseItem="0" numFmtId="10"/>
  </dataFields>
  <formats count="2">
    <format dxfId="6">
      <pivotArea type="all" dataOnly="0" outline="0" fieldPosition="0"/>
    </format>
    <format dxfId="5">
      <pivotArea type="all" dataOnly="0" outline="0" fieldPosition="0"/>
    </format>
  </formats>
  <chartFormats count="250">
    <chartFormat chart="4" format="0" series="1">
      <pivotArea type="data" outline="0" fieldPosition="0">
        <references count="2">
          <reference field="4294967294" count="1" selected="0">
            <x v="0"/>
          </reference>
          <reference field="1" count="1" selected="0">
            <x v="0"/>
          </reference>
        </references>
      </pivotArea>
    </chartFormat>
    <chartFormat chart="4" format="1" series="1">
      <pivotArea type="data" outline="0" fieldPosition="0">
        <references count="2">
          <reference field="4294967294" count="1" selected="0">
            <x v="0"/>
          </reference>
          <reference field="1" count="1" selected="0">
            <x v="1"/>
          </reference>
        </references>
      </pivotArea>
    </chartFormat>
    <chartFormat chart="4" format="2" series="1">
      <pivotArea type="data" outline="0" fieldPosition="0">
        <references count="2">
          <reference field="4294967294" count="1" selected="0">
            <x v="0"/>
          </reference>
          <reference field="1" count="1" selected="0">
            <x v="2"/>
          </reference>
        </references>
      </pivotArea>
    </chartFormat>
    <chartFormat chart="4" format="3" series="1">
      <pivotArea type="data" outline="0" fieldPosition="0">
        <references count="2">
          <reference field="4294967294" count="1" selected="0">
            <x v="0"/>
          </reference>
          <reference field="1" count="1" selected="0">
            <x v="3"/>
          </reference>
        </references>
      </pivotArea>
    </chartFormat>
    <chartFormat chart="4" format="4" series="1">
      <pivotArea type="data" outline="0" fieldPosition="0">
        <references count="3">
          <reference field="4294967294" count="1" selected="0">
            <x v="0"/>
          </reference>
          <reference field="0" count="1" selected="0">
            <x v="4"/>
          </reference>
          <reference field="1" count="1" selected="0">
            <x v="0"/>
          </reference>
        </references>
      </pivotArea>
    </chartFormat>
    <chartFormat chart="4" format="5" series="1">
      <pivotArea type="data" outline="0" fieldPosition="0">
        <references count="3">
          <reference field="4294967294" count="1" selected="0">
            <x v="0"/>
          </reference>
          <reference field="0" count="1" selected="0">
            <x v="5"/>
          </reference>
          <reference field="1" count="1" selected="0">
            <x v="0"/>
          </reference>
        </references>
      </pivotArea>
    </chartFormat>
    <chartFormat chart="4" format="6" series="1">
      <pivotArea type="data" outline="0" fieldPosition="0">
        <references count="3">
          <reference field="4294967294" count="1" selected="0">
            <x v="0"/>
          </reference>
          <reference field="0" count="1" selected="0">
            <x v="6"/>
          </reference>
          <reference field="1" count="1" selected="0">
            <x v="0"/>
          </reference>
        </references>
      </pivotArea>
    </chartFormat>
    <chartFormat chart="4" format="7" series="1">
      <pivotArea type="data" outline="0" fieldPosition="0">
        <references count="3">
          <reference field="4294967294" count="1" selected="0">
            <x v="0"/>
          </reference>
          <reference field="0" count="1" selected="0">
            <x v="7"/>
          </reference>
          <reference field="1" count="1" selected="0">
            <x v="0"/>
          </reference>
        </references>
      </pivotArea>
    </chartFormat>
    <chartFormat chart="4" format="8" series="1">
      <pivotArea type="data" outline="0" fieldPosition="0">
        <references count="3">
          <reference field="4294967294" count="1" selected="0">
            <x v="0"/>
          </reference>
          <reference field="0" count="1" selected="0">
            <x v="8"/>
          </reference>
          <reference field="1" count="1" selected="0">
            <x v="0"/>
          </reference>
        </references>
      </pivotArea>
    </chartFormat>
    <chartFormat chart="4" format="9" series="1">
      <pivotArea type="data" outline="0" fieldPosition="0">
        <references count="3">
          <reference field="4294967294" count="1" selected="0">
            <x v="0"/>
          </reference>
          <reference field="0" count="1" selected="0">
            <x v="9"/>
          </reference>
          <reference field="1" count="1" selected="0">
            <x v="0"/>
          </reference>
        </references>
      </pivotArea>
    </chartFormat>
    <chartFormat chart="4" format="10" series="1">
      <pivotArea type="data" outline="0" fieldPosition="0">
        <references count="3">
          <reference field="4294967294" count="1" selected="0">
            <x v="0"/>
          </reference>
          <reference field="0" count="1" selected="0">
            <x v="10"/>
          </reference>
          <reference field="1" count="1" selected="0">
            <x v="0"/>
          </reference>
        </references>
      </pivotArea>
    </chartFormat>
    <chartFormat chart="4" format="11" series="1">
      <pivotArea type="data" outline="0" fieldPosition="0">
        <references count="3">
          <reference field="4294967294" count="1" selected="0">
            <x v="0"/>
          </reference>
          <reference field="0" count="1" selected="0">
            <x v="11"/>
          </reference>
          <reference field="1" count="1" selected="0">
            <x v="0"/>
          </reference>
        </references>
      </pivotArea>
    </chartFormat>
    <chartFormat chart="4" format="12" series="1">
      <pivotArea type="data" outline="0" fieldPosition="0">
        <references count="3">
          <reference field="4294967294" count="1" selected="0">
            <x v="0"/>
          </reference>
          <reference field="0" count="1" selected="0">
            <x v="12"/>
          </reference>
          <reference field="1" count="1" selected="0">
            <x v="0"/>
          </reference>
        </references>
      </pivotArea>
    </chartFormat>
    <chartFormat chart="4" format="13" series="1">
      <pivotArea type="data" outline="0" fieldPosition="0">
        <references count="3">
          <reference field="4294967294" count="1" selected="0">
            <x v="0"/>
          </reference>
          <reference field="0" count="1" selected="0">
            <x v="13"/>
          </reference>
          <reference field="1" count="1" selected="0">
            <x v="0"/>
          </reference>
        </references>
      </pivotArea>
    </chartFormat>
    <chartFormat chart="4" format="14" series="1">
      <pivotArea type="data" outline="0" fieldPosition="0">
        <references count="3">
          <reference field="4294967294" count="1" selected="0">
            <x v="0"/>
          </reference>
          <reference field="0" count="1" selected="0">
            <x v="14"/>
          </reference>
          <reference field="1" count="1" selected="0">
            <x v="0"/>
          </reference>
        </references>
      </pivotArea>
    </chartFormat>
    <chartFormat chart="4" format="15" series="1">
      <pivotArea type="data" outline="0" fieldPosition="0">
        <references count="3">
          <reference field="4294967294" count="1" selected="0">
            <x v="0"/>
          </reference>
          <reference field="0" count="1" selected="0">
            <x v="15"/>
          </reference>
          <reference field="1" count="1" selected="0">
            <x v="0"/>
          </reference>
        </references>
      </pivotArea>
    </chartFormat>
    <chartFormat chart="4" format="16" series="1">
      <pivotArea type="data" outline="0" fieldPosition="0">
        <references count="3">
          <reference field="4294967294" count="1" selected="0">
            <x v="0"/>
          </reference>
          <reference field="0" count="1" selected="0">
            <x v="16"/>
          </reference>
          <reference field="1" count="1" selected="0">
            <x v="0"/>
          </reference>
        </references>
      </pivotArea>
    </chartFormat>
    <chartFormat chart="4" format="17" series="1">
      <pivotArea type="data" outline="0" fieldPosition="0">
        <references count="3">
          <reference field="4294967294" count="1" selected="0">
            <x v="0"/>
          </reference>
          <reference field="0" count="1" selected="0">
            <x v="17"/>
          </reference>
          <reference field="1" count="1" selected="0">
            <x v="0"/>
          </reference>
        </references>
      </pivotArea>
    </chartFormat>
    <chartFormat chart="4" format="18" series="1">
      <pivotArea type="data" outline="0" fieldPosition="0">
        <references count="3">
          <reference field="4294967294" count="1" selected="0">
            <x v="0"/>
          </reference>
          <reference field="0" count="1" selected="0">
            <x v="18"/>
          </reference>
          <reference field="1" count="1" selected="0">
            <x v="0"/>
          </reference>
        </references>
      </pivotArea>
    </chartFormat>
    <chartFormat chart="4" format="19" series="1">
      <pivotArea type="data" outline="0" fieldPosition="0">
        <references count="3">
          <reference field="4294967294" count="1" selected="0">
            <x v="0"/>
          </reference>
          <reference field="0" count="1" selected="0">
            <x v="19"/>
          </reference>
          <reference field="1" count="1" selected="0">
            <x v="0"/>
          </reference>
        </references>
      </pivotArea>
    </chartFormat>
    <chartFormat chart="4" format="20" series="1">
      <pivotArea type="data" outline="0" fieldPosition="0">
        <references count="3">
          <reference field="4294967294" count="1" selected="0">
            <x v="0"/>
          </reference>
          <reference field="0" count="1" selected="0">
            <x v="20"/>
          </reference>
          <reference field="1" count="1" selected="0">
            <x v="0"/>
          </reference>
        </references>
      </pivotArea>
    </chartFormat>
    <chartFormat chart="4" format="21" series="1">
      <pivotArea type="data" outline="0" fieldPosition="0">
        <references count="3">
          <reference field="4294967294" count="1" selected="0">
            <x v="0"/>
          </reference>
          <reference field="0" count="1" selected="0">
            <x v="21"/>
          </reference>
          <reference field="1" count="1" selected="0">
            <x v="0"/>
          </reference>
        </references>
      </pivotArea>
    </chartFormat>
    <chartFormat chart="4" format="22" series="1">
      <pivotArea type="data" outline="0" fieldPosition="0">
        <references count="3">
          <reference field="4294967294" count="1" selected="0">
            <x v="0"/>
          </reference>
          <reference field="0" count="1" selected="0">
            <x v="22"/>
          </reference>
          <reference field="1" count="1" selected="0">
            <x v="0"/>
          </reference>
        </references>
      </pivotArea>
    </chartFormat>
    <chartFormat chart="4" format="23" series="1">
      <pivotArea type="data" outline="0" fieldPosition="0">
        <references count="3">
          <reference field="4294967294" count="1" selected="0">
            <x v="0"/>
          </reference>
          <reference field="0" count="1" selected="0">
            <x v="23"/>
          </reference>
          <reference field="1" count="1" selected="0">
            <x v="0"/>
          </reference>
        </references>
      </pivotArea>
    </chartFormat>
    <chartFormat chart="4" format="24" series="1">
      <pivotArea type="data" outline="0" fieldPosition="0">
        <references count="3">
          <reference field="4294967294" count="1" selected="0">
            <x v="0"/>
          </reference>
          <reference field="0" count="1" selected="0">
            <x v="24"/>
          </reference>
          <reference field="1" count="1" selected="0">
            <x v="0"/>
          </reference>
        </references>
      </pivotArea>
    </chartFormat>
    <chartFormat chart="4" format="25" series="1">
      <pivotArea type="data" outline="0" fieldPosition="0">
        <references count="3">
          <reference field="4294967294" count="1" selected="0">
            <x v="0"/>
          </reference>
          <reference field="0" count="1" selected="0">
            <x v="25"/>
          </reference>
          <reference field="1" count="1" selected="0">
            <x v="0"/>
          </reference>
        </references>
      </pivotArea>
    </chartFormat>
    <chartFormat chart="4" format="26" series="1">
      <pivotArea type="data" outline="0" fieldPosition="0">
        <references count="3">
          <reference field="4294967294" count="1" selected="0">
            <x v="0"/>
          </reference>
          <reference field="0" count="1" selected="0">
            <x v="26"/>
          </reference>
          <reference field="1" count="1" selected="0">
            <x v="0"/>
          </reference>
        </references>
      </pivotArea>
    </chartFormat>
    <chartFormat chart="4" format="27" series="1">
      <pivotArea type="data" outline="0" fieldPosition="0">
        <references count="3">
          <reference field="4294967294" count="1" selected="0">
            <x v="0"/>
          </reference>
          <reference field="0" count="1" selected="0">
            <x v="27"/>
          </reference>
          <reference field="1" count="1" selected="0">
            <x v="0"/>
          </reference>
        </references>
      </pivotArea>
    </chartFormat>
    <chartFormat chart="4" format="28" series="1">
      <pivotArea type="data" outline="0" fieldPosition="0">
        <references count="3">
          <reference field="4294967294" count="1" selected="0">
            <x v="0"/>
          </reference>
          <reference field="0" count="1" selected="0">
            <x v="28"/>
          </reference>
          <reference field="1" count="1" selected="0">
            <x v="0"/>
          </reference>
        </references>
      </pivotArea>
    </chartFormat>
    <chartFormat chart="4" format="29" series="1">
      <pivotArea type="data" outline="0" fieldPosition="0">
        <references count="3">
          <reference field="4294967294" count="1" selected="0">
            <x v="0"/>
          </reference>
          <reference field="0" count="1" selected="0">
            <x v="29"/>
          </reference>
          <reference field="1" count="1" selected="0">
            <x v="0"/>
          </reference>
        </references>
      </pivotArea>
    </chartFormat>
    <chartFormat chart="4" format="30" series="1">
      <pivotArea type="data" outline="0" fieldPosition="0">
        <references count="3">
          <reference field="4294967294" count="1" selected="0">
            <x v="0"/>
          </reference>
          <reference field="0" count="1" selected="0">
            <x v="30"/>
          </reference>
          <reference field="1" count="1" selected="0">
            <x v="0"/>
          </reference>
        </references>
      </pivotArea>
    </chartFormat>
    <chartFormat chart="4" format="31" series="1">
      <pivotArea type="data" outline="0" fieldPosition="0">
        <references count="3">
          <reference field="4294967294" count="1" selected="0">
            <x v="0"/>
          </reference>
          <reference field="0" count="1" selected="0">
            <x v="31"/>
          </reference>
          <reference field="1" count="1" selected="0">
            <x v="0"/>
          </reference>
        </references>
      </pivotArea>
    </chartFormat>
    <chartFormat chart="4" format="32" series="1">
      <pivotArea type="data" outline="0" fieldPosition="0">
        <references count="3">
          <reference field="4294967294" count="1" selected="0">
            <x v="0"/>
          </reference>
          <reference field="0" count="1" selected="0">
            <x v="32"/>
          </reference>
          <reference field="1" count="1" selected="0">
            <x v="0"/>
          </reference>
        </references>
      </pivotArea>
    </chartFormat>
    <chartFormat chart="4" format="33" series="1">
      <pivotArea type="data" outline="0" fieldPosition="0">
        <references count="3">
          <reference field="4294967294" count="1" selected="0">
            <x v="0"/>
          </reference>
          <reference field="0" count="1" selected="0">
            <x v="33"/>
          </reference>
          <reference field="1" count="1" selected="0">
            <x v="0"/>
          </reference>
        </references>
      </pivotArea>
    </chartFormat>
    <chartFormat chart="4" format="34" series="1">
      <pivotArea type="data" outline="0" fieldPosition="0">
        <references count="3">
          <reference field="4294967294" count="1" selected="0">
            <x v="0"/>
          </reference>
          <reference field="0" count="1" selected="0">
            <x v="34"/>
          </reference>
          <reference field="1" count="1" selected="0">
            <x v="0"/>
          </reference>
        </references>
      </pivotArea>
    </chartFormat>
    <chartFormat chart="4" format="35" series="1">
      <pivotArea type="data" outline="0" fieldPosition="0">
        <references count="3">
          <reference field="4294967294" count="1" selected="0">
            <x v="0"/>
          </reference>
          <reference field="0" count="1" selected="0">
            <x v="35"/>
          </reference>
          <reference field="1" count="1" selected="0">
            <x v="0"/>
          </reference>
        </references>
      </pivotArea>
    </chartFormat>
    <chartFormat chart="4" format="36" series="1">
      <pivotArea type="data" outline="0" fieldPosition="0">
        <references count="3">
          <reference field="4294967294" count="1" selected="0">
            <x v="0"/>
          </reference>
          <reference field="0" count="1" selected="0">
            <x v="36"/>
          </reference>
          <reference field="1" count="1" selected="0">
            <x v="0"/>
          </reference>
        </references>
      </pivotArea>
    </chartFormat>
    <chartFormat chart="4" format="37" series="1">
      <pivotArea type="data" outline="0" fieldPosition="0">
        <references count="3">
          <reference field="4294967294" count="1" selected="0">
            <x v="0"/>
          </reference>
          <reference field="0" count="1" selected="0">
            <x v="37"/>
          </reference>
          <reference field="1" count="1" selected="0">
            <x v="0"/>
          </reference>
        </references>
      </pivotArea>
    </chartFormat>
    <chartFormat chart="4" format="38" series="1">
      <pivotArea type="data" outline="0" fieldPosition="0">
        <references count="3">
          <reference field="4294967294" count="1" selected="0">
            <x v="0"/>
          </reference>
          <reference field="0" count="1" selected="0">
            <x v="38"/>
          </reference>
          <reference field="1" count="1" selected="0">
            <x v="0"/>
          </reference>
        </references>
      </pivotArea>
    </chartFormat>
    <chartFormat chart="4" format="39" series="1">
      <pivotArea type="data" outline="0" fieldPosition="0">
        <references count="3">
          <reference field="4294967294" count="1" selected="0">
            <x v="0"/>
          </reference>
          <reference field="0" count="1" selected="0">
            <x v="39"/>
          </reference>
          <reference field="1" count="1" selected="0">
            <x v="0"/>
          </reference>
        </references>
      </pivotArea>
    </chartFormat>
    <chartFormat chart="4" format="40" series="1">
      <pivotArea type="data" outline="0" fieldPosition="0">
        <references count="3">
          <reference field="4294967294" count="1" selected="0">
            <x v="0"/>
          </reference>
          <reference field="0" count="1" selected="0">
            <x v="40"/>
          </reference>
          <reference field="1" count="1" selected="0">
            <x v="0"/>
          </reference>
        </references>
      </pivotArea>
    </chartFormat>
    <chartFormat chart="4" format="41" series="1">
      <pivotArea type="data" outline="0" fieldPosition="0">
        <references count="3">
          <reference field="4294967294" count="1" selected="0">
            <x v="0"/>
          </reference>
          <reference field="0" count="1" selected="0">
            <x v="41"/>
          </reference>
          <reference field="1" count="1" selected="0">
            <x v="0"/>
          </reference>
        </references>
      </pivotArea>
    </chartFormat>
    <chartFormat chart="4" format="42" series="1">
      <pivotArea type="data" outline="0" fieldPosition="0">
        <references count="3">
          <reference field="4294967294" count="1" selected="0">
            <x v="0"/>
          </reference>
          <reference field="0" count="1" selected="0">
            <x v="42"/>
          </reference>
          <reference field="1" count="1" selected="0">
            <x v="0"/>
          </reference>
        </references>
      </pivotArea>
    </chartFormat>
    <chartFormat chart="4" format="43" series="1">
      <pivotArea type="data" outline="0" fieldPosition="0">
        <references count="3">
          <reference field="4294967294" count="1" selected="0">
            <x v="0"/>
          </reference>
          <reference field="0" count="1" selected="0">
            <x v="43"/>
          </reference>
          <reference field="1" count="1" selected="0">
            <x v="0"/>
          </reference>
        </references>
      </pivotArea>
    </chartFormat>
    <chartFormat chart="4" format="44" series="1">
      <pivotArea type="data" outline="0" fieldPosition="0">
        <references count="3">
          <reference field="4294967294" count="1" selected="0">
            <x v="0"/>
          </reference>
          <reference field="0" count="1" selected="0">
            <x v="44"/>
          </reference>
          <reference field="1" count="1" selected="0">
            <x v="0"/>
          </reference>
        </references>
      </pivotArea>
    </chartFormat>
    <chartFormat chart="4" format="45" series="1">
      <pivotArea type="data" outline="0" fieldPosition="0">
        <references count="3">
          <reference field="4294967294" count="1" selected="0">
            <x v="0"/>
          </reference>
          <reference field="0" count="1" selected="0">
            <x v="45"/>
          </reference>
          <reference field="1" count="1" selected="0">
            <x v="0"/>
          </reference>
        </references>
      </pivotArea>
    </chartFormat>
    <chartFormat chart="4" format="46" series="1">
      <pivotArea type="data" outline="0" fieldPosition="0">
        <references count="3">
          <reference field="4294967294" count="1" selected="0">
            <x v="0"/>
          </reference>
          <reference field="0" count="1" selected="0">
            <x v="46"/>
          </reference>
          <reference field="1" count="1" selected="0">
            <x v="0"/>
          </reference>
        </references>
      </pivotArea>
    </chartFormat>
    <chartFormat chart="4" format="47" series="1">
      <pivotArea type="data" outline="0" fieldPosition="0">
        <references count="3">
          <reference field="4294967294" count="1" selected="0">
            <x v="0"/>
          </reference>
          <reference field="0" count="1" selected="0">
            <x v="47"/>
          </reference>
          <reference field="1" count="1" selected="0">
            <x v="0"/>
          </reference>
        </references>
      </pivotArea>
    </chartFormat>
    <chartFormat chart="4" format="48" series="1">
      <pivotArea type="data" outline="0" fieldPosition="0">
        <references count="3">
          <reference field="4294967294" count="1" selected="0">
            <x v="0"/>
          </reference>
          <reference field="0" count="1" selected="0">
            <x v="48"/>
          </reference>
          <reference field="1" count="1" selected="0">
            <x v="0"/>
          </reference>
        </references>
      </pivotArea>
    </chartFormat>
    <chartFormat chart="4" format="49" series="1">
      <pivotArea type="data" outline="0" fieldPosition="0">
        <references count="3">
          <reference field="4294967294" count="1" selected="0">
            <x v="0"/>
          </reference>
          <reference field="0" count="1" selected="0">
            <x v="49"/>
          </reference>
          <reference field="1" count="1" selected="0">
            <x v="0"/>
          </reference>
        </references>
      </pivotArea>
    </chartFormat>
    <chartFormat chart="4" format="50" series="1">
      <pivotArea type="data" outline="0" fieldPosition="0">
        <references count="3">
          <reference field="4294967294" count="1" selected="0">
            <x v="0"/>
          </reference>
          <reference field="0" count="1" selected="0">
            <x v="0"/>
          </reference>
          <reference field="1" count="1" selected="0">
            <x v="1"/>
          </reference>
        </references>
      </pivotArea>
    </chartFormat>
    <chartFormat chart="4" format="51" series="1">
      <pivotArea type="data" outline="0" fieldPosition="0">
        <references count="3">
          <reference field="4294967294" count="1" selected="0">
            <x v="0"/>
          </reference>
          <reference field="0" count="1" selected="0">
            <x v="1"/>
          </reference>
          <reference field="1" count="1" selected="0">
            <x v="1"/>
          </reference>
        </references>
      </pivotArea>
    </chartFormat>
    <chartFormat chart="4" format="52" series="1">
      <pivotArea type="data" outline="0" fieldPosition="0">
        <references count="3">
          <reference field="4294967294" count="1" selected="0">
            <x v="0"/>
          </reference>
          <reference field="0" count="1" selected="0">
            <x v="2"/>
          </reference>
          <reference field="1" count="1" selected="0">
            <x v="1"/>
          </reference>
        </references>
      </pivotArea>
    </chartFormat>
    <chartFormat chart="4" format="53" series="1">
      <pivotArea type="data" outline="0" fieldPosition="0">
        <references count="3">
          <reference field="4294967294" count="1" selected="0">
            <x v="0"/>
          </reference>
          <reference field="0" count="1" selected="0">
            <x v="3"/>
          </reference>
          <reference field="1" count="1" selected="0">
            <x v="1"/>
          </reference>
        </references>
      </pivotArea>
    </chartFormat>
    <chartFormat chart="4" format="54" series="1">
      <pivotArea type="data" outline="0" fieldPosition="0">
        <references count="3">
          <reference field="4294967294" count="1" selected="0">
            <x v="0"/>
          </reference>
          <reference field="0" count="1" selected="0">
            <x v="4"/>
          </reference>
          <reference field="1" count="1" selected="0">
            <x v="1"/>
          </reference>
        </references>
      </pivotArea>
    </chartFormat>
    <chartFormat chart="4" format="55" series="1">
      <pivotArea type="data" outline="0" fieldPosition="0">
        <references count="3">
          <reference field="4294967294" count="1" selected="0">
            <x v="0"/>
          </reference>
          <reference field="0" count="1" selected="0">
            <x v="5"/>
          </reference>
          <reference field="1" count="1" selected="0">
            <x v="1"/>
          </reference>
        </references>
      </pivotArea>
    </chartFormat>
    <chartFormat chart="4" format="56" series="1">
      <pivotArea type="data" outline="0" fieldPosition="0">
        <references count="3">
          <reference field="4294967294" count="1" selected="0">
            <x v="0"/>
          </reference>
          <reference field="0" count="1" selected="0">
            <x v="6"/>
          </reference>
          <reference field="1" count="1" selected="0">
            <x v="1"/>
          </reference>
        </references>
      </pivotArea>
    </chartFormat>
    <chartFormat chart="4" format="57" series="1">
      <pivotArea type="data" outline="0" fieldPosition="0">
        <references count="3">
          <reference field="4294967294" count="1" selected="0">
            <x v="0"/>
          </reference>
          <reference field="0" count="1" selected="0">
            <x v="7"/>
          </reference>
          <reference field="1" count="1" selected="0">
            <x v="1"/>
          </reference>
        </references>
      </pivotArea>
    </chartFormat>
    <chartFormat chart="4" format="58" series="1">
      <pivotArea type="data" outline="0" fieldPosition="0">
        <references count="3">
          <reference field="4294967294" count="1" selected="0">
            <x v="0"/>
          </reference>
          <reference field="0" count="1" selected="0">
            <x v="8"/>
          </reference>
          <reference field="1" count="1" selected="0">
            <x v="1"/>
          </reference>
        </references>
      </pivotArea>
    </chartFormat>
    <chartFormat chart="4" format="59" series="1">
      <pivotArea type="data" outline="0" fieldPosition="0">
        <references count="3">
          <reference field="4294967294" count="1" selected="0">
            <x v="0"/>
          </reference>
          <reference field="0" count="1" selected="0">
            <x v="9"/>
          </reference>
          <reference field="1" count="1" selected="0">
            <x v="1"/>
          </reference>
        </references>
      </pivotArea>
    </chartFormat>
    <chartFormat chart="4" format="60" series="1">
      <pivotArea type="data" outline="0" fieldPosition="0">
        <references count="3">
          <reference field="4294967294" count="1" selected="0">
            <x v="0"/>
          </reference>
          <reference field="0" count="1" selected="0">
            <x v="10"/>
          </reference>
          <reference field="1" count="1" selected="0">
            <x v="1"/>
          </reference>
        </references>
      </pivotArea>
    </chartFormat>
    <chartFormat chart="4" format="61" series="1">
      <pivotArea type="data" outline="0" fieldPosition="0">
        <references count="3">
          <reference field="4294967294" count="1" selected="0">
            <x v="0"/>
          </reference>
          <reference field="0" count="1" selected="0">
            <x v="11"/>
          </reference>
          <reference field="1" count="1" selected="0">
            <x v="1"/>
          </reference>
        </references>
      </pivotArea>
    </chartFormat>
    <chartFormat chart="4" format="62" series="1">
      <pivotArea type="data" outline="0" fieldPosition="0">
        <references count="3">
          <reference field="4294967294" count="1" selected="0">
            <x v="0"/>
          </reference>
          <reference field="0" count="1" selected="0">
            <x v="12"/>
          </reference>
          <reference field="1" count="1" selected="0">
            <x v="1"/>
          </reference>
        </references>
      </pivotArea>
    </chartFormat>
    <chartFormat chart="4" format="63" series="1">
      <pivotArea type="data" outline="0" fieldPosition="0">
        <references count="3">
          <reference field="4294967294" count="1" selected="0">
            <x v="0"/>
          </reference>
          <reference field="0" count="1" selected="0">
            <x v="13"/>
          </reference>
          <reference field="1" count="1" selected="0">
            <x v="1"/>
          </reference>
        </references>
      </pivotArea>
    </chartFormat>
    <chartFormat chart="4" format="64" series="1">
      <pivotArea type="data" outline="0" fieldPosition="0">
        <references count="3">
          <reference field="4294967294" count="1" selected="0">
            <x v="0"/>
          </reference>
          <reference field="0" count="1" selected="0">
            <x v="14"/>
          </reference>
          <reference field="1" count="1" selected="0">
            <x v="1"/>
          </reference>
        </references>
      </pivotArea>
    </chartFormat>
    <chartFormat chart="4" format="65" series="1">
      <pivotArea type="data" outline="0" fieldPosition="0">
        <references count="3">
          <reference field="4294967294" count="1" selected="0">
            <x v="0"/>
          </reference>
          <reference field="0" count="1" selected="0">
            <x v="15"/>
          </reference>
          <reference field="1" count="1" selected="0">
            <x v="1"/>
          </reference>
        </references>
      </pivotArea>
    </chartFormat>
    <chartFormat chart="4" format="66" series="1">
      <pivotArea type="data" outline="0" fieldPosition="0">
        <references count="3">
          <reference field="4294967294" count="1" selected="0">
            <x v="0"/>
          </reference>
          <reference field="0" count="1" selected="0">
            <x v="16"/>
          </reference>
          <reference field="1" count="1" selected="0">
            <x v="1"/>
          </reference>
        </references>
      </pivotArea>
    </chartFormat>
    <chartFormat chart="4" format="67" series="1">
      <pivotArea type="data" outline="0" fieldPosition="0">
        <references count="3">
          <reference field="4294967294" count="1" selected="0">
            <x v="0"/>
          </reference>
          <reference field="0" count="1" selected="0">
            <x v="17"/>
          </reference>
          <reference field="1" count="1" selected="0">
            <x v="1"/>
          </reference>
        </references>
      </pivotArea>
    </chartFormat>
    <chartFormat chart="4" format="68" series="1">
      <pivotArea type="data" outline="0" fieldPosition="0">
        <references count="3">
          <reference field="4294967294" count="1" selected="0">
            <x v="0"/>
          </reference>
          <reference field="0" count="1" selected="0">
            <x v="18"/>
          </reference>
          <reference field="1" count="1" selected="0">
            <x v="1"/>
          </reference>
        </references>
      </pivotArea>
    </chartFormat>
    <chartFormat chart="4" format="69" series="1">
      <pivotArea type="data" outline="0" fieldPosition="0">
        <references count="3">
          <reference field="4294967294" count="1" selected="0">
            <x v="0"/>
          </reference>
          <reference field="0" count="1" selected="0">
            <x v="19"/>
          </reference>
          <reference field="1" count="1" selected="0">
            <x v="1"/>
          </reference>
        </references>
      </pivotArea>
    </chartFormat>
    <chartFormat chart="4" format="70" series="1">
      <pivotArea type="data" outline="0" fieldPosition="0">
        <references count="3">
          <reference field="4294967294" count="1" selected="0">
            <x v="0"/>
          </reference>
          <reference field="0" count="1" selected="0">
            <x v="20"/>
          </reference>
          <reference field="1" count="1" selected="0">
            <x v="1"/>
          </reference>
        </references>
      </pivotArea>
    </chartFormat>
    <chartFormat chart="4" format="71" series="1">
      <pivotArea type="data" outline="0" fieldPosition="0">
        <references count="3">
          <reference field="4294967294" count="1" selected="0">
            <x v="0"/>
          </reference>
          <reference field="0" count="1" selected="0">
            <x v="21"/>
          </reference>
          <reference field="1" count="1" selected="0">
            <x v="1"/>
          </reference>
        </references>
      </pivotArea>
    </chartFormat>
    <chartFormat chart="4" format="72" series="1">
      <pivotArea type="data" outline="0" fieldPosition="0">
        <references count="3">
          <reference field="4294967294" count="1" selected="0">
            <x v="0"/>
          </reference>
          <reference field="0" count="1" selected="0">
            <x v="22"/>
          </reference>
          <reference field="1" count="1" selected="0">
            <x v="1"/>
          </reference>
        </references>
      </pivotArea>
    </chartFormat>
    <chartFormat chart="4" format="73" series="1">
      <pivotArea type="data" outline="0" fieldPosition="0">
        <references count="3">
          <reference field="4294967294" count="1" selected="0">
            <x v="0"/>
          </reference>
          <reference field="0" count="1" selected="0">
            <x v="23"/>
          </reference>
          <reference field="1" count="1" selected="0">
            <x v="1"/>
          </reference>
        </references>
      </pivotArea>
    </chartFormat>
    <chartFormat chart="4" format="74" series="1">
      <pivotArea type="data" outline="0" fieldPosition="0">
        <references count="3">
          <reference field="4294967294" count="1" selected="0">
            <x v="0"/>
          </reference>
          <reference field="0" count="1" selected="0">
            <x v="24"/>
          </reference>
          <reference field="1" count="1" selected="0">
            <x v="1"/>
          </reference>
        </references>
      </pivotArea>
    </chartFormat>
    <chartFormat chart="4" format="75" series="1">
      <pivotArea type="data" outline="0" fieldPosition="0">
        <references count="3">
          <reference field="4294967294" count="1" selected="0">
            <x v="0"/>
          </reference>
          <reference field="0" count="1" selected="0">
            <x v="25"/>
          </reference>
          <reference field="1" count="1" selected="0">
            <x v="1"/>
          </reference>
        </references>
      </pivotArea>
    </chartFormat>
    <chartFormat chart="4" format="76" series="1">
      <pivotArea type="data" outline="0" fieldPosition="0">
        <references count="3">
          <reference field="4294967294" count="1" selected="0">
            <x v="0"/>
          </reference>
          <reference field="0" count="1" selected="0">
            <x v="26"/>
          </reference>
          <reference field="1" count="1" selected="0">
            <x v="1"/>
          </reference>
        </references>
      </pivotArea>
    </chartFormat>
    <chartFormat chart="4" format="77" series="1">
      <pivotArea type="data" outline="0" fieldPosition="0">
        <references count="3">
          <reference field="4294967294" count="1" selected="0">
            <x v="0"/>
          </reference>
          <reference field="0" count="1" selected="0">
            <x v="27"/>
          </reference>
          <reference field="1" count="1" selected="0">
            <x v="1"/>
          </reference>
        </references>
      </pivotArea>
    </chartFormat>
    <chartFormat chart="4" format="78" series="1">
      <pivotArea type="data" outline="0" fieldPosition="0">
        <references count="3">
          <reference field="4294967294" count="1" selected="0">
            <x v="0"/>
          </reference>
          <reference field="0" count="1" selected="0">
            <x v="28"/>
          </reference>
          <reference field="1" count="1" selected="0">
            <x v="1"/>
          </reference>
        </references>
      </pivotArea>
    </chartFormat>
    <chartFormat chart="4" format="79" series="1">
      <pivotArea type="data" outline="0" fieldPosition="0">
        <references count="3">
          <reference field="4294967294" count="1" selected="0">
            <x v="0"/>
          </reference>
          <reference field="0" count="1" selected="0">
            <x v="29"/>
          </reference>
          <reference field="1" count="1" selected="0">
            <x v="1"/>
          </reference>
        </references>
      </pivotArea>
    </chartFormat>
    <chartFormat chart="4" format="80" series="1">
      <pivotArea type="data" outline="0" fieldPosition="0">
        <references count="3">
          <reference field="4294967294" count="1" selected="0">
            <x v="0"/>
          </reference>
          <reference field="0" count="1" selected="0">
            <x v="30"/>
          </reference>
          <reference field="1" count="1" selected="0">
            <x v="1"/>
          </reference>
        </references>
      </pivotArea>
    </chartFormat>
    <chartFormat chart="4" format="81" series="1">
      <pivotArea type="data" outline="0" fieldPosition="0">
        <references count="3">
          <reference field="4294967294" count="1" selected="0">
            <x v="0"/>
          </reference>
          <reference field="0" count="1" selected="0">
            <x v="31"/>
          </reference>
          <reference field="1" count="1" selected="0">
            <x v="1"/>
          </reference>
        </references>
      </pivotArea>
    </chartFormat>
    <chartFormat chart="4" format="82" series="1">
      <pivotArea type="data" outline="0" fieldPosition="0">
        <references count="3">
          <reference field="4294967294" count="1" selected="0">
            <x v="0"/>
          </reference>
          <reference field="0" count="1" selected="0">
            <x v="32"/>
          </reference>
          <reference field="1" count="1" selected="0">
            <x v="1"/>
          </reference>
        </references>
      </pivotArea>
    </chartFormat>
    <chartFormat chart="4" format="83" series="1">
      <pivotArea type="data" outline="0" fieldPosition="0">
        <references count="3">
          <reference field="4294967294" count="1" selected="0">
            <x v="0"/>
          </reference>
          <reference field="0" count="1" selected="0">
            <x v="33"/>
          </reference>
          <reference field="1" count="1" selected="0">
            <x v="1"/>
          </reference>
        </references>
      </pivotArea>
    </chartFormat>
    <chartFormat chart="4" format="84" series="1">
      <pivotArea type="data" outline="0" fieldPosition="0">
        <references count="3">
          <reference field="4294967294" count="1" selected="0">
            <x v="0"/>
          </reference>
          <reference field="0" count="1" selected="0">
            <x v="34"/>
          </reference>
          <reference field="1" count="1" selected="0">
            <x v="1"/>
          </reference>
        </references>
      </pivotArea>
    </chartFormat>
    <chartFormat chart="4" format="85" series="1">
      <pivotArea type="data" outline="0" fieldPosition="0">
        <references count="3">
          <reference field="4294967294" count="1" selected="0">
            <x v="0"/>
          </reference>
          <reference field="0" count="1" selected="0">
            <x v="35"/>
          </reference>
          <reference field="1" count="1" selected="0">
            <x v="1"/>
          </reference>
        </references>
      </pivotArea>
    </chartFormat>
    <chartFormat chart="4" format="86" series="1">
      <pivotArea type="data" outline="0" fieldPosition="0">
        <references count="3">
          <reference field="4294967294" count="1" selected="0">
            <x v="0"/>
          </reference>
          <reference field="0" count="1" selected="0">
            <x v="36"/>
          </reference>
          <reference field="1" count="1" selected="0">
            <x v="1"/>
          </reference>
        </references>
      </pivotArea>
    </chartFormat>
    <chartFormat chart="4" format="87" series="1">
      <pivotArea type="data" outline="0" fieldPosition="0">
        <references count="3">
          <reference field="4294967294" count="1" selected="0">
            <x v="0"/>
          </reference>
          <reference field="0" count="1" selected="0">
            <x v="37"/>
          </reference>
          <reference field="1" count="1" selected="0">
            <x v="1"/>
          </reference>
        </references>
      </pivotArea>
    </chartFormat>
    <chartFormat chart="4" format="88" series="1">
      <pivotArea type="data" outline="0" fieldPosition="0">
        <references count="3">
          <reference field="4294967294" count="1" selected="0">
            <x v="0"/>
          </reference>
          <reference field="0" count="1" selected="0">
            <x v="38"/>
          </reference>
          <reference field="1" count="1" selected="0">
            <x v="1"/>
          </reference>
        </references>
      </pivotArea>
    </chartFormat>
    <chartFormat chart="4" format="89" series="1">
      <pivotArea type="data" outline="0" fieldPosition="0">
        <references count="3">
          <reference field="4294967294" count="1" selected="0">
            <x v="0"/>
          </reference>
          <reference field="0" count="1" selected="0">
            <x v="39"/>
          </reference>
          <reference field="1" count="1" selected="0">
            <x v="1"/>
          </reference>
        </references>
      </pivotArea>
    </chartFormat>
    <chartFormat chart="4" format="90" series="1">
      <pivotArea type="data" outline="0" fieldPosition="0">
        <references count="3">
          <reference field="4294967294" count="1" selected="0">
            <x v="0"/>
          </reference>
          <reference field="0" count="1" selected="0">
            <x v="40"/>
          </reference>
          <reference field="1" count="1" selected="0">
            <x v="1"/>
          </reference>
        </references>
      </pivotArea>
    </chartFormat>
    <chartFormat chart="4" format="91" series="1">
      <pivotArea type="data" outline="0" fieldPosition="0">
        <references count="3">
          <reference field="4294967294" count="1" selected="0">
            <x v="0"/>
          </reference>
          <reference field="0" count="1" selected="0">
            <x v="41"/>
          </reference>
          <reference field="1" count="1" selected="0">
            <x v="1"/>
          </reference>
        </references>
      </pivotArea>
    </chartFormat>
    <chartFormat chart="4" format="92" series="1">
      <pivotArea type="data" outline="0" fieldPosition="0">
        <references count="3">
          <reference field="4294967294" count="1" selected="0">
            <x v="0"/>
          </reference>
          <reference field="0" count="1" selected="0">
            <x v="42"/>
          </reference>
          <reference field="1" count="1" selected="0">
            <x v="1"/>
          </reference>
        </references>
      </pivotArea>
    </chartFormat>
    <chartFormat chart="4" format="93" series="1">
      <pivotArea type="data" outline="0" fieldPosition="0">
        <references count="3">
          <reference field="4294967294" count="1" selected="0">
            <x v="0"/>
          </reference>
          <reference field="0" count="1" selected="0">
            <x v="43"/>
          </reference>
          <reference field="1" count="1" selected="0">
            <x v="1"/>
          </reference>
        </references>
      </pivotArea>
    </chartFormat>
    <chartFormat chart="4" format="94" series="1">
      <pivotArea type="data" outline="0" fieldPosition="0">
        <references count="3">
          <reference field="4294967294" count="1" selected="0">
            <x v="0"/>
          </reference>
          <reference field="0" count="1" selected="0">
            <x v="44"/>
          </reference>
          <reference field="1" count="1" selected="0">
            <x v="1"/>
          </reference>
        </references>
      </pivotArea>
    </chartFormat>
    <chartFormat chart="4" format="95" series="1">
      <pivotArea type="data" outline="0" fieldPosition="0">
        <references count="3">
          <reference field="4294967294" count="1" selected="0">
            <x v="0"/>
          </reference>
          <reference field="0" count="1" selected="0">
            <x v="45"/>
          </reference>
          <reference field="1" count="1" selected="0">
            <x v="1"/>
          </reference>
        </references>
      </pivotArea>
    </chartFormat>
    <chartFormat chart="4" format="96" series="1">
      <pivotArea type="data" outline="0" fieldPosition="0">
        <references count="3">
          <reference field="4294967294" count="1" selected="0">
            <x v="0"/>
          </reference>
          <reference field="0" count="1" selected="0">
            <x v="46"/>
          </reference>
          <reference field="1" count="1" selected="0">
            <x v="1"/>
          </reference>
        </references>
      </pivotArea>
    </chartFormat>
    <chartFormat chart="4" format="97" series="1">
      <pivotArea type="data" outline="0" fieldPosition="0">
        <references count="3">
          <reference field="4294967294" count="1" selected="0">
            <x v="0"/>
          </reference>
          <reference field="0" count="1" selected="0">
            <x v="47"/>
          </reference>
          <reference field="1" count="1" selected="0">
            <x v="1"/>
          </reference>
        </references>
      </pivotArea>
    </chartFormat>
    <chartFormat chart="4" format="98" series="1">
      <pivotArea type="data" outline="0" fieldPosition="0">
        <references count="3">
          <reference field="4294967294" count="1" selected="0">
            <x v="0"/>
          </reference>
          <reference field="0" count="1" selected="0">
            <x v="48"/>
          </reference>
          <reference field="1" count="1" selected="0">
            <x v="1"/>
          </reference>
        </references>
      </pivotArea>
    </chartFormat>
    <chartFormat chart="4" format="99" series="1">
      <pivotArea type="data" outline="0" fieldPosition="0">
        <references count="3">
          <reference field="4294967294" count="1" selected="0">
            <x v="0"/>
          </reference>
          <reference field="0" count="1" selected="0">
            <x v="49"/>
          </reference>
          <reference field="1" count="1" selected="0">
            <x v="1"/>
          </reference>
        </references>
      </pivotArea>
    </chartFormat>
    <chartFormat chart="4" format="100" series="1">
      <pivotArea type="data" outline="0" fieldPosition="0">
        <references count="3">
          <reference field="4294967294" count="1" selected="0">
            <x v="0"/>
          </reference>
          <reference field="0" count="1" selected="0">
            <x v="0"/>
          </reference>
          <reference field="1" count="1" selected="0">
            <x v="2"/>
          </reference>
        </references>
      </pivotArea>
    </chartFormat>
    <chartFormat chart="4" format="101" series="1">
      <pivotArea type="data" outline="0" fieldPosition="0">
        <references count="3">
          <reference field="4294967294" count="1" selected="0">
            <x v="0"/>
          </reference>
          <reference field="0" count="1" selected="0">
            <x v="1"/>
          </reference>
          <reference field="1" count="1" selected="0">
            <x v="2"/>
          </reference>
        </references>
      </pivotArea>
    </chartFormat>
    <chartFormat chart="4" format="102" series="1">
      <pivotArea type="data" outline="0" fieldPosition="0">
        <references count="3">
          <reference field="4294967294" count="1" selected="0">
            <x v="0"/>
          </reference>
          <reference field="0" count="1" selected="0">
            <x v="2"/>
          </reference>
          <reference field="1" count="1" selected="0">
            <x v="2"/>
          </reference>
        </references>
      </pivotArea>
    </chartFormat>
    <chartFormat chart="4" format="103" series="1">
      <pivotArea type="data" outline="0" fieldPosition="0">
        <references count="3">
          <reference field="4294967294" count="1" selected="0">
            <x v="0"/>
          </reference>
          <reference field="0" count="1" selected="0">
            <x v="3"/>
          </reference>
          <reference field="1" count="1" selected="0">
            <x v="2"/>
          </reference>
        </references>
      </pivotArea>
    </chartFormat>
    <chartFormat chart="4" format="104" series="1">
      <pivotArea type="data" outline="0" fieldPosition="0">
        <references count="3">
          <reference field="4294967294" count="1" selected="0">
            <x v="0"/>
          </reference>
          <reference field="0" count="1" selected="0">
            <x v="4"/>
          </reference>
          <reference field="1" count="1" selected="0">
            <x v="2"/>
          </reference>
        </references>
      </pivotArea>
    </chartFormat>
    <chartFormat chart="4" format="105" series="1">
      <pivotArea type="data" outline="0" fieldPosition="0">
        <references count="3">
          <reference field="4294967294" count="1" selected="0">
            <x v="0"/>
          </reference>
          <reference field="0" count="1" selected="0">
            <x v="5"/>
          </reference>
          <reference field="1" count="1" selected="0">
            <x v="2"/>
          </reference>
        </references>
      </pivotArea>
    </chartFormat>
    <chartFormat chart="4" format="106" series="1">
      <pivotArea type="data" outline="0" fieldPosition="0">
        <references count="3">
          <reference field="4294967294" count="1" selected="0">
            <x v="0"/>
          </reference>
          <reference field="0" count="1" selected="0">
            <x v="6"/>
          </reference>
          <reference field="1" count="1" selected="0">
            <x v="2"/>
          </reference>
        </references>
      </pivotArea>
    </chartFormat>
    <chartFormat chart="4" format="107" series="1">
      <pivotArea type="data" outline="0" fieldPosition="0">
        <references count="3">
          <reference field="4294967294" count="1" selected="0">
            <x v="0"/>
          </reference>
          <reference field="0" count="1" selected="0">
            <x v="7"/>
          </reference>
          <reference field="1" count="1" selected="0">
            <x v="2"/>
          </reference>
        </references>
      </pivotArea>
    </chartFormat>
    <chartFormat chart="4" format="108" series="1">
      <pivotArea type="data" outline="0" fieldPosition="0">
        <references count="3">
          <reference field="4294967294" count="1" selected="0">
            <x v="0"/>
          </reference>
          <reference field="0" count="1" selected="0">
            <x v="8"/>
          </reference>
          <reference field="1" count="1" selected="0">
            <x v="2"/>
          </reference>
        </references>
      </pivotArea>
    </chartFormat>
    <chartFormat chart="4" format="109" series="1">
      <pivotArea type="data" outline="0" fieldPosition="0">
        <references count="3">
          <reference field="4294967294" count="1" selected="0">
            <x v="0"/>
          </reference>
          <reference field="0" count="1" selected="0">
            <x v="9"/>
          </reference>
          <reference field="1" count="1" selected="0">
            <x v="2"/>
          </reference>
        </references>
      </pivotArea>
    </chartFormat>
    <chartFormat chart="4" format="110" series="1">
      <pivotArea type="data" outline="0" fieldPosition="0">
        <references count="3">
          <reference field="4294967294" count="1" selected="0">
            <x v="0"/>
          </reference>
          <reference field="0" count="1" selected="0">
            <x v="10"/>
          </reference>
          <reference field="1" count="1" selected="0">
            <x v="2"/>
          </reference>
        </references>
      </pivotArea>
    </chartFormat>
    <chartFormat chart="4" format="111" series="1">
      <pivotArea type="data" outline="0" fieldPosition="0">
        <references count="3">
          <reference field="4294967294" count="1" selected="0">
            <x v="0"/>
          </reference>
          <reference field="0" count="1" selected="0">
            <x v="11"/>
          </reference>
          <reference field="1" count="1" selected="0">
            <x v="2"/>
          </reference>
        </references>
      </pivotArea>
    </chartFormat>
    <chartFormat chart="4" format="112" series="1">
      <pivotArea type="data" outline="0" fieldPosition="0">
        <references count="3">
          <reference field="4294967294" count="1" selected="0">
            <x v="0"/>
          </reference>
          <reference field="0" count="1" selected="0">
            <x v="12"/>
          </reference>
          <reference field="1" count="1" selected="0">
            <x v="2"/>
          </reference>
        </references>
      </pivotArea>
    </chartFormat>
    <chartFormat chart="4" format="113" series="1">
      <pivotArea type="data" outline="0" fieldPosition="0">
        <references count="3">
          <reference field="4294967294" count="1" selected="0">
            <x v="0"/>
          </reference>
          <reference field="0" count="1" selected="0">
            <x v="13"/>
          </reference>
          <reference field="1" count="1" selected="0">
            <x v="2"/>
          </reference>
        </references>
      </pivotArea>
    </chartFormat>
    <chartFormat chart="4" format="114" series="1">
      <pivotArea type="data" outline="0" fieldPosition="0">
        <references count="3">
          <reference field="4294967294" count="1" selected="0">
            <x v="0"/>
          </reference>
          <reference field="0" count="1" selected="0">
            <x v="14"/>
          </reference>
          <reference field="1" count="1" selected="0">
            <x v="2"/>
          </reference>
        </references>
      </pivotArea>
    </chartFormat>
    <chartFormat chart="4" format="115" series="1">
      <pivotArea type="data" outline="0" fieldPosition="0">
        <references count="3">
          <reference field="4294967294" count="1" selected="0">
            <x v="0"/>
          </reference>
          <reference field="0" count="1" selected="0">
            <x v="15"/>
          </reference>
          <reference field="1" count="1" selected="0">
            <x v="2"/>
          </reference>
        </references>
      </pivotArea>
    </chartFormat>
    <chartFormat chart="4" format="116" series="1">
      <pivotArea type="data" outline="0" fieldPosition="0">
        <references count="3">
          <reference field="4294967294" count="1" selected="0">
            <x v="0"/>
          </reference>
          <reference field="0" count="1" selected="0">
            <x v="16"/>
          </reference>
          <reference field="1" count="1" selected="0">
            <x v="2"/>
          </reference>
        </references>
      </pivotArea>
    </chartFormat>
    <chartFormat chart="4" format="117" series="1">
      <pivotArea type="data" outline="0" fieldPosition="0">
        <references count="3">
          <reference field="4294967294" count="1" selected="0">
            <x v="0"/>
          </reference>
          <reference field="0" count="1" selected="0">
            <x v="17"/>
          </reference>
          <reference field="1" count="1" selected="0">
            <x v="2"/>
          </reference>
        </references>
      </pivotArea>
    </chartFormat>
    <chartFormat chart="4" format="118" series="1">
      <pivotArea type="data" outline="0" fieldPosition="0">
        <references count="3">
          <reference field="4294967294" count="1" selected="0">
            <x v="0"/>
          </reference>
          <reference field="0" count="1" selected="0">
            <x v="18"/>
          </reference>
          <reference field="1" count="1" selected="0">
            <x v="2"/>
          </reference>
        </references>
      </pivotArea>
    </chartFormat>
    <chartFormat chart="4" format="119" series="1">
      <pivotArea type="data" outline="0" fieldPosition="0">
        <references count="3">
          <reference field="4294967294" count="1" selected="0">
            <x v="0"/>
          </reference>
          <reference field="0" count="1" selected="0">
            <x v="19"/>
          </reference>
          <reference field="1" count="1" selected="0">
            <x v="2"/>
          </reference>
        </references>
      </pivotArea>
    </chartFormat>
    <chartFormat chart="4" format="120" series="1">
      <pivotArea type="data" outline="0" fieldPosition="0">
        <references count="3">
          <reference field="4294967294" count="1" selected="0">
            <x v="0"/>
          </reference>
          <reference field="0" count="1" selected="0">
            <x v="20"/>
          </reference>
          <reference field="1" count="1" selected="0">
            <x v="2"/>
          </reference>
        </references>
      </pivotArea>
    </chartFormat>
    <chartFormat chart="4" format="121" series="1">
      <pivotArea type="data" outline="0" fieldPosition="0">
        <references count="3">
          <reference field="4294967294" count="1" selected="0">
            <x v="0"/>
          </reference>
          <reference field="0" count="1" selected="0">
            <x v="21"/>
          </reference>
          <reference field="1" count="1" selected="0">
            <x v="2"/>
          </reference>
        </references>
      </pivotArea>
    </chartFormat>
    <chartFormat chart="4" format="122" series="1">
      <pivotArea type="data" outline="0" fieldPosition="0">
        <references count="3">
          <reference field="4294967294" count="1" selected="0">
            <x v="0"/>
          </reference>
          <reference field="0" count="1" selected="0">
            <x v="22"/>
          </reference>
          <reference field="1" count="1" selected="0">
            <x v="2"/>
          </reference>
        </references>
      </pivotArea>
    </chartFormat>
    <chartFormat chart="4" format="123" series="1">
      <pivotArea type="data" outline="0" fieldPosition="0">
        <references count="3">
          <reference field="4294967294" count="1" selected="0">
            <x v="0"/>
          </reference>
          <reference field="0" count="1" selected="0">
            <x v="23"/>
          </reference>
          <reference field="1" count="1" selected="0">
            <x v="2"/>
          </reference>
        </references>
      </pivotArea>
    </chartFormat>
    <chartFormat chart="4" format="124" series="1">
      <pivotArea type="data" outline="0" fieldPosition="0">
        <references count="3">
          <reference field="4294967294" count="1" selected="0">
            <x v="0"/>
          </reference>
          <reference field="0" count="1" selected="0">
            <x v="24"/>
          </reference>
          <reference field="1" count="1" selected="0">
            <x v="2"/>
          </reference>
        </references>
      </pivotArea>
    </chartFormat>
    <chartFormat chart="4" format="125" series="1">
      <pivotArea type="data" outline="0" fieldPosition="0">
        <references count="3">
          <reference field="4294967294" count="1" selected="0">
            <x v="0"/>
          </reference>
          <reference field="0" count="1" selected="0">
            <x v="25"/>
          </reference>
          <reference field="1" count="1" selected="0">
            <x v="2"/>
          </reference>
        </references>
      </pivotArea>
    </chartFormat>
    <chartFormat chart="4" format="126" series="1">
      <pivotArea type="data" outline="0" fieldPosition="0">
        <references count="3">
          <reference field="4294967294" count="1" selected="0">
            <x v="0"/>
          </reference>
          <reference field="0" count="1" selected="0">
            <x v="26"/>
          </reference>
          <reference field="1" count="1" selected="0">
            <x v="2"/>
          </reference>
        </references>
      </pivotArea>
    </chartFormat>
    <chartFormat chart="4" format="127" series="1">
      <pivotArea type="data" outline="0" fieldPosition="0">
        <references count="3">
          <reference field="4294967294" count="1" selected="0">
            <x v="0"/>
          </reference>
          <reference field="0" count="1" selected="0">
            <x v="27"/>
          </reference>
          <reference field="1" count="1" selected="0">
            <x v="2"/>
          </reference>
        </references>
      </pivotArea>
    </chartFormat>
    <chartFormat chart="4" format="128" series="1">
      <pivotArea type="data" outline="0" fieldPosition="0">
        <references count="3">
          <reference field="4294967294" count="1" selected="0">
            <x v="0"/>
          </reference>
          <reference field="0" count="1" selected="0">
            <x v="28"/>
          </reference>
          <reference field="1" count="1" selected="0">
            <x v="2"/>
          </reference>
        </references>
      </pivotArea>
    </chartFormat>
    <chartFormat chart="4" format="129" series="1">
      <pivotArea type="data" outline="0" fieldPosition="0">
        <references count="3">
          <reference field="4294967294" count="1" selected="0">
            <x v="0"/>
          </reference>
          <reference field="0" count="1" selected="0">
            <x v="29"/>
          </reference>
          <reference field="1" count="1" selected="0">
            <x v="2"/>
          </reference>
        </references>
      </pivotArea>
    </chartFormat>
    <chartFormat chart="4" format="130" series="1">
      <pivotArea type="data" outline="0" fieldPosition="0">
        <references count="3">
          <reference field="4294967294" count="1" selected="0">
            <x v="0"/>
          </reference>
          <reference field="0" count="1" selected="0">
            <x v="30"/>
          </reference>
          <reference field="1" count="1" selected="0">
            <x v="2"/>
          </reference>
        </references>
      </pivotArea>
    </chartFormat>
    <chartFormat chart="4" format="131" series="1">
      <pivotArea type="data" outline="0" fieldPosition="0">
        <references count="3">
          <reference field="4294967294" count="1" selected="0">
            <x v="0"/>
          </reference>
          <reference field="0" count="1" selected="0">
            <x v="31"/>
          </reference>
          <reference field="1" count="1" selected="0">
            <x v="2"/>
          </reference>
        </references>
      </pivotArea>
    </chartFormat>
    <chartFormat chart="4" format="132" series="1">
      <pivotArea type="data" outline="0" fieldPosition="0">
        <references count="3">
          <reference field="4294967294" count="1" selected="0">
            <x v="0"/>
          </reference>
          <reference field="0" count="1" selected="0">
            <x v="32"/>
          </reference>
          <reference field="1" count="1" selected="0">
            <x v="2"/>
          </reference>
        </references>
      </pivotArea>
    </chartFormat>
    <chartFormat chart="4" format="133" series="1">
      <pivotArea type="data" outline="0" fieldPosition="0">
        <references count="3">
          <reference field="4294967294" count="1" selected="0">
            <x v="0"/>
          </reference>
          <reference field="0" count="1" selected="0">
            <x v="33"/>
          </reference>
          <reference field="1" count="1" selected="0">
            <x v="2"/>
          </reference>
        </references>
      </pivotArea>
    </chartFormat>
    <chartFormat chart="4" format="134" series="1">
      <pivotArea type="data" outline="0" fieldPosition="0">
        <references count="3">
          <reference field="4294967294" count="1" selected="0">
            <x v="0"/>
          </reference>
          <reference field="0" count="1" selected="0">
            <x v="34"/>
          </reference>
          <reference field="1" count="1" selected="0">
            <x v="2"/>
          </reference>
        </references>
      </pivotArea>
    </chartFormat>
    <chartFormat chart="4" format="135" series="1">
      <pivotArea type="data" outline="0" fieldPosition="0">
        <references count="3">
          <reference field="4294967294" count="1" selected="0">
            <x v="0"/>
          </reference>
          <reference field="0" count="1" selected="0">
            <x v="35"/>
          </reference>
          <reference field="1" count="1" selected="0">
            <x v="2"/>
          </reference>
        </references>
      </pivotArea>
    </chartFormat>
    <chartFormat chart="4" format="136" series="1">
      <pivotArea type="data" outline="0" fieldPosition="0">
        <references count="3">
          <reference field="4294967294" count="1" selected="0">
            <x v="0"/>
          </reference>
          <reference field="0" count="1" selected="0">
            <x v="36"/>
          </reference>
          <reference field="1" count="1" selected="0">
            <x v="2"/>
          </reference>
        </references>
      </pivotArea>
    </chartFormat>
    <chartFormat chart="4" format="137" series="1">
      <pivotArea type="data" outline="0" fieldPosition="0">
        <references count="3">
          <reference field="4294967294" count="1" selected="0">
            <x v="0"/>
          </reference>
          <reference field="0" count="1" selected="0">
            <x v="37"/>
          </reference>
          <reference field="1" count="1" selected="0">
            <x v="2"/>
          </reference>
        </references>
      </pivotArea>
    </chartFormat>
    <chartFormat chart="4" format="138" series="1">
      <pivotArea type="data" outline="0" fieldPosition="0">
        <references count="3">
          <reference field="4294967294" count="1" selected="0">
            <x v="0"/>
          </reference>
          <reference field="0" count="1" selected="0">
            <x v="38"/>
          </reference>
          <reference field="1" count="1" selected="0">
            <x v="2"/>
          </reference>
        </references>
      </pivotArea>
    </chartFormat>
    <chartFormat chart="4" format="139" series="1">
      <pivotArea type="data" outline="0" fieldPosition="0">
        <references count="3">
          <reference field="4294967294" count="1" selected="0">
            <x v="0"/>
          </reference>
          <reference field="0" count="1" selected="0">
            <x v="39"/>
          </reference>
          <reference field="1" count="1" selected="0">
            <x v="2"/>
          </reference>
        </references>
      </pivotArea>
    </chartFormat>
    <chartFormat chart="4" format="140" series="1">
      <pivotArea type="data" outline="0" fieldPosition="0">
        <references count="3">
          <reference field="4294967294" count="1" selected="0">
            <x v="0"/>
          </reference>
          <reference field="0" count="1" selected="0">
            <x v="40"/>
          </reference>
          <reference field="1" count="1" selected="0">
            <x v="2"/>
          </reference>
        </references>
      </pivotArea>
    </chartFormat>
    <chartFormat chart="4" format="141" series="1">
      <pivotArea type="data" outline="0" fieldPosition="0">
        <references count="3">
          <reference field="4294967294" count="1" selected="0">
            <x v="0"/>
          </reference>
          <reference field="0" count="1" selected="0">
            <x v="41"/>
          </reference>
          <reference field="1" count="1" selected="0">
            <x v="2"/>
          </reference>
        </references>
      </pivotArea>
    </chartFormat>
    <chartFormat chart="4" format="142" series="1">
      <pivotArea type="data" outline="0" fieldPosition="0">
        <references count="3">
          <reference field="4294967294" count="1" selected="0">
            <x v="0"/>
          </reference>
          <reference field="0" count="1" selected="0">
            <x v="42"/>
          </reference>
          <reference field="1" count="1" selected="0">
            <x v="2"/>
          </reference>
        </references>
      </pivotArea>
    </chartFormat>
    <chartFormat chart="4" format="143" series="1">
      <pivotArea type="data" outline="0" fieldPosition="0">
        <references count="3">
          <reference field="4294967294" count="1" selected="0">
            <x v="0"/>
          </reference>
          <reference field="0" count="1" selected="0">
            <x v="43"/>
          </reference>
          <reference field="1" count="1" selected="0">
            <x v="2"/>
          </reference>
        </references>
      </pivotArea>
    </chartFormat>
    <chartFormat chart="4" format="144" series="1">
      <pivotArea type="data" outline="0" fieldPosition="0">
        <references count="3">
          <reference field="4294967294" count="1" selected="0">
            <x v="0"/>
          </reference>
          <reference field="0" count="1" selected="0">
            <x v="44"/>
          </reference>
          <reference field="1" count="1" selected="0">
            <x v="2"/>
          </reference>
        </references>
      </pivotArea>
    </chartFormat>
    <chartFormat chart="4" format="145" series="1">
      <pivotArea type="data" outline="0" fieldPosition="0">
        <references count="3">
          <reference field="4294967294" count="1" selected="0">
            <x v="0"/>
          </reference>
          <reference field="0" count="1" selected="0">
            <x v="45"/>
          </reference>
          <reference field="1" count="1" selected="0">
            <x v="2"/>
          </reference>
        </references>
      </pivotArea>
    </chartFormat>
    <chartFormat chart="4" format="146" series="1">
      <pivotArea type="data" outline="0" fieldPosition="0">
        <references count="3">
          <reference field="4294967294" count="1" selected="0">
            <x v="0"/>
          </reference>
          <reference field="0" count="1" selected="0">
            <x v="46"/>
          </reference>
          <reference field="1" count="1" selected="0">
            <x v="2"/>
          </reference>
        </references>
      </pivotArea>
    </chartFormat>
    <chartFormat chart="4" format="147" series="1">
      <pivotArea type="data" outline="0" fieldPosition="0">
        <references count="3">
          <reference field="4294967294" count="1" selected="0">
            <x v="0"/>
          </reference>
          <reference field="0" count="1" selected="0">
            <x v="47"/>
          </reference>
          <reference field="1" count="1" selected="0">
            <x v="2"/>
          </reference>
        </references>
      </pivotArea>
    </chartFormat>
    <chartFormat chart="4" format="148" series="1">
      <pivotArea type="data" outline="0" fieldPosition="0">
        <references count="3">
          <reference field="4294967294" count="1" selected="0">
            <x v="0"/>
          </reference>
          <reference field="0" count="1" selected="0">
            <x v="48"/>
          </reference>
          <reference field="1" count="1" selected="0">
            <x v="2"/>
          </reference>
        </references>
      </pivotArea>
    </chartFormat>
    <chartFormat chart="4" format="149" series="1">
      <pivotArea type="data" outline="0" fieldPosition="0">
        <references count="3">
          <reference field="4294967294" count="1" selected="0">
            <x v="0"/>
          </reference>
          <reference field="0" count="1" selected="0">
            <x v="49"/>
          </reference>
          <reference field="1" count="1" selected="0">
            <x v="2"/>
          </reference>
        </references>
      </pivotArea>
    </chartFormat>
    <chartFormat chart="4" format="150" series="1">
      <pivotArea type="data" outline="0" fieldPosition="0">
        <references count="3">
          <reference field="4294967294" count="1" selected="0">
            <x v="0"/>
          </reference>
          <reference field="0" count="1" selected="0">
            <x v="0"/>
          </reference>
          <reference field="1" count="1" selected="0">
            <x v="3"/>
          </reference>
        </references>
      </pivotArea>
    </chartFormat>
    <chartFormat chart="4" format="151" series="1">
      <pivotArea type="data" outline="0" fieldPosition="0">
        <references count="3">
          <reference field="4294967294" count="1" selected="0">
            <x v="0"/>
          </reference>
          <reference field="0" count="1" selected="0">
            <x v="1"/>
          </reference>
          <reference field="1" count="1" selected="0">
            <x v="3"/>
          </reference>
        </references>
      </pivotArea>
    </chartFormat>
    <chartFormat chart="4" format="152" series="1">
      <pivotArea type="data" outline="0" fieldPosition="0">
        <references count="3">
          <reference field="4294967294" count="1" selected="0">
            <x v="0"/>
          </reference>
          <reference field="0" count="1" selected="0">
            <x v="2"/>
          </reference>
          <reference field="1" count="1" selected="0">
            <x v="3"/>
          </reference>
        </references>
      </pivotArea>
    </chartFormat>
    <chartFormat chart="4" format="153" series="1">
      <pivotArea type="data" outline="0" fieldPosition="0">
        <references count="3">
          <reference field="4294967294" count="1" selected="0">
            <x v="0"/>
          </reference>
          <reference field="0" count="1" selected="0">
            <x v="3"/>
          </reference>
          <reference field="1" count="1" selected="0">
            <x v="3"/>
          </reference>
        </references>
      </pivotArea>
    </chartFormat>
    <chartFormat chart="4" format="154" series="1">
      <pivotArea type="data" outline="0" fieldPosition="0">
        <references count="3">
          <reference field="4294967294" count="1" selected="0">
            <x v="0"/>
          </reference>
          <reference field="0" count="1" selected="0">
            <x v="4"/>
          </reference>
          <reference field="1" count="1" selected="0">
            <x v="3"/>
          </reference>
        </references>
      </pivotArea>
    </chartFormat>
    <chartFormat chart="4" format="155" series="1">
      <pivotArea type="data" outline="0" fieldPosition="0">
        <references count="3">
          <reference field="4294967294" count="1" selected="0">
            <x v="0"/>
          </reference>
          <reference field="0" count="1" selected="0">
            <x v="5"/>
          </reference>
          <reference field="1" count="1" selected="0">
            <x v="3"/>
          </reference>
        </references>
      </pivotArea>
    </chartFormat>
    <chartFormat chart="4" format="156" series="1">
      <pivotArea type="data" outline="0" fieldPosition="0">
        <references count="3">
          <reference field="4294967294" count="1" selected="0">
            <x v="0"/>
          </reference>
          <reference field="0" count="1" selected="0">
            <x v="6"/>
          </reference>
          <reference field="1" count="1" selected="0">
            <x v="3"/>
          </reference>
        </references>
      </pivotArea>
    </chartFormat>
    <chartFormat chart="4" format="157" series="1">
      <pivotArea type="data" outline="0" fieldPosition="0">
        <references count="3">
          <reference field="4294967294" count="1" selected="0">
            <x v="0"/>
          </reference>
          <reference field="0" count="1" selected="0">
            <x v="7"/>
          </reference>
          <reference field="1" count="1" selected="0">
            <x v="3"/>
          </reference>
        </references>
      </pivotArea>
    </chartFormat>
    <chartFormat chart="4" format="158" series="1">
      <pivotArea type="data" outline="0" fieldPosition="0">
        <references count="3">
          <reference field="4294967294" count="1" selected="0">
            <x v="0"/>
          </reference>
          <reference field="0" count="1" selected="0">
            <x v="8"/>
          </reference>
          <reference field="1" count="1" selected="0">
            <x v="3"/>
          </reference>
        </references>
      </pivotArea>
    </chartFormat>
    <chartFormat chart="4" format="159" series="1">
      <pivotArea type="data" outline="0" fieldPosition="0">
        <references count="3">
          <reference field="4294967294" count="1" selected="0">
            <x v="0"/>
          </reference>
          <reference field="0" count="1" selected="0">
            <x v="9"/>
          </reference>
          <reference field="1" count="1" selected="0">
            <x v="3"/>
          </reference>
        </references>
      </pivotArea>
    </chartFormat>
    <chartFormat chart="4" format="160" series="1">
      <pivotArea type="data" outline="0" fieldPosition="0">
        <references count="3">
          <reference field="4294967294" count="1" selected="0">
            <x v="0"/>
          </reference>
          <reference field="0" count="1" selected="0">
            <x v="10"/>
          </reference>
          <reference field="1" count="1" selected="0">
            <x v="3"/>
          </reference>
        </references>
      </pivotArea>
    </chartFormat>
    <chartFormat chart="4" format="161" series="1">
      <pivotArea type="data" outline="0" fieldPosition="0">
        <references count="3">
          <reference field="4294967294" count="1" selected="0">
            <x v="0"/>
          </reference>
          <reference field="0" count="1" selected="0">
            <x v="11"/>
          </reference>
          <reference field="1" count="1" selected="0">
            <x v="3"/>
          </reference>
        </references>
      </pivotArea>
    </chartFormat>
    <chartFormat chart="4" format="162" series="1">
      <pivotArea type="data" outline="0" fieldPosition="0">
        <references count="3">
          <reference field="4294967294" count="1" selected="0">
            <x v="0"/>
          </reference>
          <reference field="0" count="1" selected="0">
            <x v="12"/>
          </reference>
          <reference field="1" count="1" selected="0">
            <x v="3"/>
          </reference>
        </references>
      </pivotArea>
    </chartFormat>
    <chartFormat chart="4" format="163" series="1">
      <pivotArea type="data" outline="0" fieldPosition="0">
        <references count="3">
          <reference field="4294967294" count="1" selected="0">
            <x v="0"/>
          </reference>
          <reference field="0" count="1" selected="0">
            <x v="13"/>
          </reference>
          <reference field="1" count="1" selected="0">
            <x v="3"/>
          </reference>
        </references>
      </pivotArea>
    </chartFormat>
    <chartFormat chart="4" format="164" series="1">
      <pivotArea type="data" outline="0" fieldPosition="0">
        <references count="3">
          <reference field="4294967294" count="1" selected="0">
            <x v="0"/>
          </reference>
          <reference field="0" count="1" selected="0">
            <x v="14"/>
          </reference>
          <reference field="1" count="1" selected="0">
            <x v="3"/>
          </reference>
        </references>
      </pivotArea>
    </chartFormat>
    <chartFormat chart="4" format="165" series="1">
      <pivotArea type="data" outline="0" fieldPosition="0">
        <references count="3">
          <reference field="4294967294" count="1" selected="0">
            <x v="0"/>
          </reference>
          <reference field="0" count="1" selected="0">
            <x v="15"/>
          </reference>
          <reference field="1" count="1" selected="0">
            <x v="3"/>
          </reference>
        </references>
      </pivotArea>
    </chartFormat>
    <chartFormat chart="4" format="166" series="1">
      <pivotArea type="data" outline="0" fieldPosition="0">
        <references count="3">
          <reference field="4294967294" count="1" selected="0">
            <x v="0"/>
          </reference>
          <reference field="0" count="1" selected="0">
            <x v="16"/>
          </reference>
          <reference field="1" count="1" selected="0">
            <x v="3"/>
          </reference>
        </references>
      </pivotArea>
    </chartFormat>
    <chartFormat chart="4" format="167" series="1">
      <pivotArea type="data" outline="0" fieldPosition="0">
        <references count="3">
          <reference field="4294967294" count="1" selected="0">
            <x v="0"/>
          </reference>
          <reference field="0" count="1" selected="0">
            <x v="17"/>
          </reference>
          <reference field="1" count="1" selected="0">
            <x v="3"/>
          </reference>
        </references>
      </pivotArea>
    </chartFormat>
    <chartFormat chart="4" format="168" series="1">
      <pivotArea type="data" outline="0" fieldPosition="0">
        <references count="3">
          <reference field="4294967294" count="1" selected="0">
            <x v="0"/>
          </reference>
          <reference field="0" count="1" selected="0">
            <x v="18"/>
          </reference>
          <reference field="1" count="1" selected="0">
            <x v="3"/>
          </reference>
        </references>
      </pivotArea>
    </chartFormat>
    <chartFormat chart="4" format="169" series="1">
      <pivotArea type="data" outline="0" fieldPosition="0">
        <references count="3">
          <reference field="4294967294" count="1" selected="0">
            <x v="0"/>
          </reference>
          <reference field="0" count="1" selected="0">
            <x v="19"/>
          </reference>
          <reference field="1" count="1" selected="0">
            <x v="3"/>
          </reference>
        </references>
      </pivotArea>
    </chartFormat>
    <chartFormat chart="4" format="170" series="1">
      <pivotArea type="data" outline="0" fieldPosition="0">
        <references count="3">
          <reference field="4294967294" count="1" selected="0">
            <x v="0"/>
          </reference>
          <reference field="0" count="1" selected="0">
            <x v="20"/>
          </reference>
          <reference field="1" count="1" selected="0">
            <x v="3"/>
          </reference>
        </references>
      </pivotArea>
    </chartFormat>
    <chartFormat chart="4" format="171" series="1">
      <pivotArea type="data" outline="0" fieldPosition="0">
        <references count="3">
          <reference field="4294967294" count="1" selected="0">
            <x v="0"/>
          </reference>
          <reference field="0" count="1" selected="0">
            <x v="21"/>
          </reference>
          <reference field="1" count="1" selected="0">
            <x v="3"/>
          </reference>
        </references>
      </pivotArea>
    </chartFormat>
    <chartFormat chart="4" format="172" series="1">
      <pivotArea type="data" outline="0" fieldPosition="0">
        <references count="3">
          <reference field="4294967294" count="1" selected="0">
            <x v="0"/>
          </reference>
          <reference field="0" count="1" selected="0">
            <x v="22"/>
          </reference>
          <reference field="1" count="1" selected="0">
            <x v="3"/>
          </reference>
        </references>
      </pivotArea>
    </chartFormat>
    <chartFormat chart="4" format="173" series="1">
      <pivotArea type="data" outline="0" fieldPosition="0">
        <references count="3">
          <reference field="4294967294" count="1" selected="0">
            <x v="0"/>
          </reference>
          <reference field="0" count="1" selected="0">
            <x v="23"/>
          </reference>
          <reference field="1" count="1" selected="0">
            <x v="3"/>
          </reference>
        </references>
      </pivotArea>
    </chartFormat>
    <chartFormat chart="4" format="174" series="1">
      <pivotArea type="data" outline="0" fieldPosition="0">
        <references count="3">
          <reference field="4294967294" count="1" selected="0">
            <x v="0"/>
          </reference>
          <reference field="0" count="1" selected="0">
            <x v="24"/>
          </reference>
          <reference field="1" count="1" selected="0">
            <x v="3"/>
          </reference>
        </references>
      </pivotArea>
    </chartFormat>
    <chartFormat chart="4" format="175" series="1">
      <pivotArea type="data" outline="0" fieldPosition="0">
        <references count="3">
          <reference field="4294967294" count="1" selected="0">
            <x v="0"/>
          </reference>
          <reference field="0" count="1" selected="0">
            <x v="25"/>
          </reference>
          <reference field="1" count="1" selected="0">
            <x v="3"/>
          </reference>
        </references>
      </pivotArea>
    </chartFormat>
    <chartFormat chart="4" format="176" series="1">
      <pivotArea type="data" outline="0" fieldPosition="0">
        <references count="3">
          <reference field="4294967294" count="1" selected="0">
            <x v="0"/>
          </reference>
          <reference field="0" count="1" selected="0">
            <x v="26"/>
          </reference>
          <reference field="1" count="1" selected="0">
            <x v="3"/>
          </reference>
        </references>
      </pivotArea>
    </chartFormat>
    <chartFormat chart="4" format="177" series="1">
      <pivotArea type="data" outline="0" fieldPosition="0">
        <references count="3">
          <reference field="4294967294" count="1" selected="0">
            <x v="0"/>
          </reference>
          <reference field="0" count="1" selected="0">
            <x v="27"/>
          </reference>
          <reference field="1" count="1" selected="0">
            <x v="3"/>
          </reference>
        </references>
      </pivotArea>
    </chartFormat>
    <chartFormat chart="4" format="178" series="1">
      <pivotArea type="data" outline="0" fieldPosition="0">
        <references count="3">
          <reference field="4294967294" count="1" selected="0">
            <x v="0"/>
          </reference>
          <reference field="0" count="1" selected="0">
            <x v="28"/>
          </reference>
          <reference field="1" count="1" selected="0">
            <x v="3"/>
          </reference>
        </references>
      </pivotArea>
    </chartFormat>
    <chartFormat chart="4" format="179" series="1">
      <pivotArea type="data" outline="0" fieldPosition="0">
        <references count="3">
          <reference field="4294967294" count="1" selected="0">
            <x v="0"/>
          </reference>
          <reference field="0" count="1" selected="0">
            <x v="29"/>
          </reference>
          <reference field="1" count="1" selected="0">
            <x v="3"/>
          </reference>
        </references>
      </pivotArea>
    </chartFormat>
    <chartFormat chart="4" format="180" series="1">
      <pivotArea type="data" outline="0" fieldPosition="0">
        <references count="3">
          <reference field="4294967294" count="1" selected="0">
            <x v="0"/>
          </reference>
          <reference field="0" count="1" selected="0">
            <x v="30"/>
          </reference>
          <reference field="1" count="1" selected="0">
            <x v="3"/>
          </reference>
        </references>
      </pivotArea>
    </chartFormat>
    <chartFormat chart="4" format="181" series="1">
      <pivotArea type="data" outline="0" fieldPosition="0">
        <references count="3">
          <reference field="4294967294" count="1" selected="0">
            <x v="0"/>
          </reference>
          <reference field="0" count="1" selected="0">
            <x v="31"/>
          </reference>
          <reference field="1" count="1" selected="0">
            <x v="3"/>
          </reference>
        </references>
      </pivotArea>
    </chartFormat>
    <chartFormat chart="4" format="182" series="1">
      <pivotArea type="data" outline="0" fieldPosition="0">
        <references count="3">
          <reference field="4294967294" count="1" selected="0">
            <x v="0"/>
          </reference>
          <reference field="0" count="1" selected="0">
            <x v="32"/>
          </reference>
          <reference field="1" count="1" selected="0">
            <x v="3"/>
          </reference>
        </references>
      </pivotArea>
    </chartFormat>
    <chartFormat chart="4" format="183" series="1">
      <pivotArea type="data" outline="0" fieldPosition="0">
        <references count="3">
          <reference field="4294967294" count="1" selected="0">
            <x v="0"/>
          </reference>
          <reference field="0" count="1" selected="0">
            <x v="33"/>
          </reference>
          <reference field="1" count="1" selected="0">
            <x v="3"/>
          </reference>
        </references>
      </pivotArea>
    </chartFormat>
    <chartFormat chart="4" format="184" series="1">
      <pivotArea type="data" outline="0" fieldPosition="0">
        <references count="3">
          <reference field="4294967294" count="1" selected="0">
            <x v="0"/>
          </reference>
          <reference field="0" count="1" selected="0">
            <x v="34"/>
          </reference>
          <reference field="1" count="1" selected="0">
            <x v="3"/>
          </reference>
        </references>
      </pivotArea>
    </chartFormat>
    <chartFormat chart="4" format="185" series="1">
      <pivotArea type="data" outline="0" fieldPosition="0">
        <references count="3">
          <reference field="4294967294" count="1" selected="0">
            <x v="0"/>
          </reference>
          <reference field="0" count="1" selected="0">
            <x v="35"/>
          </reference>
          <reference field="1" count="1" selected="0">
            <x v="3"/>
          </reference>
        </references>
      </pivotArea>
    </chartFormat>
    <chartFormat chart="4" format="186" series="1">
      <pivotArea type="data" outline="0" fieldPosition="0">
        <references count="3">
          <reference field="4294967294" count="1" selected="0">
            <x v="0"/>
          </reference>
          <reference field="0" count="1" selected="0">
            <x v="36"/>
          </reference>
          <reference field="1" count="1" selected="0">
            <x v="3"/>
          </reference>
        </references>
      </pivotArea>
    </chartFormat>
    <chartFormat chart="4" format="187" series="1">
      <pivotArea type="data" outline="0" fieldPosition="0">
        <references count="3">
          <reference field="4294967294" count="1" selected="0">
            <x v="0"/>
          </reference>
          <reference field="0" count="1" selected="0">
            <x v="37"/>
          </reference>
          <reference field="1" count="1" selected="0">
            <x v="3"/>
          </reference>
        </references>
      </pivotArea>
    </chartFormat>
    <chartFormat chart="4" format="188" series="1">
      <pivotArea type="data" outline="0" fieldPosition="0">
        <references count="3">
          <reference field="4294967294" count="1" selected="0">
            <x v="0"/>
          </reference>
          <reference field="0" count="1" selected="0">
            <x v="38"/>
          </reference>
          <reference field="1" count="1" selected="0">
            <x v="3"/>
          </reference>
        </references>
      </pivotArea>
    </chartFormat>
    <chartFormat chart="4" format="189" series="1">
      <pivotArea type="data" outline="0" fieldPosition="0">
        <references count="3">
          <reference field="4294967294" count="1" selected="0">
            <x v="0"/>
          </reference>
          <reference field="0" count="1" selected="0">
            <x v="39"/>
          </reference>
          <reference field="1" count="1" selected="0">
            <x v="3"/>
          </reference>
        </references>
      </pivotArea>
    </chartFormat>
    <chartFormat chart="4" format="190" series="1">
      <pivotArea type="data" outline="0" fieldPosition="0">
        <references count="3">
          <reference field="4294967294" count="1" selected="0">
            <x v="0"/>
          </reference>
          <reference field="0" count="1" selected="0">
            <x v="40"/>
          </reference>
          <reference field="1" count="1" selected="0">
            <x v="3"/>
          </reference>
        </references>
      </pivotArea>
    </chartFormat>
    <chartFormat chart="4" format="191" series="1">
      <pivotArea type="data" outline="0" fieldPosition="0">
        <references count="3">
          <reference field="4294967294" count="1" selected="0">
            <x v="0"/>
          </reference>
          <reference field="0" count="1" selected="0">
            <x v="41"/>
          </reference>
          <reference field="1" count="1" selected="0">
            <x v="3"/>
          </reference>
        </references>
      </pivotArea>
    </chartFormat>
    <chartFormat chart="4" format="192" series="1">
      <pivotArea type="data" outline="0" fieldPosition="0">
        <references count="3">
          <reference field="4294967294" count="1" selected="0">
            <x v="0"/>
          </reference>
          <reference field="0" count="1" selected="0">
            <x v="42"/>
          </reference>
          <reference field="1" count="1" selected="0">
            <x v="3"/>
          </reference>
        </references>
      </pivotArea>
    </chartFormat>
    <chartFormat chart="4" format="193" series="1">
      <pivotArea type="data" outline="0" fieldPosition="0">
        <references count="3">
          <reference field="4294967294" count="1" selected="0">
            <x v="0"/>
          </reference>
          <reference field="0" count="1" selected="0">
            <x v="43"/>
          </reference>
          <reference field="1" count="1" selected="0">
            <x v="3"/>
          </reference>
        </references>
      </pivotArea>
    </chartFormat>
    <chartFormat chart="4" format="194" series="1">
      <pivotArea type="data" outline="0" fieldPosition="0">
        <references count="3">
          <reference field="4294967294" count="1" selected="0">
            <x v="0"/>
          </reference>
          <reference field="0" count="1" selected="0">
            <x v="44"/>
          </reference>
          <reference field="1" count="1" selected="0">
            <x v="3"/>
          </reference>
        </references>
      </pivotArea>
    </chartFormat>
    <chartFormat chart="4" format="195" series="1">
      <pivotArea type="data" outline="0" fieldPosition="0">
        <references count="3">
          <reference field="4294967294" count="1" selected="0">
            <x v="0"/>
          </reference>
          <reference field="0" count="1" selected="0">
            <x v="45"/>
          </reference>
          <reference field="1" count="1" selected="0">
            <x v="3"/>
          </reference>
        </references>
      </pivotArea>
    </chartFormat>
    <chartFormat chart="4" format="196" series="1">
      <pivotArea type="data" outline="0" fieldPosition="0">
        <references count="3">
          <reference field="4294967294" count="1" selected="0">
            <x v="0"/>
          </reference>
          <reference field="0" count="1" selected="0">
            <x v="46"/>
          </reference>
          <reference field="1" count="1" selected="0">
            <x v="3"/>
          </reference>
        </references>
      </pivotArea>
    </chartFormat>
    <chartFormat chart="4" format="197" series="1">
      <pivotArea type="data" outline="0" fieldPosition="0">
        <references count="3">
          <reference field="4294967294" count="1" selected="0">
            <x v="0"/>
          </reference>
          <reference field="0" count="1" selected="0">
            <x v="47"/>
          </reference>
          <reference field="1" count="1" selected="0">
            <x v="3"/>
          </reference>
        </references>
      </pivotArea>
    </chartFormat>
    <chartFormat chart="4" format="198" series="1">
      <pivotArea type="data" outline="0" fieldPosition="0">
        <references count="3">
          <reference field="4294967294" count="1" selected="0">
            <x v="0"/>
          </reference>
          <reference field="0" count="1" selected="0">
            <x v="48"/>
          </reference>
          <reference field="1" count="1" selected="0">
            <x v="3"/>
          </reference>
        </references>
      </pivotArea>
    </chartFormat>
    <chartFormat chart="4" format="199" series="1">
      <pivotArea type="data" outline="0" fieldPosition="0">
        <references count="3">
          <reference field="4294967294" count="1" selected="0">
            <x v="0"/>
          </reference>
          <reference field="0" count="1" selected="0">
            <x v="49"/>
          </reference>
          <reference field="1" count="1" selected="0">
            <x v="3"/>
          </reference>
        </references>
      </pivotArea>
    </chartFormat>
    <chartFormat chart="4" format="200" series="1">
      <pivotArea type="data" outline="0" fieldPosition="0">
        <references count="2">
          <reference field="4294967294" count="1" selected="0">
            <x v="0"/>
          </reference>
          <reference field="0" count="1" selected="0">
            <x v="0"/>
          </reference>
        </references>
      </pivotArea>
    </chartFormat>
    <chartFormat chart="4" format="201" series="1">
      <pivotArea type="data" outline="0" fieldPosition="0">
        <references count="2">
          <reference field="4294967294" count="1" selected="0">
            <x v="0"/>
          </reference>
          <reference field="0" count="1" selected="0">
            <x v="1"/>
          </reference>
        </references>
      </pivotArea>
    </chartFormat>
    <chartFormat chart="4" format="202" series="1">
      <pivotArea type="data" outline="0" fieldPosition="0">
        <references count="2">
          <reference field="4294967294" count="1" selected="0">
            <x v="0"/>
          </reference>
          <reference field="0" count="1" selected="0">
            <x v="2"/>
          </reference>
        </references>
      </pivotArea>
    </chartFormat>
    <chartFormat chart="4" format="203" series="1">
      <pivotArea type="data" outline="0" fieldPosition="0">
        <references count="2">
          <reference field="4294967294" count="1" selected="0">
            <x v="0"/>
          </reference>
          <reference field="0" count="1" selected="0">
            <x v="3"/>
          </reference>
        </references>
      </pivotArea>
    </chartFormat>
    <chartFormat chart="4" format="204" series="1">
      <pivotArea type="data" outline="0" fieldPosition="0">
        <references count="2">
          <reference field="4294967294" count="1" selected="0">
            <x v="0"/>
          </reference>
          <reference field="0" count="1" selected="0">
            <x v="4"/>
          </reference>
        </references>
      </pivotArea>
    </chartFormat>
    <chartFormat chart="4" format="205" series="1">
      <pivotArea type="data" outline="0" fieldPosition="0">
        <references count="2">
          <reference field="4294967294" count="1" selected="0">
            <x v="0"/>
          </reference>
          <reference field="0" count="1" selected="0">
            <x v="5"/>
          </reference>
        </references>
      </pivotArea>
    </chartFormat>
    <chartFormat chart="4" format="206" series="1">
      <pivotArea type="data" outline="0" fieldPosition="0">
        <references count="2">
          <reference field="4294967294" count="1" selected="0">
            <x v="0"/>
          </reference>
          <reference field="0" count="1" selected="0">
            <x v="6"/>
          </reference>
        </references>
      </pivotArea>
    </chartFormat>
    <chartFormat chart="4" format="207" series="1">
      <pivotArea type="data" outline="0" fieldPosition="0">
        <references count="2">
          <reference field="4294967294" count="1" selected="0">
            <x v="0"/>
          </reference>
          <reference field="0" count="1" selected="0">
            <x v="7"/>
          </reference>
        </references>
      </pivotArea>
    </chartFormat>
    <chartFormat chart="4" format="208" series="1">
      <pivotArea type="data" outline="0" fieldPosition="0">
        <references count="2">
          <reference field="4294967294" count="1" selected="0">
            <x v="0"/>
          </reference>
          <reference field="0" count="1" selected="0">
            <x v="8"/>
          </reference>
        </references>
      </pivotArea>
    </chartFormat>
    <chartFormat chart="4" format="209" series="1">
      <pivotArea type="data" outline="0" fieldPosition="0">
        <references count="2">
          <reference field="4294967294" count="1" selected="0">
            <x v="0"/>
          </reference>
          <reference field="0" count="1" selected="0">
            <x v="9"/>
          </reference>
        </references>
      </pivotArea>
    </chartFormat>
    <chartFormat chart="4" format="210" series="1">
      <pivotArea type="data" outline="0" fieldPosition="0">
        <references count="2">
          <reference field="4294967294" count="1" selected="0">
            <x v="0"/>
          </reference>
          <reference field="0" count="1" selected="0">
            <x v="10"/>
          </reference>
        </references>
      </pivotArea>
    </chartFormat>
    <chartFormat chart="4" format="211" series="1">
      <pivotArea type="data" outline="0" fieldPosition="0">
        <references count="2">
          <reference field="4294967294" count="1" selected="0">
            <x v="0"/>
          </reference>
          <reference field="0" count="1" selected="0">
            <x v="11"/>
          </reference>
        </references>
      </pivotArea>
    </chartFormat>
    <chartFormat chart="4" format="212" series="1">
      <pivotArea type="data" outline="0" fieldPosition="0">
        <references count="2">
          <reference field="4294967294" count="1" selected="0">
            <x v="0"/>
          </reference>
          <reference field="0" count="1" selected="0">
            <x v="12"/>
          </reference>
        </references>
      </pivotArea>
    </chartFormat>
    <chartFormat chart="4" format="213" series="1">
      <pivotArea type="data" outline="0" fieldPosition="0">
        <references count="2">
          <reference field="4294967294" count="1" selected="0">
            <x v="0"/>
          </reference>
          <reference field="0" count="1" selected="0">
            <x v="13"/>
          </reference>
        </references>
      </pivotArea>
    </chartFormat>
    <chartFormat chart="4" format="214" series="1">
      <pivotArea type="data" outline="0" fieldPosition="0">
        <references count="2">
          <reference field="4294967294" count="1" selected="0">
            <x v="0"/>
          </reference>
          <reference field="0" count="1" selected="0">
            <x v="14"/>
          </reference>
        </references>
      </pivotArea>
    </chartFormat>
    <chartFormat chart="4" format="215" series="1">
      <pivotArea type="data" outline="0" fieldPosition="0">
        <references count="2">
          <reference field="4294967294" count="1" selected="0">
            <x v="0"/>
          </reference>
          <reference field="0" count="1" selected="0">
            <x v="15"/>
          </reference>
        </references>
      </pivotArea>
    </chartFormat>
    <chartFormat chart="4" format="216" series="1">
      <pivotArea type="data" outline="0" fieldPosition="0">
        <references count="2">
          <reference field="4294967294" count="1" selected="0">
            <x v="0"/>
          </reference>
          <reference field="0" count="1" selected="0">
            <x v="16"/>
          </reference>
        </references>
      </pivotArea>
    </chartFormat>
    <chartFormat chart="4" format="217" series="1">
      <pivotArea type="data" outline="0" fieldPosition="0">
        <references count="2">
          <reference field="4294967294" count="1" selected="0">
            <x v="0"/>
          </reference>
          <reference field="0" count="1" selected="0">
            <x v="17"/>
          </reference>
        </references>
      </pivotArea>
    </chartFormat>
    <chartFormat chart="4" format="218" series="1">
      <pivotArea type="data" outline="0" fieldPosition="0">
        <references count="2">
          <reference field="4294967294" count="1" selected="0">
            <x v="0"/>
          </reference>
          <reference field="0" count="1" selected="0">
            <x v="18"/>
          </reference>
        </references>
      </pivotArea>
    </chartFormat>
    <chartFormat chart="4" format="219" series="1">
      <pivotArea type="data" outline="0" fieldPosition="0">
        <references count="2">
          <reference field="4294967294" count="1" selected="0">
            <x v="0"/>
          </reference>
          <reference field="0" count="1" selected="0">
            <x v="19"/>
          </reference>
        </references>
      </pivotArea>
    </chartFormat>
    <chartFormat chart="4" format="220" series="1">
      <pivotArea type="data" outline="0" fieldPosition="0">
        <references count="2">
          <reference field="4294967294" count="1" selected="0">
            <x v="0"/>
          </reference>
          <reference field="0" count="1" selected="0">
            <x v="20"/>
          </reference>
        </references>
      </pivotArea>
    </chartFormat>
    <chartFormat chart="4" format="221" series="1">
      <pivotArea type="data" outline="0" fieldPosition="0">
        <references count="2">
          <reference field="4294967294" count="1" selected="0">
            <x v="0"/>
          </reference>
          <reference field="0" count="1" selected="0">
            <x v="21"/>
          </reference>
        </references>
      </pivotArea>
    </chartFormat>
    <chartFormat chart="4" format="222" series="1">
      <pivotArea type="data" outline="0" fieldPosition="0">
        <references count="2">
          <reference field="4294967294" count="1" selected="0">
            <x v="0"/>
          </reference>
          <reference field="0" count="1" selected="0">
            <x v="22"/>
          </reference>
        </references>
      </pivotArea>
    </chartFormat>
    <chartFormat chart="4" format="223" series="1">
      <pivotArea type="data" outline="0" fieldPosition="0">
        <references count="2">
          <reference field="4294967294" count="1" selected="0">
            <x v="0"/>
          </reference>
          <reference field="0" count="1" selected="0">
            <x v="23"/>
          </reference>
        </references>
      </pivotArea>
    </chartFormat>
    <chartFormat chart="4" format="224" series="1">
      <pivotArea type="data" outline="0" fieldPosition="0">
        <references count="2">
          <reference field="4294967294" count="1" selected="0">
            <x v="0"/>
          </reference>
          <reference field="0" count="1" selected="0">
            <x v="24"/>
          </reference>
        </references>
      </pivotArea>
    </chartFormat>
    <chartFormat chart="4" format="225" series="1">
      <pivotArea type="data" outline="0" fieldPosition="0">
        <references count="2">
          <reference field="4294967294" count="1" selected="0">
            <x v="0"/>
          </reference>
          <reference field="0" count="1" selected="0">
            <x v="25"/>
          </reference>
        </references>
      </pivotArea>
    </chartFormat>
    <chartFormat chart="4" format="226" series="1">
      <pivotArea type="data" outline="0" fieldPosition="0">
        <references count="2">
          <reference field="4294967294" count="1" selected="0">
            <x v="0"/>
          </reference>
          <reference field="0" count="1" selected="0">
            <x v="26"/>
          </reference>
        </references>
      </pivotArea>
    </chartFormat>
    <chartFormat chart="4" format="227" series="1">
      <pivotArea type="data" outline="0" fieldPosition="0">
        <references count="2">
          <reference field="4294967294" count="1" selected="0">
            <x v="0"/>
          </reference>
          <reference field="0" count="1" selected="0">
            <x v="27"/>
          </reference>
        </references>
      </pivotArea>
    </chartFormat>
    <chartFormat chart="4" format="228" series="1">
      <pivotArea type="data" outline="0" fieldPosition="0">
        <references count="2">
          <reference field="4294967294" count="1" selected="0">
            <x v="0"/>
          </reference>
          <reference field="0" count="1" selected="0">
            <x v="28"/>
          </reference>
        </references>
      </pivotArea>
    </chartFormat>
    <chartFormat chart="4" format="229" series="1">
      <pivotArea type="data" outline="0" fieldPosition="0">
        <references count="2">
          <reference field="4294967294" count="1" selected="0">
            <x v="0"/>
          </reference>
          <reference field="0" count="1" selected="0">
            <x v="29"/>
          </reference>
        </references>
      </pivotArea>
    </chartFormat>
    <chartFormat chart="4" format="230" series="1">
      <pivotArea type="data" outline="0" fieldPosition="0">
        <references count="2">
          <reference field="4294967294" count="1" selected="0">
            <x v="0"/>
          </reference>
          <reference field="0" count="1" selected="0">
            <x v="30"/>
          </reference>
        </references>
      </pivotArea>
    </chartFormat>
    <chartFormat chart="4" format="231" series="1">
      <pivotArea type="data" outline="0" fieldPosition="0">
        <references count="2">
          <reference field="4294967294" count="1" selected="0">
            <x v="0"/>
          </reference>
          <reference field="0" count="1" selected="0">
            <x v="31"/>
          </reference>
        </references>
      </pivotArea>
    </chartFormat>
    <chartFormat chart="4" format="232" series="1">
      <pivotArea type="data" outline="0" fieldPosition="0">
        <references count="2">
          <reference field="4294967294" count="1" selected="0">
            <x v="0"/>
          </reference>
          <reference field="0" count="1" selected="0">
            <x v="32"/>
          </reference>
        </references>
      </pivotArea>
    </chartFormat>
    <chartFormat chart="4" format="233" series="1">
      <pivotArea type="data" outline="0" fieldPosition="0">
        <references count="2">
          <reference field="4294967294" count="1" selected="0">
            <x v="0"/>
          </reference>
          <reference field="0" count="1" selected="0">
            <x v="33"/>
          </reference>
        </references>
      </pivotArea>
    </chartFormat>
    <chartFormat chart="4" format="234" series="1">
      <pivotArea type="data" outline="0" fieldPosition="0">
        <references count="2">
          <reference field="4294967294" count="1" selected="0">
            <x v="0"/>
          </reference>
          <reference field="0" count="1" selected="0">
            <x v="34"/>
          </reference>
        </references>
      </pivotArea>
    </chartFormat>
    <chartFormat chart="4" format="235" series="1">
      <pivotArea type="data" outline="0" fieldPosition="0">
        <references count="2">
          <reference field="4294967294" count="1" selected="0">
            <x v="0"/>
          </reference>
          <reference field="0" count="1" selected="0">
            <x v="35"/>
          </reference>
        </references>
      </pivotArea>
    </chartFormat>
    <chartFormat chart="4" format="236" series="1">
      <pivotArea type="data" outline="0" fieldPosition="0">
        <references count="2">
          <reference field="4294967294" count="1" selected="0">
            <x v="0"/>
          </reference>
          <reference field="0" count="1" selected="0">
            <x v="36"/>
          </reference>
        </references>
      </pivotArea>
    </chartFormat>
    <chartFormat chart="4" format="237" series="1">
      <pivotArea type="data" outline="0" fieldPosition="0">
        <references count="2">
          <reference field="4294967294" count="1" selected="0">
            <x v="0"/>
          </reference>
          <reference field="0" count="1" selected="0">
            <x v="37"/>
          </reference>
        </references>
      </pivotArea>
    </chartFormat>
    <chartFormat chart="4" format="238" series="1">
      <pivotArea type="data" outline="0" fieldPosition="0">
        <references count="2">
          <reference field="4294967294" count="1" selected="0">
            <x v="0"/>
          </reference>
          <reference field="0" count="1" selected="0">
            <x v="38"/>
          </reference>
        </references>
      </pivotArea>
    </chartFormat>
    <chartFormat chart="4" format="239" series="1">
      <pivotArea type="data" outline="0" fieldPosition="0">
        <references count="2">
          <reference field="4294967294" count="1" selected="0">
            <x v="0"/>
          </reference>
          <reference field="0" count="1" selected="0">
            <x v="39"/>
          </reference>
        </references>
      </pivotArea>
    </chartFormat>
    <chartFormat chart="4" format="240" series="1">
      <pivotArea type="data" outline="0" fieldPosition="0">
        <references count="2">
          <reference field="4294967294" count="1" selected="0">
            <x v="0"/>
          </reference>
          <reference field="0" count="1" selected="0">
            <x v="40"/>
          </reference>
        </references>
      </pivotArea>
    </chartFormat>
    <chartFormat chart="4" format="241" series="1">
      <pivotArea type="data" outline="0" fieldPosition="0">
        <references count="2">
          <reference field="4294967294" count="1" selected="0">
            <x v="0"/>
          </reference>
          <reference field="0" count="1" selected="0">
            <x v="41"/>
          </reference>
        </references>
      </pivotArea>
    </chartFormat>
    <chartFormat chart="4" format="242" series="1">
      <pivotArea type="data" outline="0" fieldPosition="0">
        <references count="2">
          <reference field="4294967294" count="1" selected="0">
            <x v="0"/>
          </reference>
          <reference field="0" count="1" selected="0">
            <x v="42"/>
          </reference>
        </references>
      </pivotArea>
    </chartFormat>
    <chartFormat chart="4" format="243" series="1">
      <pivotArea type="data" outline="0" fieldPosition="0">
        <references count="2">
          <reference field="4294967294" count="1" selected="0">
            <x v="0"/>
          </reference>
          <reference field="0" count="1" selected="0">
            <x v="43"/>
          </reference>
        </references>
      </pivotArea>
    </chartFormat>
    <chartFormat chart="4" format="244" series="1">
      <pivotArea type="data" outline="0" fieldPosition="0">
        <references count="2">
          <reference field="4294967294" count="1" selected="0">
            <x v="0"/>
          </reference>
          <reference field="0" count="1" selected="0">
            <x v="44"/>
          </reference>
        </references>
      </pivotArea>
    </chartFormat>
    <chartFormat chart="4" format="245" series="1">
      <pivotArea type="data" outline="0" fieldPosition="0">
        <references count="2">
          <reference field="4294967294" count="1" selected="0">
            <x v="0"/>
          </reference>
          <reference field="0" count="1" selected="0">
            <x v="45"/>
          </reference>
        </references>
      </pivotArea>
    </chartFormat>
    <chartFormat chart="4" format="246" series="1">
      <pivotArea type="data" outline="0" fieldPosition="0">
        <references count="2">
          <reference field="4294967294" count="1" selected="0">
            <x v="0"/>
          </reference>
          <reference field="0" count="1" selected="0">
            <x v="46"/>
          </reference>
        </references>
      </pivotArea>
    </chartFormat>
    <chartFormat chart="4" format="247" series="1">
      <pivotArea type="data" outline="0" fieldPosition="0">
        <references count="2">
          <reference field="4294967294" count="1" selected="0">
            <x v="0"/>
          </reference>
          <reference field="0" count="1" selected="0">
            <x v="47"/>
          </reference>
        </references>
      </pivotArea>
    </chartFormat>
    <chartFormat chart="4" format="248" series="1">
      <pivotArea type="data" outline="0" fieldPosition="0">
        <references count="2">
          <reference field="4294967294" count="1" selected="0">
            <x v="0"/>
          </reference>
          <reference field="0" count="1" selected="0">
            <x v="48"/>
          </reference>
        </references>
      </pivotArea>
    </chartFormat>
    <chartFormat chart="4" format="249" series="1">
      <pivotArea type="data" outline="0" fieldPosition="0">
        <references count="2">
          <reference field="4294967294" count="1" selected="0">
            <x v="0"/>
          </reference>
          <reference field="0" count="1" selected="0">
            <x v="4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AF5B5027-0819-47D2-A13E-50FA5E30FB04}" name="PivotTable29" cacheId="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fieldListSortAscending="1">
  <location ref="A1:B51" firstHeaderRow="1" firstDataRow="1" firstDataCol="1"/>
  <pivotFields count="8">
    <pivotField axis="axisRow" showAll="0" sortType="descending">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autoSortScope>
        <pivotArea dataOnly="0" outline="0" fieldPosition="0">
          <references count="1">
            <reference field="4294967294" count="1" selected="0">
              <x v="0"/>
            </reference>
          </references>
        </pivotArea>
      </autoSortScope>
    </pivotField>
    <pivotField showAll="0"/>
    <pivotField dataField="1" showAll="0">
      <items count="192">
        <item x="133"/>
        <item x="127"/>
        <item x="190"/>
        <item x="63"/>
        <item x="19"/>
        <item x="140"/>
        <item x="33"/>
        <item x="25"/>
        <item x="92"/>
        <item x="95"/>
        <item x="85"/>
        <item x="65"/>
        <item x="78"/>
        <item x="37"/>
        <item x="44"/>
        <item x="47"/>
        <item x="27"/>
        <item x="16"/>
        <item x="49"/>
        <item x="69"/>
        <item x="98"/>
        <item x="75"/>
        <item x="15"/>
        <item x="101"/>
        <item x="189"/>
        <item x="153"/>
        <item x="21"/>
        <item x="175"/>
        <item x="146"/>
        <item x="166"/>
        <item x="156"/>
        <item x="11"/>
        <item x="184"/>
        <item x="79"/>
        <item x="51"/>
        <item x="6"/>
        <item x="74"/>
        <item x="167"/>
        <item x="61"/>
        <item x="106"/>
        <item x="94"/>
        <item x="39"/>
        <item x="42"/>
        <item x="164"/>
        <item x="17"/>
        <item x="28"/>
        <item x="155"/>
        <item x="96"/>
        <item x="176"/>
        <item x="54"/>
        <item x="171"/>
        <item x="35"/>
        <item x="2"/>
        <item x="165"/>
        <item x="174"/>
        <item x="97"/>
        <item x="83"/>
        <item x="77"/>
        <item x="36"/>
        <item x="126"/>
        <item x="32"/>
        <item x="4"/>
        <item x="130"/>
        <item x="81"/>
        <item x="80"/>
        <item x="26"/>
        <item x="55"/>
        <item x="110"/>
        <item x="58"/>
        <item x="70"/>
        <item x="183"/>
        <item x="60"/>
        <item x="31"/>
        <item x="122"/>
        <item x="64"/>
        <item x="38"/>
        <item x="181"/>
        <item x="188"/>
        <item x="84"/>
        <item x="150"/>
        <item x="23"/>
        <item x="124"/>
        <item x="12"/>
        <item x="139"/>
        <item x="154"/>
        <item x="88"/>
        <item x="177"/>
        <item x="22"/>
        <item x="169"/>
        <item x="113"/>
        <item x="121"/>
        <item x="168"/>
        <item x="186"/>
        <item x="131"/>
        <item x="8"/>
        <item x="151"/>
        <item x="91"/>
        <item x="162"/>
        <item x="45"/>
        <item x="114"/>
        <item x="157"/>
        <item x="160"/>
        <item x="0"/>
        <item x="116"/>
        <item x="144"/>
        <item x="179"/>
        <item x="115"/>
        <item x="138"/>
        <item x="132"/>
        <item x="7"/>
        <item x="43"/>
        <item x="67"/>
        <item x="182"/>
        <item x="14"/>
        <item x="134"/>
        <item x="102"/>
        <item x="142"/>
        <item x="50"/>
        <item x="172"/>
        <item x="1"/>
        <item x="128"/>
        <item x="10"/>
        <item x="161"/>
        <item x="152"/>
        <item x="178"/>
        <item x="29"/>
        <item x="158"/>
        <item x="59"/>
        <item x="136"/>
        <item x="18"/>
        <item x="52"/>
        <item x="173"/>
        <item x="68"/>
        <item x="148"/>
        <item x="105"/>
        <item x="87"/>
        <item x="62"/>
        <item x="93"/>
        <item x="107"/>
        <item x="120"/>
        <item x="135"/>
        <item x="111"/>
        <item x="90"/>
        <item x="108"/>
        <item x="53"/>
        <item x="76"/>
        <item x="40"/>
        <item x="41"/>
        <item x="3"/>
        <item x="137"/>
        <item x="185"/>
        <item x="143"/>
        <item x="56"/>
        <item x="163"/>
        <item x="112"/>
        <item x="123"/>
        <item x="159"/>
        <item x="147"/>
        <item x="48"/>
        <item x="180"/>
        <item x="103"/>
        <item x="5"/>
        <item x="30"/>
        <item x="82"/>
        <item x="100"/>
        <item x="129"/>
        <item x="46"/>
        <item x="9"/>
        <item x="34"/>
        <item x="20"/>
        <item x="187"/>
        <item x="13"/>
        <item x="119"/>
        <item x="86"/>
        <item x="89"/>
        <item x="57"/>
        <item x="99"/>
        <item x="125"/>
        <item x="149"/>
        <item x="145"/>
        <item x="117"/>
        <item x="104"/>
        <item x="66"/>
        <item x="71"/>
        <item x="73"/>
        <item x="109"/>
        <item x="72"/>
        <item x="170"/>
        <item x="141"/>
        <item x="24"/>
        <item x="118"/>
        <item t="default"/>
      </items>
    </pivotField>
    <pivotField showAll="0"/>
    <pivotField showAll="0"/>
    <pivotField showAll="0"/>
    <pivotField numFmtId="164" showAll="0"/>
    <pivotField numFmtId="10" showAll="0"/>
  </pivotFields>
  <rowFields count="1">
    <field x="0"/>
  </rowFields>
  <rowItems count="50">
    <i>
      <x v="30"/>
    </i>
    <i>
      <x v="36"/>
    </i>
    <i>
      <x v="43"/>
    </i>
    <i>
      <x v="22"/>
    </i>
    <i>
      <x v="28"/>
    </i>
    <i>
      <x v="27"/>
    </i>
    <i>
      <x v="14"/>
    </i>
    <i>
      <x v="26"/>
    </i>
    <i>
      <x v="29"/>
    </i>
    <i>
      <x v="38"/>
    </i>
    <i>
      <x v="46"/>
    </i>
    <i>
      <x v="25"/>
    </i>
    <i>
      <x v="41"/>
    </i>
    <i>
      <x v="37"/>
    </i>
    <i>
      <x v="48"/>
    </i>
    <i>
      <x v="10"/>
    </i>
    <i>
      <x v="33"/>
    </i>
    <i>
      <x v="18"/>
    </i>
    <i>
      <x/>
    </i>
    <i>
      <x v="40"/>
    </i>
    <i>
      <x v="2"/>
    </i>
    <i>
      <x v="47"/>
    </i>
    <i>
      <x v="7"/>
    </i>
    <i>
      <x v="17"/>
    </i>
    <i>
      <x v="31"/>
    </i>
    <i>
      <x v="34"/>
    </i>
    <i>
      <x v="3"/>
    </i>
    <i>
      <x v="13"/>
    </i>
    <i>
      <x v="16"/>
    </i>
    <i>
      <x v="1"/>
    </i>
    <i>
      <x v="5"/>
    </i>
    <i>
      <x v="32"/>
    </i>
    <i>
      <x v="44"/>
    </i>
    <i>
      <x v="35"/>
    </i>
    <i>
      <x v="12"/>
    </i>
    <i>
      <x v="20"/>
    </i>
    <i>
      <x v="21"/>
    </i>
    <i>
      <x v="11"/>
    </i>
    <i>
      <x v="23"/>
    </i>
    <i>
      <x v="39"/>
    </i>
    <i>
      <x v="8"/>
    </i>
    <i>
      <x v="49"/>
    </i>
    <i>
      <x v="6"/>
    </i>
    <i>
      <x v="15"/>
    </i>
    <i>
      <x v="19"/>
    </i>
    <i>
      <x v="4"/>
    </i>
    <i>
      <x v="9"/>
    </i>
    <i>
      <x v="42"/>
    </i>
    <i>
      <x v="24"/>
    </i>
    <i>
      <x v="45"/>
    </i>
  </rowItems>
  <colItems count="1">
    <i/>
  </colItems>
  <dataFields count="1">
    <dataField name="Sum of New_Followers"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739AF95B-C9C4-48B1-9D32-16F799C359FF}" name="PivotTable30" cacheId="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A1:E52" firstHeaderRow="1" firstDataRow="2" firstDataCol="1"/>
  <pivotFields count="8">
    <pivotField axis="axisRow"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axis="axisCol" showAll="0">
      <items count="5">
        <item x="1"/>
        <item x="0"/>
        <item x="2"/>
        <item x="3"/>
        <item t="default"/>
      </items>
    </pivotField>
    <pivotField showAll="0"/>
    <pivotField showAll="0"/>
    <pivotField showAll="0"/>
    <pivotField showAll="0"/>
    <pivotField numFmtId="164" showAll="0"/>
    <pivotField dataField="1" numFmtId="10" showAll="0"/>
  </pivotFields>
  <rowFields count="1">
    <field x="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rowItems>
  <colFields count="1">
    <field x="1"/>
  </colFields>
  <colItems count="4">
    <i>
      <x/>
    </i>
    <i>
      <x v="1"/>
    </i>
    <i>
      <x v="2"/>
    </i>
    <i>
      <x v="3"/>
    </i>
  </colItems>
  <dataFields count="1">
    <dataField name="Average of Follower Growth Rate " fld="7" subtotal="average" baseField="0" baseItem="0" numFmtId="10"/>
  </dataFields>
  <chartFormats count="4">
    <chartFormat chart="2" format="0" series="1">
      <pivotArea type="data" outline="0" fieldPosition="0">
        <references count="2">
          <reference field="4294967294" count="1" selected="0">
            <x v="0"/>
          </reference>
          <reference field="1" count="1" selected="0">
            <x v="0"/>
          </reference>
        </references>
      </pivotArea>
    </chartFormat>
    <chartFormat chart="2" format="1" series="1">
      <pivotArea type="data" outline="0" fieldPosition="0">
        <references count="2">
          <reference field="4294967294" count="1" selected="0">
            <x v="0"/>
          </reference>
          <reference field="1" count="1" selected="0">
            <x v="1"/>
          </reference>
        </references>
      </pivotArea>
    </chartFormat>
    <chartFormat chart="2" format="2" series="1">
      <pivotArea type="data" outline="0" fieldPosition="0">
        <references count="2">
          <reference field="4294967294" count="1" selected="0">
            <x v="0"/>
          </reference>
          <reference field="1" count="1" selected="0">
            <x v="2"/>
          </reference>
        </references>
      </pivotArea>
    </chartFormat>
    <chartFormat chart="2" format="3" series="1">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ent_Type" xr10:uid="{953E64F9-583C-4CF2-BF2A-D4C91882BF1C}" sourceName="Content Type">
  <pivotTables>
    <pivotTable tabId="8" name="PivotTable1"/>
  </pivotTables>
  <data>
    <tabular pivotCacheId="882660344">
      <items count="6">
        <i x="0"/>
        <i x="2"/>
        <i x="3"/>
        <i x="4"/>
        <i x="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ashtag_1" xr10:uid="{93745DF4-5579-468A-A6CC-7F89E26CE6F2}" sourceName="Hashtag 1">
  <pivotTables>
    <pivotTable tabId="11" name="PivotTable4"/>
  </pivotTables>
  <data>
    <tabular pivotCacheId="882660344">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ashtag_2" xr10:uid="{503060E3-C41B-4F2F-B81E-49B1CB0269EC}" sourceName="Hashtag 2">
  <pivotTables>
    <pivotTable tabId="11" name="PivotTable4"/>
  </pivotTables>
  <data>
    <tabular pivotCacheId="882660344">
      <items count="6">
        <i x="1" s="1"/>
        <i x="5" s="1"/>
        <i x="3" s="1"/>
        <i x="2" s="1"/>
        <i x="4"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ashtag_3" xr10:uid="{E98E36E2-D913-4B4E-9A4D-6183673A6749}" sourceName="Hashtag 3">
  <pivotTables>
    <pivotTable tabId="11" name="PivotTable4"/>
  </pivotTables>
  <data>
    <tabular pivotCacheId="882660344">
      <items count="4">
        <i x="3"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tent Type" xr10:uid="{E4CF87F5-8684-4387-9BCB-2E2F74283125}" cache="Slicer_Content_Type" caption="Content Type" style="SlicerStyleLight6"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ashtag 1" xr10:uid="{79356303-96C5-4D3F-8E98-83D5F9C3C107}" cache="Slicer_Hashtag_1" caption="Hashtag 1" rowHeight="234950"/>
  <slicer name="Hashtag 2" xr10:uid="{C699316C-E14F-4E25-86EE-84AC59307A0D}" cache="Slicer_Hashtag_2" caption="Hashtag 2" rowHeight="234950"/>
  <slicer name="Hashtag 3" xr10:uid="{02BE9376-6D75-419A-8B28-74D5A530D3D4}" cache="Slicer_Hashtag_3" caption="Hashtag 3"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12.xml.rels><?xml version="1.0" encoding="UTF-8" standalone="yes"?>
<Relationships xmlns="http://schemas.openxmlformats.org/package/2006/relationships"><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8.xml.rels><?xml version="1.0" encoding="UTF-8" standalone="yes"?>
<Relationships xmlns="http://schemas.openxmlformats.org/package/2006/relationships"><Relationship Id="rId3" Type="http://schemas.openxmlformats.org/officeDocument/2006/relationships/pivotTable" Target="../pivotTables/pivotTable14.xml"/><Relationship Id="rId2" Type="http://schemas.openxmlformats.org/officeDocument/2006/relationships/pivotTable" Target="../pivotTables/pivotTable13.xml"/><Relationship Id="rId1" Type="http://schemas.openxmlformats.org/officeDocument/2006/relationships/pivotTable" Target="../pivotTables/pivotTable12.xml"/></Relationships>
</file>

<file path=xl/worksheets/_rels/sheet19.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16.xml"/><Relationship Id="rId1" Type="http://schemas.openxmlformats.org/officeDocument/2006/relationships/pivotTable" Target="../pivotTables/pivotTable15.xml"/></Relationships>
</file>

<file path=xl/worksheets/_rels/sheet20.xml.rels><?xml version="1.0" encoding="UTF-8" standalone="yes"?>
<Relationships xmlns="http://schemas.openxmlformats.org/package/2006/relationships"><Relationship Id="rId3" Type="http://schemas.openxmlformats.org/officeDocument/2006/relationships/pivotTable" Target="../pivotTables/pivotTable19.xml"/><Relationship Id="rId2" Type="http://schemas.openxmlformats.org/officeDocument/2006/relationships/pivotTable" Target="../pivotTables/pivotTable18.xml"/><Relationship Id="rId1" Type="http://schemas.openxmlformats.org/officeDocument/2006/relationships/pivotTable" Target="../pivotTables/pivotTable17.xml"/><Relationship Id="rId6" Type="http://schemas.openxmlformats.org/officeDocument/2006/relationships/pivotTable" Target="../pivotTables/pivotTable22.xml"/><Relationship Id="rId5" Type="http://schemas.openxmlformats.org/officeDocument/2006/relationships/pivotTable" Target="../pivotTables/pivotTable21.xml"/><Relationship Id="rId4" Type="http://schemas.openxmlformats.org/officeDocument/2006/relationships/pivotTable" Target="../pivotTables/pivotTable20.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23.xml"/></Relationships>
</file>

<file path=xl/worksheets/_rels/sheet22.xml.rels><?xml version="1.0" encoding="UTF-8" standalone="yes"?>
<Relationships xmlns="http://schemas.openxmlformats.org/package/2006/relationships"><Relationship Id="rId1" Type="http://schemas.openxmlformats.org/officeDocument/2006/relationships/pivotTable" Target="../pivotTables/pivotTable24.xml"/></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25.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3841B-D4E5-4C46-9FC5-59BFD6875131}">
  <dimension ref="A1:R301"/>
  <sheetViews>
    <sheetView topLeftCell="C1" workbookViewId="0">
      <selection activeCell="R1" sqref="R1"/>
    </sheetView>
  </sheetViews>
  <sheetFormatPr defaultRowHeight="14.4" x14ac:dyDescent="0.3"/>
  <cols>
    <col min="1" max="1" width="6.88671875" bestFit="1" customWidth="1"/>
    <col min="2" max="2" width="9.109375" bestFit="1" customWidth="1"/>
    <col min="3" max="3" width="10.33203125" bestFit="1" customWidth="1"/>
    <col min="4" max="4" width="12.33203125" bestFit="1" customWidth="1"/>
    <col min="5" max="5" width="37" bestFit="1" customWidth="1"/>
    <col min="6" max="6" width="5.109375" bestFit="1" customWidth="1"/>
    <col min="7" max="7" width="6.5546875" bestFit="1" customWidth="1"/>
    <col min="8" max="8" width="10.109375" bestFit="1" customWidth="1"/>
    <col min="9" max="9" width="11" bestFit="1" customWidth="1"/>
    <col min="10" max="10" width="6.109375" bestFit="1" customWidth="1"/>
    <col min="11" max="11" width="5.6640625" bestFit="1" customWidth="1"/>
    <col min="12" max="12" width="16" bestFit="1" customWidth="1"/>
    <col min="13" max="13" width="17.44140625" bestFit="1" customWidth="1"/>
    <col min="14" max="14" width="20.21875" bestFit="1" customWidth="1"/>
    <col min="15" max="15" width="18.44140625" bestFit="1" customWidth="1"/>
    <col min="16" max="16" width="15.88671875" bestFit="1" customWidth="1"/>
    <col min="17" max="17" width="12" bestFit="1" customWidth="1"/>
  </cols>
  <sheetData>
    <row r="1" spans="1:18" x14ac:dyDescent="0.3">
      <c r="A1" s="1" t="s">
        <v>0</v>
      </c>
      <c r="B1" s="1" t="s">
        <v>1</v>
      </c>
      <c r="C1" s="1" t="s">
        <v>2</v>
      </c>
      <c r="D1" s="1" t="s">
        <v>3</v>
      </c>
      <c r="E1" s="1" t="s">
        <v>4</v>
      </c>
      <c r="F1" s="1" t="s">
        <v>5</v>
      </c>
      <c r="G1" s="1" t="s">
        <v>6</v>
      </c>
      <c r="H1" s="1" t="s">
        <v>7</v>
      </c>
      <c r="I1" s="1" t="s">
        <v>8</v>
      </c>
      <c r="J1" s="1" t="s">
        <v>9</v>
      </c>
      <c r="K1" s="1" t="s">
        <v>10</v>
      </c>
      <c r="L1" s="1" t="s">
        <v>11</v>
      </c>
      <c r="M1" s="1" t="s">
        <v>597</v>
      </c>
      <c r="N1" s="9" t="s">
        <v>598</v>
      </c>
      <c r="O1" s="9" t="s">
        <v>599</v>
      </c>
      <c r="P1" s="9" t="s">
        <v>602</v>
      </c>
      <c r="Q1" s="9" t="s">
        <v>617</v>
      </c>
      <c r="R1" s="9"/>
    </row>
    <row r="2" spans="1:18" x14ac:dyDescent="0.3">
      <c r="A2" s="3" t="s">
        <v>12</v>
      </c>
      <c r="B2" s="3" t="s">
        <v>13</v>
      </c>
      <c r="C2" s="4" t="s">
        <v>14</v>
      </c>
      <c r="D2" s="3" t="s">
        <v>15</v>
      </c>
      <c r="E2" s="11" t="s">
        <v>16</v>
      </c>
      <c r="F2" s="5">
        <v>1461</v>
      </c>
      <c r="G2" s="5">
        <v>184</v>
      </c>
      <c r="H2" s="5">
        <v>344</v>
      </c>
      <c r="I2" s="5">
        <v>21915</v>
      </c>
      <c r="J2" s="5">
        <v>21675</v>
      </c>
      <c r="K2" s="5">
        <v>15</v>
      </c>
      <c r="L2" s="3" t="s">
        <v>17</v>
      </c>
      <c r="M2" s="3" t="s">
        <v>59</v>
      </c>
      <c r="N2" t="s">
        <v>600</v>
      </c>
      <c r="P2" s="10">
        <f t="shared" ref="P2:P65" si="0">(F2+G2+H2)/I2</f>
        <v>9.0759753593429152E-2</v>
      </c>
      <c r="Q2" s="15">
        <f t="shared" ref="Q2:Q65" si="1">F2+G2+H2</f>
        <v>1989</v>
      </c>
    </row>
    <row r="3" spans="1:18" x14ac:dyDescent="0.3">
      <c r="A3" s="3" t="s">
        <v>18</v>
      </c>
      <c r="B3" s="3" t="s">
        <v>13</v>
      </c>
      <c r="C3" s="4" t="s">
        <v>19</v>
      </c>
      <c r="D3" s="3" t="s">
        <v>20</v>
      </c>
      <c r="E3" s="11" t="s">
        <v>21</v>
      </c>
      <c r="F3" s="5">
        <v>4054</v>
      </c>
      <c r="G3" s="5">
        <v>389</v>
      </c>
      <c r="H3" s="5">
        <v>493</v>
      </c>
      <c r="I3" s="5">
        <v>64864</v>
      </c>
      <c r="J3" s="5">
        <v>64383</v>
      </c>
      <c r="K3" s="5">
        <v>117</v>
      </c>
      <c r="L3" s="3" t="s">
        <v>22</v>
      </c>
      <c r="M3" s="3" t="s">
        <v>27</v>
      </c>
      <c r="N3" t="s">
        <v>601</v>
      </c>
      <c r="P3" s="10">
        <f t="shared" si="0"/>
        <v>7.6097681302417369E-2</v>
      </c>
      <c r="Q3" s="15">
        <f t="shared" si="1"/>
        <v>4936</v>
      </c>
    </row>
    <row r="4" spans="1:18" x14ac:dyDescent="0.3">
      <c r="A4" s="3" t="s">
        <v>23</v>
      </c>
      <c r="B4" s="3" t="s">
        <v>24</v>
      </c>
      <c r="C4" s="4" t="s">
        <v>25</v>
      </c>
      <c r="D4" s="3" t="s">
        <v>15</v>
      </c>
      <c r="E4" s="11" t="s">
        <v>26</v>
      </c>
      <c r="F4" s="5">
        <v>2795</v>
      </c>
      <c r="G4" s="5">
        <v>105</v>
      </c>
      <c r="H4" s="5">
        <v>49</v>
      </c>
      <c r="I4" s="5">
        <v>53105</v>
      </c>
      <c r="J4" s="5">
        <v>52307</v>
      </c>
      <c r="K4" s="5">
        <v>204</v>
      </c>
      <c r="L4" s="3" t="s">
        <v>28</v>
      </c>
      <c r="M4" s="3" t="s">
        <v>27</v>
      </c>
      <c r="P4" s="10">
        <f t="shared" si="0"/>
        <v>5.5531494209584788E-2</v>
      </c>
      <c r="Q4" s="15">
        <f t="shared" si="1"/>
        <v>2949</v>
      </c>
    </row>
    <row r="5" spans="1:18" x14ac:dyDescent="0.3">
      <c r="A5" s="3" t="s">
        <v>29</v>
      </c>
      <c r="B5" s="3" t="s">
        <v>30</v>
      </c>
      <c r="C5" s="4" t="s">
        <v>31</v>
      </c>
      <c r="D5" s="3" t="s">
        <v>32</v>
      </c>
      <c r="E5" s="11" t="s">
        <v>33</v>
      </c>
      <c r="F5" s="5">
        <v>2404</v>
      </c>
      <c r="G5" s="5">
        <v>363</v>
      </c>
      <c r="H5" s="5">
        <v>138</v>
      </c>
      <c r="I5" s="5">
        <v>19232</v>
      </c>
      <c r="J5" s="5">
        <v>18636</v>
      </c>
      <c r="K5" s="5">
        <v>128</v>
      </c>
      <c r="L5" s="3" t="s">
        <v>35</v>
      </c>
      <c r="M5" s="3" t="s">
        <v>34</v>
      </c>
      <c r="P5" s="10">
        <f t="shared" si="0"/>
        <v>0.15105033277870217</v>
      </c>
      <c r="Q5" s="15">
        <f t="shared" si="1"/>
        <v>2905</v>
      </c>
    </row>
    <row r="6" spans="1:18" x14ac:dyDescent="0.3">
      <c r="A6" s="3" t="s">
        <v>36</v>
      </c>
      <c r="B6" s="3" t="s">
        <v>24</v>
      </c>
      <c r="C6" s="4" t="s">
        <v>37</v>
      </c>
      <c r="D6" s="3" t="s">
        <v>15</v>
      </c>
      <c r="E6" s="11" t="s">
        <v>26</v>
      </c>
      <c r="F6" s="5">
        <v>3557</v>
      </c>
      <c r="G6" s="5">
        <v>687</v>
      </c>
      <c r="H6" s="5">
        <v>424</v>
      </c>
      <c r="I6" s="5">
        <v>71140</v>
      </c>
      <c r="J6" s="5">
        <v>70701</v>
      </c>
      <c r="K6" s="5">
        <v>224</v>
      </c>
      <c r="L6" s="3" t="s">
        <v>17</v>
      </c>
      <c r="M6" s="3" t="s">
        <v>34</v>
      </c>
      <c r="N6" t="s">
        <v>27</v>
      </c>
      <c r="P6" s="10">
        <f t="shared" si="0"/>
        <v>6.5617093055946027E-2</v>
      </c>
      <c r="Q6" s="15">
        <f t="shared" si="1"/>
        <v>4668</v>
      </c>
    </row>
    <row r="7" spans="1:18" x14ac:dyDescent="0.3">
      <c r="A7" s="3" t="s">
        <v>39</v>
      </c>
      <c r="B7" s="3" t="s">
        <v>40</v>
      </c>
      <c r="C7" s="4" t="s">
        <v>41</v>
      </c>
      <c r="D7" s="3" t="s">
        <v>42</v>
      </c>
      <c r="E7" s="11" t="s">
        <v>43</v>
      </c>
      <c r="F7" s="5">
        <v>2945</v>
      </c>
      <c r="G7" s="5">
        <v>930</v>
      </c>
      <c r="H7" s="5">
        <v>355</v>
      </c>
      <c r="I7" s="5">
        <v>23560</v>
      </c>
      <c r="J7" s="5">
        <v>23275</v>
      </c>
      <c r="K7" s="5">
        <v>256</v>
      </c>
      <c r="L7" s="3" t="s">
        <v>22</v>
      </c>
      <c r="M7" s="3" t="s">
        <v>27</v>
      </c>
      <c r="P7" s="10">
        <f t="shared" si="0"/>
        <v>0.17954159592529711</v>
      </c>
      <c r="Q7" s="15">
        <f t="shared" si="1"/>
        <v>4230</v>
      </c>
    </row>
    <row r="8" spans="1:18" x14ac:dyDescent="0.3">
      <c r="A8" s="3" t="s">
        <v>44</v>
      </c>
      <c r="B8" s="3" t="s">
        <v>13</v>
      </c>
      <c r="C8" s="4" t="s">
        <v>45</v>
      </c>
      <c r="D8" s="3" t="s">
        <v>42</v>
      </c>
      <c r="E8" s="11" t="s">
        <v>46</v>
      </c>
      <c r="F8" s="5">
        <v>3860</v>
      </c>
      <c r="G8" s="5">
        <v>201</v>
      </c>
      <c r="H8" s="5">
        <v>279</v>
      </c>
      <c r="I8" s="5">
        <v>61760</v>
      </c>
      <c r="J8" s="5">
        <v>61660</v>
      </c>
      <c r="K8" s="5">
        <v>235</v>
      </c>
      <c r="L8" s="3" t="s">
        <v>22</v>
      </c>
      <c r="M8" s="3" t="s">
        <v>27</v>
      </c>
      <c r="P8" s="10">
        <f t="shared" si="0"/>
        <v>7.0272020725388601E-2</v>
      </c>
      <c r="Q8" s="15">
        <f t="shared" si="1"/>
        <v>4340</v>
      </c>
    </row>
    <row r="9" spans="1:18" x14ac:dyDescent="0.3">
      <c r="A9" s="3" t="s">
        <v>47</v>
      </c>
      <c r="B9" s="3" t="s">
        <v>24</v>
      </c>
      <c r="C9" s="4" t="s">
        <v>48</v>
      </c>
      <c r="D9" s="3" t="s">
        <v>49</v>
      </c>
      <c r="E9" s="11" t="s">
        <v>50</v>
      </c>
      <c r="F9" s="5">
        <v>3929</v>
      </c>
      <c r="G9" s="5">
        <v>262</v>
      </c>
      <c r="H9" s="5">
        <v>278</v>
      </c>
      <c r="I9" s="5">
        <v>43219</v>
      </c>
      <c r="J9" s="5">
        <v>42841</v>
      </c>
      <c r="K9" s="5">
        <v>39</v>
      </c>
      <c r="L9" s="3" t="s">
        <v>35</v>
      </c>
      <c r="M9" s="3" t="s">
        <v>34</v>
      </c>
      <c r="P9" s="10">
        <f t="shared" si="0"/>
        <v>0.10340359564080613</v>
      </c>
      <c r="Q9" s="15">
        <f t="shared" si="1"/>
        <v>4469</v>
      </c>
    </row>
    <row r="10" spans="1:18" x14ac:dyDescent="0.3">
      <c r="A10" s="3" t="s">
        <v>51</v>
      </c>
      <c r="B10" s="3" t="s">
        <v>40</v>
      </c>
      <c r="C10" s="4" t="s">
        <v>52</v>
      </c>
      <c r="D10" s="3" t="s">
        <v>20</v>
      </c>
      <c r="E10" s="11" t="s">
        <v>53</v>
      </c>
      <c r="F10" s="5">
        <v>3784</v>
      </c>
      <c r="G10" s="5">
        <v>808</v>
      </c>
      <c r="H10" s="5">
        <v>404</v>
      </c>
      <c r="I10" s="5">
        <v>56760</v>
      </c>
      <c r="J10" s="5">
        <v>56343</v>
      </c>
      <c r="K10" s="5">
        <v>131</v>
      </c>
      <c r="L10" s="3" t="s">
        <v>22</v>
      </c>
      <c r="M10" s="3" t="s">
        <v>27</v>
      </c>
      <c r="P10" s="10">
        <f t="shared" si="0"/>
        <v>8.8019732205778717E-2</v>
      </c>
      <c r="Q10" s="15">
        <f t="shared" si="1"/>
        <v>4996</v>
      </c>
    </row>
    <row r="11" spans="1:18" x14ac:dyDescent="0.3">
      <c r="A11" s="3" t="s">
        <v>54</v>
      </c>
      <c r="B11" s="3" t="s">
        <v>40</v>
      </c>
      <c r="C11" s="4" t="s">
        <v>55</v>
      </c>
      <c r="D11" s="3" t="s">
        <v>49</v>
      </c>
      <c r="E11" s="11" t="s">
        <v>56</v>
      </c>
      <c r="F11" s="5">
        <v>4241</v>
      </c>
      <c r="G11" s="5">
        <v>902</v>
      </c>
      <c r="H11" s="5">
        <v>47</v>
      </c>
      <c r="I11" s="5">
        <v>72097</v>
      </c>
      <c r="J11" s="5">
        <v>71598</v>
      </c>
      <c r="K11" s="5">
        <v>167</v>
      </c>
      <c r="L11" s="3" t="s">
        <v>22</v>
      </c>
      <c r="M11" s="3" t="s">
        <v>27</v>
      </c>
      <c r="P11" s="10">
        <f t="shared" si="0"/>
        <v>7.198635172059864E-2</v>
      </c>
      <c r="Q11" s="15">
        <f t="shared" si="1"/>
        <v>5190</v>
      </c>
    </row>
    <row r="12" spans="1:18" x14ac:dyDescent="0.3">
      <c r="A12" s="3" t="s">
        <v>57</v>
      </c>
      <c r="B12" s="3" t="s">
        <v>30</v>
      </c>
      <c r="C12" s="4" t="s">
        <v>58</v>
      </c>
      <c r="D12" s="3" t="s">
        <v>32</v>
      </c>
      <c r="E12" s="11" t="s">
        <v>33</v>
      </c>
      <c r="F12" s="5">
        <v>1792</v>
      </c>
      <c r="G12" s="5">
        <v>614</v>
      </c>
      <c r="H12" s="5">
        <v>497</v>
      </c>
      <c r="I12" s="5">
        <v>25088</v>
      </c>
      <c r="J12" s="5">
        <v>24675</v>
      </c>
      <c r="K12" s="5">
        <v>65</v>
      </c>
      <c r="L12" s="3" t="s">
        <v>35</v>
      </c>
      <c r="M12" s="3" t="s">
        <v>59</v>
      </c>
      <c r="P12" s="10">
        <f t="shared" si="0"/>
        <v>0.11571269132653061</v>
      </c>
      <c r="Q12" s="15">
        <f t="shared" si="1"/>
        <v>2903</v>
      </c>
    </row>
    <row r="13" spans="1:18" x14ac:dyDescent="0.3">
      <c r="A13" s="3" t="s">
        <v>60</v>
      </c>
      <c r="B13" s="3" t="s">
        <v>40</v>
      </c>
      <c r="C13" s="4" t="s">
        <v>61</v>
      </c>
      <c r="D13" s="3" t="s">
        <v>15</v>
      </c>
      <c r="E13" s="11" t="s">
        <v>62</v>
      </c>
      <c r="F13" s="5">
        <v>1946</v>
      </c>
      <c r="G13" s="5">
        <v>686</v>
      </c>
      <c r="H13" s="5">
        <v>377</v>
      </c>
      <c r="I13" s="5">
        <v>23352</v>
      </c>
      <c r="J13" s="5">
        <v>22982</v>
      </c>
      <c r="K13" s="5">
        <v>213</v>
      </c>
      <c r="L13" s="3" t="s">
        <v>28</v>
      </c>
      <c r="M13" s="3" t="s">
        <v>59</v>
      </c>
      <c r="P13" s="10">
        <f t="shared" si="0"/>
        <v>0.12885405960945528</v>
      </c>
      <c r="Q13" s="15">
        <f t="shared" si="1"/>
        <v>3009</v>
      </c>
    </row>
    <row r="14" spans="1:18" x14ac:dyDescent="0.3">
      <c r="A14" s="3" t="s">
        <v>63</v>
      </c>
      <c r="B14" s="3" t="s">
        <v>24</v>
      </c>
      <c r="C14" s="4" t="s">
        <v>64</v>
      </c>
      <c r="D14" s="3" t="s">
        <v>42</v>
      </c>
      <c r="E14" s="11" t="s">
        <v>65</v>
      </c>
      <c r="F14" s="5">
        <v>1171</v>
      </c>
      <c r="G14" s="5">
        <v>286</v>
      </c>
      <c r="H14" s="5">
        <v>231</v>
      </c>
      <c r="I14" s="5">
        <v>22249</v>
      </c>
      <c r="J14" s="5">
        <v>21282</v>
      </c>
      <c r="K14" s="5">
        <v>114</v>
      </c>
      <c r="L14" s="3" t="s">
        <v>17</v>
      </c>
      <c r="M14" s="3" t="s">
        <v>34</v>
      </c>
      <c r="P14" s="10">
        <f t="shared" si="0"/>
        <v>7.5868578363072495E-2</v>
      </c>
      <c r="Q14" s="15">
        <f t="shared" si="1"/>
        <v>1688</v>
      </c>
    </row>
    <row r="15" spans="1:18" x14ac:dyDescent="0.3">
      <c r="A15" s="3" t="s">
        <v>66</v>
      </c>
      <c r="B15" s="3" t="s">
        <v>40</v>
      </c>
      <c r="C15" s="4" t="s">
        <v>67</v>
      </c>
      <c r="D15" s="3" t="s">
        <v>32</v>
      </c>
      <c r="E15" s="11" t="s">
        <v>68</v>
      </c>
      <c r="F15" s="5">
        <v>4242</v>
      </c>
      <c r="G15" s="5">
        <v>555</v>
      </c>
      <c r="H15" s="5">
        <v>131</v>
      </c>
      <c r="I15" s="5">
        <v>33936</v>
      </c>
      <c r="J15" s="5">
        <v>33802</v>
      </c>
      <c r="K15" s="5">
        <v>265</v>
      </c>
      <c r="L15" s="6"/>
      <c r="M15" s="3" t="s">
        <v>59</v>
      </c>
      <c r="P15" s="10">
        <f t="shared" si="0"/>
        <v>0.14521452145214522</v>
      </c>
      <c r="Q15" s="15">
        <f t="shared" si="1"/>
        <v>4928</v>
      </c>
    </row>
    <row r="16" spans="1:18" x14ac:dyDescent="0.3">
      <c r="A16" s="3" t="s">
        <v>69</v>
      </c>
      <c r="B16" s="3" t="s">
        <v>40</v>
      </c>
      <c r="C16" s="4" t="s">
        <v>70</v>
      </c>
      <c r="D16" s="3" t="s">
        <v>71</v>
      </c>
      <c r="E16" s="11" t="s">
        <v>72</v>
      </c>
      <c r="F16" s="5">
        <v>3888</v>
      </c>
      <c r="G16" s="5">
        <v>604</v>
      </c>
      <c r="H16" s="5">
        <v>128</v>
      </c>
      <c r="I16" s="5">
        <v>77760</v>
      </c>
      <c r="J16" s="5">
        <v>77167</v>
      </c>
      <c r="K16" s="5">
        <v>20</v>
      </c>
      <c r="L16" s="3" t="s">
        <v>17</v>
      </c>
      <c r="M16" s="3" t="s">
        <v>59</v>
      </c>
      <c r="P16" s="10">
        <f t="shared" si="0"/>
        <v>5.941358024691358E-2</v>
      </c>
      <c r="Q16" s="15">
        <f t="shared" si="1"/>
        <v>4620</v>
      </c>
    </row>
    <row r="17" spans="1:17" x14ac:dyDescent="0.3">
      <c r="A17" s="3" t="s">
        <v>73</v>
      </c>
      <c r="B17" s="3" t="s">
        <v>40</v>
      </c>
      <c r="C17" s="4" t="s">
        <v>74</v>
      </c>
      <c r="D17" s="3" t="s">
        <v>20</v>
      </c>
      <c r="E17" s="11" t="s">
        <v>53</v>
      </c>
      <c r="F17" s="5">
        <v>3452</v>
      </c>
      <c r="G17" s="5">
        <v>377</v>
      </c>
      <c r="H17" s="5">
        <v>360</v>
      </c>
      <c r="I17" s="5">
        <v>55232</v>
      </c>
      <c r="J17" s="5">
        <v>55075</v>
      </c>
      <c r="K17" s="5">
        <v>87</v>
      </c>
      <c r="L17" s="3" t="s">
        <v>28</v>
      </c>
      <c r="M17" s="3" t="s">
        <v>59</v>
      </c>
      <c r="P17" s="10">
        <f t="shared" si="0"/>
        <v>7.5843713789107758E-2</v>
      </c>
      <c r="Q17" s="15">
        <f t="shared" si="1"/>
        <v>4189</v>
      </c>
    </row>
    <row r="18" spans="1:17" x14ac:dyDescent="0.3">
      <c r="A18" s="3" t="s">
        <v>75</v>
      </c>
      <c r="B18" s="3" t="s">
        <v>40</v>
      </c>
      <c r="C18" s="4" t="s">
        <v>76</v>
      </c>
      <c r="D18" s="3" t="s">
        <v>20</v>
      </c>
      <c r="E18" s="11" t="s">
        <v>53</v>
      </c>
      <c r="F18" s="5">
        <v>4441</v>
      </c>
      <c r="G18" s="5">
        <v>511</v>
      </c>
      <c r="H18" s="5">
        <v>70</v>
      </c>
      <c r="I18" s="5">
        <v>53292</v>
      </c>
      <c r="J18" s="5">
        <v>53082</v>
      </c>
      <c r="K18" s="5">
        <v>159</v>
      </c>
      <c r="L18" s="3" t="s">
        <v>35</v>
      </c>
      <c r="M18" s="3" t="s">
        <v>34</v>
      </c>
      <c r="P18" s="10">
        <f t="shared" si="0"/>
        <v>9.4235532537716729E-2</v>
      </c>
      <c r="Q18" s="15">
        <f t="shared" si="1"/>
        <v>5022</v>
      </c>
    </row>
    <row r="19" spans="1:17" x14ac:dyDescent="0.3">
      <c r="A19" s="3" t="s">
        <v>77</v>
      </c>
      <c r="B19" s="3" t="s">
        <v>30</v>
      </c>
      <c r="C19" s="4" t="s">
        <v>78</v>
      </c>
      <c r="D19" s="3" t="s">
        <v>15</v>
      </c>
      <c r="E19" s="11" t="s">
        <v>79</v>
      </c>
      <c r="F19" s="5">
        <v>3000</v>
      </c>
      <c r="G19" s="5">
        <v>382</v>
      </c>
      <c r="H19" s="5">
        <v>325</v>
      </c>
      <c r="I19" s="5">
        <v>36000</v>
      </c>
      <c r="J19" s="5">
        <v>35819</v>
      </c>
      <c r="K19" s="5">
        <v>19</v>
      </c>
      <c r="L19" s="3" t="s">
        <v>17</v>
      </c>
      <c r="M19" s="3" t="s">
        <v>59</v>
      </c>
      <c r="P19" s="10">
        <f t="shared" si="0"/>
        <v>0.10297222222222223</v>
      </c>
      <c r="Q19" s="15">
        <f t="shared" si="1"/>
        <v>3707</v>
      </c>
    </row>
    <row r="20" spans="1:17" x14ac:dyDescent="0.3">
      <c r="A20" s="3" t="s">
        <v>80</v>
      </c>
      <c r="B20" s="3" t="s">
        <v>30</v>
      </c>
      <c r="C20" s="4" t="s">
        <v>81</v>
      </c>
      <c r="D20" s="3" t="s">
        <v>71</v>
      </c>
      <c r="E20" s="11" t="s">
        <v>82</v>
      </c>
      <c r="F20" s="5">
        <v>1071</v>
      </c>
      <c r="G20" s="5">
        <v>519</v>
      </c>
      <c r="H20" s="5">
        <v>22</v>
      </c>
      <c r="I20" s="5">
        <v>16065</v>
      </c>
      <c r="J20" s="5">
        <v>15865</v>
      </c>
      <c r="K20" s="5">
        <v>103</v>
      </c>
      <c r="L20" s="3" t="s">
        <v>35</v>
      </c>
      <c r="M20" s="3" t="s">
        <v>27</v>
      </c>
      <c r="P20" s="10">
        <f t="shared" si="0"/>
        <v>0.10034235916588857</v>
      </c>
      <c r="Q20" s="15">
        <f t="shared" si="1"/>
        <v>1612</v>
      </c>
    </row>
    <row r="21" spans="1:17" x14ac:dyDescent="0.3">
      <c r="A21" s="3" t="s">
        <v>83</v>
      </c>
      <c r="B21" s="3" t="s">
        <v>30</v>
      </c>
      <c r="C21" s="4" t="s">
        <v>84</v>
      </c>
      <c r="D21" s="3" t="s">
        <v>42</v>
      </c>
      <c r="E21" s="11" t="s">
        <v>85</v>
      </c>
      <c r="F21" s="5">
        <v>4054</v>
      </c>
      <c r="G21" s="5">
        <v>488</v>
      </c>
      <c r="H21" s="5">
        <v>373</v>
      </c>
      <c r="I21" s="5">
        <v>77026</v>
      </c>
      <c r="J21" s="5">
        <v>76881</v>
      </c>
      <c r="K21" s="5">
        <v>25</v>
      </c>
      <c r="L21" s="3" t="s">
        <v>17</v>
      </c>
      <c r="M21" s="3" t="s">
        <v>27</v>
      </c>
      <c r="P21" s="10">
        <f t="shared" si="0"/>
        <v>6.3809622724794221E-2</v>
      </c>
      <c r="Q21" s="15">
        <f t="shared" si="1"/>
        <v>4915</v>
      </c>
    </row>
    <row r="22" spans="1:17" x14ac:dyDescent="0.3">
      <c r="A22" s="3" t="s">
        <v>86</v>
      </c>
      <c r="B22" s="3" t="s">
        <v>30</v>
      </c>
      <c r="C22" s="4" t="s">
        <v>87</v>
      </c>
      <c r="D22" s="3" t="s">
        <v>15</v>
      </c>
      <c r="E22" s="11" t="s">
        <v>79</v>
      </c>
      <c r="F22" s="5">
        <v>4838</v>
      </c>
      <c r="G22" s="5">
        <v>640</v>
      </c>
      <c r="H22" s="5">
        <v>128</v>
      </c>
      <c r="I22" s="5">
        <v>72570</v>
      </c>
      <c r="J22" s="5">
        <v>72396</v>
      </c>
      <c r="K22" s="5">
        <v>83</v>
      </c>
      <c r="L22" s="3" t="s">
        <v>35</v>
      </c>
      <c r="M22" s="3" t="s">
        <v>59</v>
      </c>
      <c r="P22" s="10">
        <f t="shared" si="0"/>
        <v>7.7249552156538517E-2</v>
      </c>
      <c r="Q22" s="15">
        <f t="shared" si="1"/>
        <v>5606</v>
      </c>
    </row>
    <row r="23" spans="1:17" x14ac:dyDescent="0.3">
      <c r="A23" s="3" t="s">
        <v>88</v>
      </c>
      <c r="B23" s="3" t="s">
        <v>40</v>
      </c>
      <c r="C23" s="4" t="s">
        <v>89</v>
      </c>
      <c r="D23" s="3" t="s">
        <v>20</v>
      </c>
      <c r="E23" s="11" t="s">
        <v>53</v>
      </c>
      <c r="F23" s="5">
        <v>1570</v>
      </c>
      <c r="G23" s="5">
        <v>187</v>
      </c>
      <c r="H23" s="5">
        <v>260</v>
      </c>
      <c r="I23" s="5">
        <v>25120</v>
      </c>
      <c r="J23" s="5">
        <v>24613</v>
      </c>
      <c r="K23" s="5">
        <v>133</v>
      </c>
      <c r="L23" s="3" t="s">
        <v>35</v>
      </c>
      <c r="M23" s="3" t="s">
        <v>27</v>
      </c>
      <c r="P23" s="10">
        <f t="shared" si="0"/>
        <v>8.0294585987261149E-2</v>
      </c>
      <c r="Q23" s="15">
        <f t="shared" si="1"/>
        <v>2017</v>
      </c>
    </row>
    <row r="24" spans="1:17" x14ac:dyDescent="0.3">
      <c r="A24" s="3" t="s">
        <v>90</v>
      </c>
      <c r="B24" s="3" t="s">
        <v>40</v>
      </c>
      <c r="C24" s="4" t="s">
        <v>91</v>
      </c>
      <c r="D24" s="3" t="s">
        <v>71</v>
      </c>
      <c r="E24" s="11" t="s">
        <v>72</v>
      </c>
      <c r="F24" s="5">
        <v>1606</v>
      </c>
      <c r="G24" s="5">
        <v>547</v>
      </c>
      <c r="H24" s="5">
        <v>316</v>
      </c>
      <c r="I24" s="5">
        <v>32120</v>
      </c>
      <c r="J24" s="5">
        <v>31736</v>
      </c>
      <c r="K24" s="5">
        <v>225</v>
      </c>
      <c r="L24" s="3" t="s">
        <v>22</v>
      </c>
      <c r="M24" s="3" t="s">
        <v>27</v>
      </c>
      <c r="N24" t="s">
        <v>600</v>
      </c>
      <c r="P24" s="10">
        <f t="shared" si="0"/>
        <v>7.6867995018679955E-2</v>
      </c>
      <c r="Q24" s="15">
        <f t="shared" si="1"/>
        <v>2469</v>
      </c>
    </row>
    <row r="25" spans="1:17" x14ac:dyDescent="0.3">
      <c r="A25" s="3" t="s">
        <v>92</v>
      </c>
      <c r="B25" s="3" t="s">
        <v>40</v>
      </c>
      <c r="C25" s="4" t="s">
        <v>93</v>
      </c>
      <c r="D25" s="3" t="s">
        <v>71</v>
      </c>
      <c r="E25" s="11" t="s">
        <v>72</v>
      </c>
      <c r="F25" s="5">
        <v>3961</v>
      </c>
      <c r="G25" s="5">
        <v>761</v>
      </c>
      <c r="H25" s="5">
        <v>131</v>
      </c>
      <c r="I25" s="5">
        <v>67337</v>
      </c>
      <c r="J25" s="5">
        <v>66615</v>
      </c>
      <c r="K25" s="5">
        <v>161</v>
      </c>
      <c r="L25" s="3" t="s">
        <v>28</v>
      </c>
      <c r="M25" s="3" t="s">
        <v>59</v>
      </c>
      <c r="P25" s="10">
        <f t="shared" si="0"/>
        <v>7.2070332803659209E-2</v>
      </c>
      <c r="Q25" s="15">
        <f t="shared" si="1"/>
        <v>4853</v>
      </c>
    </row>
    <row r="26" spans="1:17" x14ac:dyDescent="0.3">
      <c r="A26" s="3" t="s">
        <v>94</v>
      </c>
      <c r="B26" s="3" t="s">
        <v>13</v>
      </c>
      <c r="C26" s="4" t="s">
        <v>95</v>
      </c>
      <c r="D26" s="3" t="s">
        <v>42</v>
      </c>
      <c r="E26" s="11" t="s">
        <v>46</v>
      </c>
      <c r="F26" s="5">
        <v>3128</v>
      </c>
      <c r="G26" s="5">
        <v>211</v>
      </c>
      <c r="H26" s="5">
        <v>197</v>
      </c>
      <c r="I26" s="5">
        <v>59432</v>
      </c>
      <c r="J26" s="5">
        <v>59182</v>
      </c>
      <c r="K26" s="5">
        <v>238</v>
      </c>
      <c r="L26" s="6"/>
      <c r="M26" s="3" t="s">
        <v>34</v>
      </c>
      <c r="P26" s="10">
        <f t="shared" si="0"/>
        <v>5.9496567505720827E-2</v>
      </c>
      <c r="Q26" s="15">
        <f t="shared" si="1"/>
        <v>3536</v>
      </c>
    </row>
    <row r="27" spans="1:17" x14ac:dyDescent="0.3">
      <c r="A27" s="3" t="s">
        <v>96</v>
      </c>
      <c r="B27" s="3" t="s">
        <v>24</v>
      </c>
      <c r="C27" s="4" t="s">
        <v>97</v>
      </c>
      <c r="D27" s="3" t="s">
        <v>15</v>
      </c>
      <c r="E27" s="11" t="s">
        <v>26</v>
      </c>
      <c r="F27" s="5">
        <v>3009</v>
      </c>
      <c r="G27" s="5">
        <v>413</v>
      </c>
      <c r="H27" s="5">
        <v>358</v>
      </c>
      <c r="I27" s="5">
        <v>42126</v>
      </c>
      <c r="J27" s="5">
        <v>41309</v>
      </c>
      <c r="K27" s="5">
        <v>211</v>
      </c>
      <c r="L27" s="3" t="s">
        <v>22</v>
      </c>
      <c r="M27" s="3" t="s">
        <v>59</v>
      </c>
      <c r="P27" s="10">
        <f t="shared" si="0"/>
        <v>8.9730807577268201E-2</v>
      </c>
      <c r="Q27" s="15">
        <f t="shared" si="1"/>
        <v>3780</v>
      </c>
    </row>
    <row r="28" spans="1:17" x14ac:dyDescent="0.3">
      <c r="A28" s="3" t="s">
        <v>98</v>
      </c>
      <c r="B28" s="3" t="s">
        <v>24</v>
      </c>
      <c r="C28" s="4" t="s">
        <v>99</v>
      </c>
      <c r="D28" s="3" t="s">
        <v>20</v>
      </c>
      <c r="E28" s="11" t="s">
        <v>100</v>
      </c>
      <c r="F28" s="5">
        <v>2076</v>
      </c>
      <c r="G28" s="5">
        <v>195</v>
      </c>
      <c r="H28" s="5">
        <v>104</v>
      </c>
      <c r="I28" s="5">
        <v>33216</v>
      </c>
      <c r="J28" s="5">
        <v>32244</v>
      </c>
      <c r="K28" s="5">
        <v>51</v>
      </c>
      <c r="L28" s="3" t="s">
        <v>35</v>
      </c>
      <c r="M28" s="3" t="s">
        <v>59</v>
      </c>
      <c r="P28" s="10">
        <f t="shared" si="0"/>
        <v>7.1501685934489398E-2</v>
      </c>
      <c r="Q28" s="15">
        <f t="shared" si="1"/>
        <v>2375</v>
      </c>
    </row>
    <row r="29" spans="1:17" x14ac:dyDescent="0.3">
      <c r="A29" s="3" t="s">
        <v>101</v>
      </c>
      <c r="B29" s="3" t="s">
        <v>30</v>
      </c>
      <c r="C29" s="4" t="s">
        <v>102</v>
      </c>
      <c r="D29" s="3" t="s">
        <v>71</v>
      </c>
      <c r="E29" s="11" t="s">
        <v>82</v>
      </c>
      <c r="F29" s="5">
        <v>432</v>
      </c>
      <c r="G29" s="5">
        <v>624</v>
      </c>
      <c r="H29" s="5">
        <v>123</v>
      </c>
      <c r="I29" s="5">
        <v>6912</v>
      </c>
      <c r="J29" s="5">
        <v>6259</v>
      </c>
      <c r="K29" s="5">
        <v>79</v>
      </c>
      <c r="L29" s="3" t="s">
        <v>35</v>
      </c>
      <c r="M29" s="3" t="s">
        <v>59</v>
      </c>
      <c r="P29" s="10">
        <f t="shared" si="0"/>
        <v>0.17057291666666666</v>
      </c>
      <c r="Q29" s="15">
        <f t="shared" si="1"/>
        <v>1179</v>
      </c>
    </row>
    <row r="30" spans="1:17" x14ac:dyDescent="0.3">
      <c r="A30" s="3" t="s">
        <v>103</v>
      </c>
      <c r="B30" s="3" t="s">
        <v>30</v>
      </c>
      <c r="C30" s="4" t="s">
        <v>104</v>
      </c>
      <c r="D30" s="3" t="s">
        <v>42</v>
      </c>
      <c r="E30" s="11" t="s">
        <v>85</v>
      </c>
      <c r="F30" s="5">
        <v>2566</v>
      </c>
      <c r="G30" s="5">
        <v>118</v>
      </c>
      <c r="H30" s="5">
        <v>37</v>
      </c>
      <c r="I30" s="5">
        <v>12830</v>
      </c>
      <c r="J30" s="5">
        <v>12264</v>
      </c>
      <c r="K30" s="5">
        <v>221</v>
      </c>
      <c r="L30" s="3" t="s">
        <v>28</v>
      </c>
      <c r="M30" s="3" t="s">
        <v>59</v>
      </c>
      <c r="P30" s="10">
        <f t="shared" si="0"/>
        <v>0.21208106001558846</v>
      </c>
      <c r="Q30" s="15">
        <f t="shared" si="1"/>
        <v>2721</v>
      </c>
    </row>
    <row r="31" spans="1:17" x14ac:dyDescent="0.3">
      <c r="A31" s="3" t="s">
        <v>105</v>
      </c>
      <c r="B31" s="3" t="s">
        <v>30</v>
      </c>
      <c r="C31" s="4" t="s">
        <v>106</v>
      </c>
      <c r="D31" s="3" t="s">
        <v>71</v>
      </c>
      <c r="E31" s="11" t="s">
        <v>82</v>
      </c>
      <c r="F31" s="5">
        <v>3095</v>
      </c>
      <c r="G31" s="5">
        <v>39</v>
      </c>
      <c r="H31" s="5">
        <v>78</v>
      </c>
      <c r="I31" s="5">
        <v>55710</v>
      </c>
      <c r="J31" s="5">
        <v>54808</v>
      </c>
      <c r="K31" s="5">
        <v>93</v>
      </c>
      <c r="L31" s="6"/>
      <c r="M31" s="3" t="s">
        <v>34</v>
      </c>
      <c r="P31" s="10">
        <f t="shared" si="0"/>
        <v>5.7655717106444085E-2</v>
      </c>
      <c r="Q31" s="15">
        <f t="shared" si="1"/>
        <v>3212</v>
      </c>
    </row>
    <row r="32" spans="1:17" x14ac:dyDescent="0.3">
      <c r="A32" s="3" t="s">
        <v>107</v>
      </c>
      <c r="B32" s="3" t="s">
        <v>30</v>
      </c>
      <c r="C32" s="4" t="s">
        <v>108</v>
      </c>
      <c r="D32" s="3" t="s">
        <v>20</v>
      </c>
      <c r="E32" s="11" t="s">
        <v>109</v>
      </c>
      <c r="F32" s="5">
        <v>438</v>
      </c>
      <c r="G32" s="5">
        <v>153</v>
      </c>
      <c r="H32" s="5">
        <v>275</v>
      </c>
      <c r="I32" s="5">
        <v>3066</v>
      </c>
      <c r="J32" s="5">
        <v>2701</v>
      </c>
      <c r="K32" s="5">
        <v>282</v>
      </c>
      <c r="L32" s="3" t="s">
        <v>22</v>
      </c>
      <c r="M32" s="3" t="s">
        <v>27</v>
      </c>
      <c r="P32" s="10">
        <f t="shared" si="0"/>
        <v>0.28245270711024134</v>
      </c>
      <c r="Q32" s="15">
        <f t="shared" si="1"/>
        <v>866</v>
      </c>
    </row>
    <row r="33" spans="1:17" x14ac:dyDescent="0.3">
      <c r="A33" s="3" t="s">
        <v>110</v>
      </c>
      <c r="B33" s="3" t="s">
        <v>13</v>
      </c>
      <c r="C33" s="4" t="s">
        <v>111</v>
      </c>
      <c r="D33" s="3" t="s">
        <v>42</v>
      </c>
      <c r="E33" s="11" t="s">
        <v>46</v>
      </c>
      <c r="F33" s="5">
        <v>2278</v>
      </c>
      <c r="G33" s="5">
        <v>10</v>
      </c>
      <c r="H33" s="5">
        <v>321</v>
      </c>
      <c r="I33" s="5">
        <v>13668</v>
      </c>
      <c r="J33" s="5">
        <v>12676</v>
      </c>
      <c r="K33" s="5">
        <v>275</v>
      </c>
      <c r="L33" s="3" t="s">
        <v>17</v>
      </c>
      <c r="M33" s="3" t="s">
        <v>34</v>
      </c>
      <c r="P33" s="10">
        <f t="shared" si="0"/>
        <v>0.19088381621305239</v>
      </c>
      <c r="Q33" s="15">
        <f t="shared" si="1"/>
        <v>2609</v>
      </c>
    </row>
    <row r="34" spans="1:17" x14ac:dyDescent="0.3">
      <c r="A34" s="3" t="s">
        <v>112</v>
      </c>
      <c r="B34" s="3" t="s">
        <v>40</v>
      </c>
      <c r="C34" s="4" t="s">
        <v>113</v>
      </c>
      <c r="D34" s="3" t="s">
        <v>49</v>
      </c>
      <c r="E34" s="11" t="s">
        <v>56</v>
      </c>
      <c r="F34" s="5">
        <v>1407</v>
      </c>
      <c r="G34" s="5">
        <v>400</v>
      </c>
      <c r="H34" s="5">
        <v>351</v>
      </c>
      <c r="I34" s="5">
        <v>16884</v>
      </c>
      <c r="J34" s="5">
        <v>15954</v>
      </c>
      <c r="K34" s="5">
        <v>113</v>
      </c>
      <c r="L34" s="3" t="s">
        <v>17</v>
      </c>
      <c r="M34" s="3" t="s">
        <v>27</v>
      </c>
      <c r="P34" s="10">
        <f t="shared" si="0"/>
        <v>0.12781331438047855</v>
      </c>
      <c r="Q34" s="15">
        <f t="shared" si="1"/>
        <v>2158</v>
      </c>
    </row>
    <row r="35" spans="1:17" x14ac:dyDescent="0.3">
      <c r="A35" s="3" t="s">
        <v>114</v>
      </c>
      <c r="B35" s="3" t="s">
        <v>40</v>
      </c>
      <c r="C35" s="4" t="s">
        <v>115</v>
      </c>
      <c r="D35" s="3" t="s">
        <v>20</v>
      </c>
      <c r="E35" s="11" t="s">
        <v>53</v>
      </c>
      <c r="F35" s="5">
        <v>1652</v>
      </c>
      <c r="G35" s="5">
        <v>89</v>
      </c>
      <c r="H35" s="5">
        <v>357</v>
      </c>
      <c r="I35" s="5">
        <v>29736</v>
      </c>
      <c r="J35" s="5">
        <v>28771</v>
      </c>
      <c r="K35" s="5">
        <v>215</v>
      </c>
      <c r="L35" s="3" t="s">
        <v>28</v>
      </c>
      <c r="M35" s="3" t="s">
        <v>27</v>
      </c>
      <c r="P35" s="10">
        <f t="shared" si="0"/>
        <v>7.055421038471886E-2</v>
      </c>
      <c r="Q35" s="15">
        <f t="shared" si="1"/>
        <v>2098</v>
      </c>
    </row>
    <row r="36" spans="1:17" x14ac:dyDescent="0.3">
      <c r="A36" s="3" t="s">
        <v>116</v>
      </c>
      <c r="B36" s="3" t="s">
        <v>30</v>
      </c>
      <c r="C36" s="4" t="s">
        <v>117</v>
      </c>
      <c r="D36" s="3" t="s">
        <v>71</v>
      </c>
      <c r="E36" s="11" t="s">
        <v>82</v>
      </c>
      <c r="F36" s="5">
        <v>3775</v>
      </c>
      <c r="G36" s="5">
        <v>16</v>
      </c>
      <c r="H36" s="5">
        <v>239</v>
      </c>
      <c r="I36" s="5">
        <v>33975</v>
      </c>
      <c r="J36" s="5">
        <v>33310</v>
      </c>
      <c r="K36" s="5">
        <v>271</v>
      </c>
      <c r="L36" s="3" t="s">
        <v>22</v>
      </c>
      <c r="M36" s="3" t="s">
        <v>59</v>
      </c>
      <c r="P36" s="10">
        <f t="shared" si="0"/>
        <v>0.11861662987490802</v>
      </c>
      <c r="Q36" s="15">
        <f t="shared" si="1"/>
        <v>4030</v>
      </c>
    </row>
    <row r="37" spans="1:17" x14ac:dyDescent="0.3">
      <c r="A37" s="3" t="s">
        <v>118</v>
      </c>
      <c r="B37" s="3" t="s">
        <v>30</v>
      </c>
      <c r="C37" s="4" t="s">
        <v>119</v>
      </c>
      <c r="D37" s="3" t="s">
        <v>32</v>
      </c>
      <c r="E37" s="11" t="s">
        <v>33</v>
      </c>
      <c r="F37" s="5">
        <v>4518</v>
      </c>
      <c r="G37" s="5">
        <v>285</v>
      </c>
      <c r="H37" s="5">
        <v>383</v>
      </c>
      <c r="I37" s="5">
        <v>67770</v>
      </c>
      <c r="J37" s="5">
        <v>67621</v>
      </c>
      <c r="K37" s="5">
        <v>31</v>
      </c>
      <c r="L37" s="3" t="s">
        <v>22</v>
      </c>
      <c r="M37" s="3" t="s">
        <v>34</v>
      </c>
      <c r="P37" s="10">
        <f t="shared" si="0"/>
        <v>7.6523535487678915E-2</v>
      </c>
      <c r="Q37" s="15">
        <f t="shared" si="1"/>
        <v>5186</v>
      </c>
    </row>
    <row r="38" spans="1:17" x14ac:dyDescent="0.3">
      <c r="A38" s="3" t="s">
        <v>120</v>
      </c>
      <c r="B38" s="3" t="s">
        <v>40</v>
      </c>
      <c r="C38" s="4" t="s">
        <v>121</v>
      </c>
      <c r="D38" s="3" t="s">
        <v>42</v>
      </c>
      <c r="E38" s="11" t="s">
        <v>43</v>
      </c>
      <c r="F38" s="5">
        <v>3024</v>
      </c>
      <c r="G38" s="5">
        <v>925</v>
      </c>
      <c r="H38" s="5">
        <v>350</v>
      </c>
      <c r="I38" s="5">
        <v>24192</v>
      </c>
      <c r="J38" s="5">
        <v>23518</v>
      </c>
      <c r="K38" s="5">
        <v>36</v>
      </c>
      <c r="L38" s="3" t="s">
        <v>22</v>
      </c>
      <c r="M38" s="3" t="s">
        <v>34</v>
      </c>
      <c r="P38" s="10">
        <f t="shared" si="0"/>
        <v>0.17770337301587302</v>
      </c>
      <c r="Q38" s="15">
        <f t="shared" si="1"/>
        <v>4299</v>
      </c>
    </row>
    <row r="39" spans="1:17" x14ac:dyDescent="0.3">
      <c r="A39" s="3" t="s">
        <v>122</v>
      </c>
      <c r="B39" s="3" t="s">
        <v>24</v>
      </c>
      <c r="C39" s="4" t="s">
        <v>123</v>
      </c>
      <c r="D39" s="3" t="s">
        <v>15</v>
      </c>
      <c r="E39" s="11" t="s">
        <v>26</v>
      </c>
      <c r="F39" s="5">
        <v>3138</v>
      </c>
      <c r="G39" s="5">
        <v>123</v>
      </c>
      <c r="H39" s="5">
        <v>291</v>
      </c>
      <c r="I39" s="5">
        <v>28242</v>
      </c>
      <c r="J39" s="5">
        <v>27550</v>
      </c>
      <c r="K39" s="5">
        <v>87</v>
      </c>
      <c r="L39" s="3" t="s">
        <v>35</v>
      </c>
      <c r="M39" s="3" t="s">
        <v>27</v>
      </c>
      <c r="P39" s="10">
        <f t="shared" si="0"/>
        <v>0.12577012959422137</v>
      </c>
      <c r="Q39" s="15">
        <f t="shared" si="1"/>
        <v>3552</v>
      </c>
    </row>
    <row r="40" spans="1:17" x14ac:dyDescent="0.3">
      <c r="A40" s="3" t="s">
        <v>124</v>
      </c>
      <c r="B40" s="3" t="s">
        <v>40</v>
      </c>
      <c r="C40" s="4" t="s">
        <v>125</v>
      </c>
      <c r="D40" s="3" t="s">
        <v>49</v>
      </c>
      <c r="E40" s="11" t="s">
        <v>56</v>
      </c>
      <c r="F40" s="5">
        <v>3564</v>
      </c>
      <c r="G40" s="5">
        <v>629</v>
      </c>
      <c r="H40" s="5">
        <v>177</v>
      </c>
      <c r="I40" s="5">
        <v>60588</v>
      </c>
      <c r="J40" s="5">
        <v>59627</v>
      </c>
      <c r="K40" s="5">
        <v>92</v>
      </c>
      <c r="L40" s="6"/>
      <c r="M40" s="3" t="s">
        <v>27</v>
      </c>
      <c r="P40" s="10">
        <f t="shared" si="0"/>
        <v>7.2126493695121141E-2</v>
      </c>
      <c r="Q40" s="15">
        <f t="shared" si="1"/>
        <v>4370</v>
      </c>
    </row>
    <row r="41" spans="1:17" x14ac:dyDescent="0.3">
      <c r="A41" s="3" t="s">
        <v>126</v>
      </c>
      <c r="B41" s="3" t="s">
        <v>13</v>
      </c>
      <c r="C41" s="4" t="s">
        <v>127</v>
      </c>
      <c r="D41" s="3" t="s">
        <v>49</v>
      </c>
      <c r="E41" s="11" t="s">
        <v>128</v>
      </c>
      <c r="F41" s="5">
        <v>4750</v>
      </c>
      <c r="G41" s="5">
        <v>151</v>
      </c>
      <c r="H41" s="5">
        <v>415</v>
      </c>
      <c r="I41" s="5">
        <v>38000</v>
      </c>
      <c r="J41" s="5">
        <v>37792</v>
      </c>
      <c r="K41" s="5">
        <v>299</v>
      </c>
      <c r="L41" s="3" t="s">
        <v>35</v>
      </c>
      <c r="M41" s="3" t="s">
        <v>34</v>
      </c>
      <c r="P41" s="10">
        <f t="shared" si="0"/>
        <v>0.13989473684210527</v>
      </c>
      <c r="Q41" s="15">
        <f t="shared" si="1"/>
        <v>5316</v>
      </c>
    </row>
    <row r="42" spans="1:17" x14ac:dyDescent="0.3">
      <c r="A42" s="3" t="s">
        <v>129</v>
      </c>
      <c r="B42" s="3" t="s">
        <v>30</v>
      </c>
      <c r="C42" s="4" t="s">
        <v>130</v>
      </c>
      <c r="D42" s="3" t="s">
        <v>15</v>
      </c>
      <c r="E42" s="11" t="s">
        <v>79</v>
      </c>
      <c r="F42" s="5">
        <v>456</v>
      </c>
      <c r="G42" s="5">
        <v>629</v>
      </c>
      <c r="H42" s="5">
        <v>428</v>
      </c>
      <c r="I42" s="5">
        <v>8208</v>
      </c>
      <c r="J42" s="5">
        <v>7377</v>
      </c>
      <c r="K42" s="5">
        <v>205</v>
      </c>
      <c r="L42" s="3" t="s">
        <v>35</v>
      </c>
      <c r="M42" s="3" t="s">
        <v>59</v>
      </c>
      <c r="P42" s="10">
        <f t="shared" si="0"/>
        <v>0.18433235867446393</v>
      </c>
      <c r="Q42" s="15">
        <f t="shared" si="1"/>
        <v>1513</v>
      </c>
    </row>
    <row r="43" spans="1:17" x14ac:dyDescent="0.3">
      <c r="A43" s="3" t="s">
        <v>131</v>
      </c>
      <c r="B43" s="3" t="s">
        <v>24</v>
      </c>
      <c r="C43" s="4" t="s">
        <v>132</v>
      </c>
      <c r="D43" s="3" t="s">
        <v>15</v>
      </c>
      <c r="E43" s="11" t="s">
        <v>26</v>
      </c>
      <c r="F43" s="5">
        <v>1543</v>
      </c>
      <c r="G43" s="5">
        <v>820</v>
      </c>
      <c r="H43" s="5">
        <v>333</v>
      </c>
      <c r="I43" s="5">
        <v>12344</v>
      </c>
      <c r="J43" s="5">
        <v>11496</v>
      </c>
      <c r="K43" s="5">
        <v>241</v>
      </c>
      <c r="L43" s="6"/>
      <c r="M43" s="3" t="s">
        <v>34</v>
      </c>
      <c r="P43" s="10">
        <f t="shared" si="0"/>
        <v>0.21840570317563188</v>
      </c>
      <c r="Q43" s="15">
        <f t="shared" si="1"/>
        <v>2696</v>
      </c>
    </row>
    <row r="44" spans="1:17" x14ac:dyDescent="0.3">
      <c r="A44" s="3" t="s">
        <v>133</v>
      </c>
      <c r="B44" s="3" t="s">
        <v>30</v>
      </c>
      <c r="C44" s="4" t="s">
        <v>134</v>
      </c>
      <c r="D44" s="3" t="s">
        <v>42</v>
      </c>
      <c r="E44" s="11" t="s">
        <v>85</v>
      </c>
      <c r="F44" s="5">
        <v>2174</v>
      </c>
      <c r="G44" s="5">
        <v>658</v>
      </c>
      <c r="H44" s="5">
        <v>15</v>
      </c>
      <c r="I44" s="5">
        <v>13044</v>
      </c>
      <c r="J44" s="5">
        <v>12206</v>
      </c>
      <c r="K44" s="5">
        <v>137</v>
      </c>
      <c r="L44" s="3" t="s">
        <v>28</v>
      </c>
      <c r="M44" s="3" t="s">
        <v>27</v>
      </c>
      <c r="P44" s="10">
        <f t="shared" si="0"/>
        <v>0.21826126954921804</v>
      </c>
      <c r="Q44" s="15">
        <f t="shared" si="1"/>
        <v>2847</v>
      </c>
    </row>
    <row r="45" spans="1:17" x14ac:dyDescent="0.3">
      <c r="A45" s="3" t="s">
        <v>135</v>
      </c>
      <c r="B45" s="3" t="s">
        <v>13</v>
      </c>
      <c r="C45" s="4" t="s">
        <v>136</v>
      </c>
      <c r="D45" s="3" t="s">
        <v>49</v>
      </c>
      <c r="E45" s="11" t="s">
        <v>128</v>
      </c>
      <c r="F45" s="5">
        <v>2358</v>
      </c>
      <c r="G45" s="5">
        <v>784</v>
      </c>
      <c r="H45" s="5">
        <v>344</v>
      </c>
      <c r="I45" s="5">
        <v>35370</v>
      </c>
      <c r="J45" s="5">
        <v>34475</v>
      </c>
      <c r="K45" s="5">
        <v>216</v>
      </c>
      <c r="L45" s="6"/>
      <c r="M45" s="3" t="s">
        <v>27</v>
      </c>
      <c r="P45" s="10">
        <f t="shared" si="0"/>
        <v>9.8558100084817649E-2</v>
      </c>
      <c r="Q45" s="15">
        <f t="shared" si="1"/>
        <v>3486</v>
      </c>
    </row>
    <row r="46" spans="1:17" x14ac:dyDescent="0.3">
      <c r="A46" s="3" t="s">
        <v>137</v>
      </c>
      <c r="B46" s="3" t="s">
        <v>40</v>
      </c>
      <c r="C46" s="4" t="s">
        <v>138</v>
      </c>
      <c r="D46" s="3" t="s">
        <v>71</v>
      </c>
      <c r="E46" s="11" t="s">
        <v>72</v>
      </c>
      <c r="F46" s="5">
        <v>3371</v>
      </c>
      <c r="G46" s="5">
        <v>106</v>
      </c>
      <c r="H46" s="5">
        <v>327</v>
      </c>
      <c r="I46" s="5">
        <v>50565</v>
      </c>
      <c r="J46" s="5">
        <v>49816</v>
      </c>
      <c r="K46" s="5">
        <v>176</v>
      </c>
      <c r="L46" s="3" t="s">
        <v>17</v>
      </c>
      <c r="M46" s="3" t="s">
        <v>59</v>
      </c>
      <c r="P46" s="10">
        <f t="shared" si="0"/>
        <v>7.5229902106199939E-2</v>
      </c>
      <c r="Q46" s="15">
        <f t="shared" si="1"/>
        <v>3804</v>
      </c>
    </row>
    <row r="47" spans="1:17" x14ac:dyDescent="0.3">
      <c r="A47" s="3" t="s">
        <v>139</v>
      </c>
      <c r="B47" s="3" t="s">
        <v>13</v>
      </c>
      <c r="C47" s="4" t="s">
        <v>140</v>
      </c>
      <c r="D47" s="3" t="s">
        <v>71</v>
      </c>
      <c r="E47" s="11" t="s">
        <v>141</v>
      </c>
      <c r="F47" s="5">
        <v>1108</v>
      </c>
      <c r="G47" s="5">
        <v>177</v>
      </c>
      <c r="H47" s="5">
        <v>212</v>
      </c>
      <c r="I47" s="5">
        <v>8864</v>
      </c>
      <c r="J47" s="5">
        <v>8710</v>
      </c>
      <c r="K47" s="5">
        <v>97</v>
      </c>
      <c r="L47" s="3" t="s">
        <v>35</v>
      </c>
      <c r="M47" s="3" t="s">
        <v>27</v>
      </c>
      <c r="P47" s="10">
        <f t="shared" si="0"/>
        <v>0.16888537906137185</v>
      </c>
      <c r="Q47" s="15">
        <f t="shared" si="1"/>
        <v>1497</v>
      </c>
    </row>
    <row r="48" spans="1:17" x14ac:dyDescent="0.3">
      <c r="A48" s="3" t="s">
        <v>142</v>
      </c>
      <c r="B48" s="3" t="s">
        <v>13</v>
      </c>
      <c r="C48" s="4" t="s">
        <v>143</v>
      </c>
      <c r="D48" s="3" t="s">
        <v>42</v>
      </c>
      <c r="E48" s="11" t="s">
        <v>46</v>
      </c>
      <c r="F48" s="5">
        <v>2704</v>
      </c>
      <c r="G48" s="5">
        <v>752</v>
      </c>
      <c r="H48" s="5">
        <v>153</v>
      </c>
      <c r="I48" s="5">
        <v>21632</v>
      </c>
      <c r="J48" s="5">
        <v>20792</v>
      </c>
      <c r="K48" s="5">
        <v>127</v>
      </c>
      <c r="L48" s="6"/>
      <c r="M48" s="3" t="s">
        <v>59</v>
      </c>
      <c r="P48" s="10">
        <f t="shared" si="0"/>
        <v>0.16683616863905326</v>
      </c>
      <c r="Q48" s="15">
        <f t="shared" si="1"/>
        <v>3609</v>
      </c>
    </row>
    <row r="49" spans="1:17" x14ac:dyDescent="0.3">
      <c r="A49" s="3" t="s">
        <v>144</v>
      </c>
      <c r="B49" s="3" t="s">
        <v>13</v>
      </c>
      <c r="C49" s="4" t="s">
        <v>55</v>
      </c>
      <c r="D49" s="3" t="s">
        <v>32</v>
      </c>
      <c r="E49" s="11" t="s">
        <v>145</v>
      </c>
      <c r="F49" s="5">
        <v>1950</v>
      </c>
      <c r="G49" s="5">
        <v>295</v>
      </c>
      <c r="H49" s="5">
        <v>478</v>
      </c>
      <c r="I49" s="5">
        <v>37050</v>
      </c>
      <c r="J49" s="5">
        <v>36272</v>
      </c>
      <c r="K49" s="5">
        <v>119</v>
      </c>
      <c r="L49" s="6"/>
      <c r="M49" s="3" t="s">
        <v>27</v>
      </c>
      <c r="P49" s="10">
        <f t="shared" si="0"/>
        <v>7.349527665317139E-2</v>
      </c>
      <c r="Q49" s="15">
        <f t="shared" si="1"/>
        <v>2723</v>
      </c>
    </row>
    <row r="50" spans="1:17" x14ac:dyDescent="0.3">
      <c r="A50" s="3" t="s">
        <v>146</v>
      </c>
      <c r="B50" s="3" t="s">
        <v>13</v>
      </c>
      <c r="C50" s="4" t="s">
        <v>147</v>
      </c>
      <c r="D50" s="3" t="s">
        <v>32</v>
      </c>
      <c r="E50" s="11" t="s">
        <v>145</v>
      </c>
      <c r="F50" s="5">
        <v>2164</v>
      </c>
      <c r="G50" s="5">
        <v>549</v>
      </c>
      <c r="H50" s="5">
        <v>274</v>
      </c>
      <c r="I50" s="5">
        <v>28132</v>
      </c>
      <c r="J50" s="5">
        <v>27361</v>
      </c>
      <c r="K50" s="5">
        <v>177</v>
      </c>
      <c r="L50" s="3" t="s">
        <v>35</v>
      </c>
      <c r="M50" s="3" t="s">
        <v>27</v>
      </c>
      <c r="P50" s="10">
        <f t="shared" si="0"/>
        <v>0.10617801791554102</v>
      </c>
      <c r="Q50" s="15">
        <f t="shared" si="1"/>
        <v>2987</v>
      </c>
    </row>
    <row r="51" spans="1:17" x14ac:dyDescent="0.3">
      <c r="A51" s="3" t="s">
        <v>148</v>
      </c>
      <c r="B51" s="3" t="s">
        <v>24</v>
      </c>
      <c r="C51" s="4" t="s">
        <v>149</v>
      </c>
      <c r="D51" s="3" t="s">
        <v>32</v>
      </c>
      <c r="E51" s="11" t="s">
        <v>150</v>
      </c>
      <c r="F51" s="5">
        <v>2754</v>
      </c>
      <c r="G51" s="5">
        <v>130</v>
      </c>
      <c r="H51" s="5">
        <v>90</v>
      </c>
      <c r="I51" s="5">
        <v>22032</v>
      </c>
      <c r="J51" s="5">
        <v>21288</v>
      </c>
      <c r="K51" s="5">
        <v>112</v>
      </c>
      <c r="L51" s="3" t="s">
        <v>28</v>
      </c>
      <c r="M51" s="3" t="s">
        <v>27</v>
      </c>
      <c r="P51" s="10">
        <f t="shared" si="0"/>
        <v>0.13498547567175018</v>
      </c>
      <c r="Q51" s="15">
        <f t="shared" si="1"/>
        <v>2974</v>
      </c>
    </row>
    <row r="52" spans="1:17" x14ac:dyDescent="0.3">
      <c r="A52" s="3" t="s">
        <v>151</v>
      </c>
      <c r="B52" s="3" t="s">
        <v>40</v>
      </c>
      <c r="C52" s="4" t="s">
        <v>152</v>
      </c>
      <c r="D52" s="3" t="s">
        <v>42</v>
      </c>
      <c r="E52" s="11" t="s">
        <v>43</v>
      </c>
      <c r="F52" s="5">
        <v>2200</v>
      </c>
      <c r="G52" s="5">
        <v>504</v>
      </c>
      <c r="H52" s="5">
        <v>239</v>
      </c>
      <c r="I52" s="5">
        <v>37400</v>
      </c>
      <c r="J52" s="5">
        <v>36938</v>
      </c>
      <c r="K52" s="5">
        <v>225</v>
      </c>
      <c r="L52" s="3" t="s">
        <v>22</v>
      </c>
      <c r="M52" s="3" t="s">
        <v>59</v>
      </c>
      <c r="P52" s="10">
        <f t="shared" si="0"/>
        <v>7.8689839572192513E-2</v>
      </c>
      <c r="Q52" s="15">
        <f t="shared" si="1"/>
        <v>2943</v>
      </c>
    </row>
    <row r="53" spans="1:17" x14ac:dyDescent="0.3">
      <c r="A53" s="3" t="s">
        <v>153</v>
      </c>
      <c r="B53" s="3" t="s">
        <v>40</v>
      </c>
      <c r="C53" s="4" t="s">
        <v>154</v>
      </c>
      <c r="D53" s="3" t="s">
        <v>49</v>
      </c>
      <c r="E53" s="11" t="s">
        <v>56</v>
      </c>
      <c r="F53" s="5">
        <v>947</v>
      </c>
      <c r="G53" s="5">
        <v>338</v>
      </c>
      <c r="H53" s="5">
        <v>350</v>
      </c>
      <c r="I53" s="5">
        <v>10417</v>
      </c>
      <c r="J53" s="5">
        <v>9730</v>
      </c>
      <c r="K53" s="5">
        <v>34</v>
      </c>
      <c r="L53" s="3" t="s">
        <v>35</v>
      </c>
      <c r="M53" s="3" t="s">
        <v>27</v>
      </c>
      <c r="P53" s="10">
        <f t="shared" si="0"/>
        <v>0.1569549774407219</v>
      </c>
      <c r="Q53" s="15">
        <f t="shared" si="1"/>
        <v>1635</v>
      </c>
    </row>
    <row r="54" spans="1:17" x14ac:dyDescent="0.3">
      <c r="A54" s="3" t="s">
        <v>155</v>
      </c>
      <c r="B54" s="3" t="s">
        <v>24</v>
      </c>
      <c r="C54" s="4" t="s">
        <v>143</v>
      </c>
      <c r="D54" s="3" t="s">
        <v>42</v>
      </c>
      <c r="E54" s="11" t="s">
        <v>65</v>
      </c>
      <c r="F54" s="5">
        <v>804</v>
      </c>
      <c r="G54" s="5">
        <v>639</v>
      </c>
      <c r="H54" s="5">
        <v>43</v>
      </c>
      <c r="I54" s="5">
        <v>4020</v>
      </c>
      <c r="J54" s="5">
        <v>3144</v>
      </c>
      <c r="K54" s="5">
        <v>11</v>
      </c>
      <c r="L54" s="6"/>
      <c r="M54" s="3" t="s">
        <v>34</v>
      </c>
      <c r="N54" t="s">
        <v>601</v>
      </c>
      <c r="P54" s="10">
        <f t="shared" si="0"/>
        <v>0.36965174129353234</v>
      </c>
      <c r="Q54" s="15">
        <f t="shared" si="1"/>
        <v>1486</v>
      </c>
    </row>
    <row r="55" spans="1:17" x14ac:dyDescent="0.3">
      <c r="A55" s="3" t="s">
        <v>156</v>
      </c>
      <c r="B55" s="3" t="s">
        <v>24</v>
      </c>
      <c r="C55" s="4" t="s">
        <v>157</v>
      </c>
      <c r="D55" s="3" t="s">
        <v>42</v>
      </c>
      <c r="E55" s="11" t="s">
        <v>65</v>
      </c>
      <c r="F55" s="5">
        <v>1686</v>
      </c>
      <c r="G55" s="5">
        <v>904</v>
      </c>
      <c r="H55" s="5">
        <v>472</v>
      </c>
      <c r="I55" s="5">
        <v>18546</v>
      </c>
      <c r="J55" s="5">
        <v>18171</v>
      </c>
      <c r="K55" s="5">
        <v>52</v>
      </c>
      <c r="L55" s="3" t="s">
        <v>22</v>
      </c>
      <c r="M55" s="3" t="s">
        <v>59</v>
      </c>
      <c r="P55" s="10">
        <f t="shared" si="0"/>
        <v>0.16510298716704411</v>
      </c>
      <c r="Q55" s="15">
        <f t="shared" si="1"/>
        <v>3062</v>
      </c>
    </row>
    <row r="56" spans="1:17" x14ac:dyDescent="0.3">
      <c r="A56" s="3" t="s">
        <v>158</v>
      </c>
      <c r="B56" s="3" t="s">
        <v>40</v>
      </c>
      <c r="C56" s="4" t="s">
        <v>159</v>
      </c>
      <c r="D56" s="3" t="s">
        <v>49</v>
      </c>
      <c r="E56" s="11" t="s">
        <v>56</v>
      </c>
      <c r="F56" s="5">
        <v>1226</v>
      </c>
      <c r="G56" s="5">
        <v>119</v>
      </c>
      <c r="H56" s="5">
        <v>7</v>
      </c>
      <c r="I56" s="5">
        <v>14712</v>
      </c>
      <c r="J56" s="5">
        <v>14049</v>
      </c>
      <c r="K56" s="5">
        <v>123</v>
      </c>
      <c r="L56" s="3" t="s">
        <v>35</v>
      </c>
      <c r="M56" s="3" t="s">
        <v>34</v>
      </c>
      <c r="P56" s="10">
        <f t="shared" si="0"/>
        <v>9.1897770527460579E-2</v>
      </c>
      <c r="Q56" s="15">
        <f t="shared" si="1"/>
        <v>1352</v>
      </c>
    </row>
    <row r="57" spans="1:17" x14ac:dyDescent="0.3">
      <c r="A57" s="3" t="s">
        <v>160</v>
      </c>
      <c r="B57" s="3" t="s">
        <v>40</v>
      </c>
      <c r="C57" s="4" t="s">
        <v>161</v>
      </c>
      <c r="D57" s="3" t="s">
        <v>42</v>
      </c>
      <c r="E57" s="11" t="s">
        <v>43</v>
      </c>
      <c r="F57" s="5">
        <v>2946</v>
      </c>
      <c r="G57" s="5">
        <v>498</v>
      </c>
      <c r="H57" s="5">
        <v>367</v>
      </c>
      <c r="I57" s="5">
        <v>29460</v>
      </c>
      <c r="J57" s="5">
        <v>28527</v>
      </c>
      <c r="K57" s="5">
        <v>60</v>
      </c>
      <c r="L57" s="3" t="s">
        <v>28</v>
      </c>
      <c r="M57" s="3" t="s">
        <v>59</v>
      </c>
      <c r="P57" s="10">
        <f t="shared" si="0"/>
        <v>0.12936184657162253</v>
      </c>
      <c r="Q57" s="15">
        <f t="shared" si="1"/>
        <v>3811</v>
      </c>
    </row>
    <row r="58" spans="1:17" x14ac:dyDescent="0.3">
      <c r="A58" s="3" t="s">
        <v>162</v>
      </c>
      <c r="B58" s="3" t="s">
        <v>13</v>
      </c>
      <c r="C58" s="4" t="s">
        <v>163</v>
      </c>
      <c r="D58" s="3" t="s">
        <v>71</v>
      </c>
      <c r="E58" s="11" t="s">
        <v>141</v>
      </c>
      <c r="F58" s="5">
        <v>2825</v>
      </c>
      <c r="G58" s="5">
        <v>535</v>
      </c>
      <c r="H58" s="5">
        <v>295</v>
      </c>
      <c r="I58" s="5">
        <v>45200</v>
      </c>
      <c r="J58" s="5">
        <v>44739</v>
      </c>
      <c r="K58" s="5">
        <v>169</v>
      </c>
      <c r="L58" s="3" t="s">
        <v>17</v>
      </c>
      <c r="M58" s="3" t="s">
        <v>27</v>
      </c>
      <c r="P58" s="10">
        <f t="shared" si="0"/>
        <v>8.0862831858407078E-2</v>
      </c>
      <c r="Q58" s="15">
        <f t="shared" si="1"/>
        <v>3655</v>
      </c>
    </row>
    <row r="59" spans="1:17" x14ac:dyDescent="0.3">
      <c r="A59" s="3" t="s">
        <v>164</v>
      </c>
      <c r="B59" s="3" t="s">
        <v>30</v>
      </c>
      <c r="C59" s="4" t="s">
        <v>165</v>
      </c>
      <c r="D59" s="3" t="s">
        <v>15</v>
      </c>
      <c r="E59" s="11" t="s">
        <v>79</v>
      </c>
      <c r="F59" s="5">
        <v>103</v>
      </c>
      <c r="G59" s="5">
        <v>770</v>
      </c>
      <c r="H59" s="5">
        <v>19</v>
      </c>
      <c r="I59" s="5">
        <v>1030</v>
      </c>
      <c r="J59" s="5">
        <v>410</v>
      </c>
      <c r="K59" s="5">
        <v>262</v>
      </c>
      <c r="L59" s="3" t="s">
        <v>35</v>
      </c>
      <c r="M59" s="3" t="s">
        <v>27</v>
      </c>
      <c r="P59" s="10">
        <f>(F59+G59+H59)/I59</f>
        <v>0.86601941747572819</v>
      </c>
      <c r="Q59" s="15">
        <f t="shared" si="1"/>
        <v>892</v>
      </c>
    </row>
    <row r="60" spans="1:17" x14ac:dyDescent="0.3">
      <c r="A60" s="3" t="s">
        <v>166</v>
      </c>
      <c r="B60" s="3" t="s">
        <v>30</v>
      </c>
      <c r="C60" s="4" t="s">
        <v>167</v>
      </c>
      <c r="D60" s="3" t="s">
        <v>20</v>
      </c>
      <c r="E60" s="11" t="s">
        <v>109</v>
      </c>
      <c r="F60" s="5">
        <v>2180</v>
      </c>
      <c r="G60" s="5">
        <v>263</v>
      </c>
      <c r="H60" s="5">
        <v>387</v>
      </c>
      <c r="I60" s="5">
        <v>30520</v>
      </c>
      <c r="J60" s="5">
        <v>30059</v>
      </c>
      <c r="K60" s="5">
        <v>174</v>
      </c>
      <c r="L60" s="6"/>
      <c r="M60" s="3" t="s">
        <v>34</v>
      </c>
      <c r="P60" s="10">
        <f t="shared" si="0"/>
        <v>9.2726081258191345E-2</v>
      </c>
      <c r="Q60" s="15">
        <f t="shared" si="1"/>
        <v>2830</v>
      </c>
    </row>
    <row r="61" spans="1:17" x14ac:dyDescent="0.3">
      <c r="A61" s="3" t="s">
        <v>168</v>
      </c>
      <c r="B61" s="3" t="s">
        <v>30</v>
      </c>
      <c r="C61" s="4" t="s">
        <v>169</v>
      </c>
      <c r="D61" s="3" t="s">
        <v>71</v>
      </c>
      <c r="E61" s="11" t="s">
        <v>82</v>
      </c>
      <c r="F61" s="5">
        <v>904</v>
      </c>
      <c r="G61" s="5">
        <v>973</v>
      </c>
      <c r="H61" s="5">
        <v>63</v>
      </c>
      <c r="I61" s="5">
        <v>11752</v>
      </c>
      <c r="J61" s="5">
        <v>11580</v>
      </c>
      <c r="K61" s="5">
        <v>84</v>
      </c>
      <c r="L61" s="3" t="s">
        <v>28</v>
      </c>
      <c r="M61" s="3" t="s">
        <v>34</v>
      </c>
      <c r="N61" t="s">
        <v>27</v>
      </c>
      <c r="O61" t="s">
        <v>600</v>
      </c>
      <c r="P61" s="10">
        <f t="shared" si="0"/>
        <v>0.1650782845473111</v>
      </c>
      <c r="Q61" s="15">
        <f t="shared" si="1"/>
        <v>1940</v>
      </c>
    </row>
    <row r="62" spans="1:17" x14ac:dyDescent="0.3">
      <c r="A62" s="3" t="s">
        <v>170</v>
      </c>
      <c r="B62" s="3" t="s">
        <v>13</v>
      </c>
      <c r="C62" s="4" t="s">
        <v>171</v>
      </c>
      <c r="D62" s="3" t="s">
        <v>71</v>
      </c>
      <c r="E62" s="11" t="s">
        <v>141</v>
      </c>
      <c r="F62" s="5">
        <v>4886</v>
      </c>
      <c r="G62" s="5">
        <v>983</v>
      </c>
      <c r="H62" s="5">
        <v>409</v>
      </c>
      <c r="I62" s="5">
        <v>43974</v>
      </c>
      <c r="J62" s="5">
        <v>43239</v>
      </c>
      <c r="K62" s="5">
        <v>65</v>
      </c>
      <c r="L62" s="3" t="s">
        <v>17</v>
      </c>
      <c r="M62" s="3" t="s">
        <v>27</v>
      </c>
      <c r="P62" s="10">
        <f t="shared" si="0"/>
        <v>0.14276618001546368</v>
      </c>
      <c r="Q62" s="15">
        <f t="shared" si="1"/>
        <v>6278</v>
      </c>
    </row>
    <row r="63" spans="1:17" x14ac:dyDescent="0.3">
      <c r="A63" s="3" t="s">
        <v>172</v>
      </c>
      <c r="B63" s="3" t="s">
        <v>13</v>
      </c>
      <c r="C63" s="4" t="s">
        <v>173</v>
      </c>
      <c r="D63" s="3" t="s">
        <v>42</v>
      </c>
      <c r="E63" s="11" t="s">
        <v>46</v>
      </c>
      <c r="F63" s="5">
        <v>53</v>
      </c>
      <c r="G63" s="5">
        <v>81</v>
      </c>
      <c r="H63" s="5">
        <v>379</v>
      </c>
      <c r="I63" s="5">
        <v>954</v>
      </c>
      <c r="J63" s="5">
        <v>7</v>
      </c>
      <c r="K63" s="5">
        <v>148</v>
      </c>
      <c r="L63" s="3" t="s">
        <v>28</v>
      </c>
      <c r="M63" s="3" t="s">
        <v>27</v>
      </c>
      <c r="P63" s="10">
        <f t="shared" si="0"/>
        <v>0.53773584905660377</v>
      </c>
      <c r="Q63" s="15">
        <f t="shared" si="1"/>
        <v>513</v>
      </c>
    </row>
    <row r="64" spans="1:17" x14ac:dyDescent="0.3">
      <c r="A64" s="3" t="s">
        <v>174</v>
      </c>
      <c r="B64" s="3" t="s">
        <v>13</v>
      </c>
      <c r="C64" s="4" t="s">
        <v>111</v>
      </c>
      <c r="D64" s="3" t="s">
        <v>42</v>
      </c>
      <c r="E64" s="11" t="s">
        <v>46</v>
      </c>
      <c r="F64" s="5">
        <v>4507</v>
      </c>
      <c r="G64" s="5">
        <v>217</v>
      </c>
      <c r="H64" s="5">
        <v>13</v>
      </c>
      <c r="I64" s="5">
        <v>90140</v>
      </c>
      <c r="J64" s="5">
        <v>89591</v>
      </c>
      <c r="K64" s="5">
        <v>125</v>
      </c>
      <c r="L64" s="3" t="s">
        <v>28</v>
      </c>
      <c r="M64" s="3" t="s">
        <v>59</v>
      </c>
      <c r="P64" s="10">
        <f t="shared" si="0"/>
        <v>5.2551586421122697E-2</v>
      </c>
      <c r="Q64" s="15">
        <f t="shared" si="1"/>
        <v>4737</v>
      </c>
    </row>
    <row r="65" spans="1:17" x14ac:dyDescent="0.3">
      <c r="A65" s="3" t="s">
        <v>175</v>
      </c>
      <c r="B65" s="3" t="s">
        <v>40</v>
      </c>
      <c r="C65" s="4" t="s">
        <v>176</v>
      </c>
      <c r="D65" s="3" t="s">
        <v>49</v>
      </c>
      <c r="E65" s="11" t="s">
        <v>56</v>
      </c>
      <c r="F65" s="5">
        <v>2878</v>
      </c>
      <c r="G65" s="5">
        <v>248</v>
      </c>
      <c r="H65" s="5">
        <v>416</v>
      </c>
      <c r="I65" s="5">
        <v>43170</v>
      </c>
      <c r="J65" s="5">
        <v>42667</v>
      </c>
      <c r="K65" s="5">
        <v>75</v>
      </c>
      <c r="L65" s="3" t="s">
        <v>28</v>
      </c>
      <c r="M65" s="3" t="s">
        <v>59</v>
      </c>
      <c r="P65" s="10">
        <f t="shared" si="0"/>
        <v>8.2047718322909427E-2</v>
      </c>
      <c r="Q65" s="15">
        <f t="shared" si="1"/>
        <v>3542</v>
      </c>
    </row>
    <row r="66" spans="1:17" x14ac:dyDescent="0.3">
      <c r="A66" s="3" t="s">
        <v>177</v>
      </c>
      <c r="B66" s="3" t="s">
        <v>30</v>
      </c>
      <c r="C66" s="4" t="s">
        <v>178</v>
      </c>
      <c r="D66" s="3" t="s">
        <v>32</v>
      </c>
      <c r="E66" s="11" t="s">
        <v>33</v>
      </c>
      <c r="F66" s="5">
        <v>1881</v>
      </c>
      <c r="G66" s="5">
        <v>501</v>
      </c>
      <c r="H66" s="5">
        <v>99</v>
      </c>
      <c r="I66" s="5">
        <v>20691</v>
      </c>
      <c r="J66" s="5">
        <v>19987</v>
      </c>
      <c r="K66" s="5">
        <v>289</v>
      </c>
      <c r="L66" s="6"/>
      <c r="M66" s="3" t="s">
        <v>34</v>
      </c>
      <c r="P66" s="10">
        <f t="shared" ref="P66:P129" si="2">(F66+G66+H66)/I66</f>
        <v>0.11990720603160794</v>
      </c>
      <c r="Q66" s="15">
        <f t="shared" ref="Q66:Q129" si="3">F66+G66+H66</f>
        <v>2481</v>
      </c>
    </row>
    <row r="67" spans="1:17" x14ac:dyDescent="0.3">
      <c r="A67" s="3" t="s">
        <v>179</v>
      </c>
      <c r="B67" s="3" t="s">
        <v>13</v>
      </c>
      <c r="C67" s="4" t="s">
        <v>180</v>
      </c>
      <c r="D67" s="3" t="s">
        <v>42</v>
      </c>
      <c r="E67" s="11" t="s">
        <v>46</v>
      </c>
      <c r="F67" s="5">
        <v>432</v>
      </c>
      <c r="G67" s="5">
        <v>171</v>
      </c>
      <c r="H67" s="5">
        <v>280</v>
      </c>
      <c r="I67" s="5">
        <v>3024</v>
      </c>
      <c r="J67" s="5">
        <v>2285</v>
      </c>
      <c r="K67" s="5">
        <v>184</v>
      </c>
      <c r="L67" s="3" t="s">
        <v>17</v>
      </c>
      <c r="M67" s="3" t="s">
        <v>34</v>
      </c>
      <c r="P67" s="10">
        <f t="shared" si="2"/>
        <v>0.29199735449735448</v>
      </c>
      <c r="Q67" s="15">
        <f t="shared" si="3"/>
        <v>883</v>
      </c>
    </row>
    <row r="68" spans="1:17" x14ac:dyDescent="0.3">
      <c r="A68" s="3" t="s">
        <v>181</v>
      </c>
      <c r="B68" s="3" t="s">
        <v>40</v>
      </c>
      <c r="C68" s="4" t="s">
        <v>182</v>
      </c>
      <c r="D68" s="3" t="s">
        <v>42</v>
      </c>
      <c r="E68" s="11" t="s">
        <v>43</v>
      </c>
      <c r="F68" s="5">
        <v>4712</v>
      </c>
      <c r="G68" s="5">
        <v>568</v>
      </c>
      <c r="H68" s="5">
        <v>127</v>
      </c>
      <c r="I68" s="5">
        <v>84816</v>
      </c>
      <c r="J68" s="5">
        <v>84691</v>
      </c>
      <c r="K68" s="5">
        <v>100</v>
      </c>
      <c r="L68" s="3" t="s">
        <v>28</v>
      </c>
      <c r="M68" s="3" t="s">
        <v>34</v>
      </c>
      <c r="P68" s="10">
        <f t="shared" si="2"/>
        <v>6.3749764195434822E-2</v>
      </c>
      <c r="Q68" s="15">
        <f t="shared" si="3"/>
        <v>5407</v>
      </c>
    </row>
    <row r="69" spans="1:17" x14ac:dyDescent="0.3">
      <c r="A69" s="3" t="s">
        <v>183</v>
      </c>
      <c r="B69" s="3" t="s">
        <v>30</v>
      </c>
      <c r="C69" s="4" t="s">
        <v>184</v>
      </c>
      <c r="D69" s="3" t="s">
        <v>32</v>
      </c>
      <c r="E69" s="11" t="s">
        <v>33</v>
      </c>
      <c r="F69" s="5">
        <v>2610</v>
      </c>
      <c r="G69" s="5">
        <v>126</v>
      </c>
      <c r="H69" s="5">
        <v>288</v>
      </c>
      <c r="I69" s="5">
        <v>15660</v>
      </c>
      <c r="J69" s="5">
        <v>15145</v>
      </c>
      <c r="K69" s="5">
        <v>73</v>
      </c>
      <c r="L69" s="6"/>
      <c r="M69" s="3" t="s">
        <v>34</v>
      </c>
      <c r="P69" s="10">
        <f t="shared" si="2"/>
        <v>0.19310344827586207</v>
      </c>
      <c r="Q69" s="15">
        <f t="shared" si="3"/>
        <v>3024</v>
      </c>
    </row>
    <row r="70" spans="1:17" x14ac:dyDescent="0.3">
      <c r="A70" s="3" t="s">
        <v>185</v>
      </c>
      <c r="B70" s="3" t="s">
        <v>13</v>
      </c>
      <c r="C70" s="4" t="s">
        <v>130</v>
      </c>
      <c r="D70" s="3" t="s">
        <v>20</v>
      </c>
      <c r="E70" s="11" t="s">
        <v>21</v>
      </c>
      <c r="F70" s="5">
        <v>1292</v>
      </c>
      <c r="G70" s="5">
        <v>626</v>
      </c>
      <c r="H70" s="5">
        <v>496</v>
      </c>
      <c r="I70" s="5">
        <v>25840</v>
      </c>
      <c r="J70" s="5">
        <v>24916</v>
      </c>
      <c r="K70" s="5">
        <v>149</v>
      </c>
      <c r="L70" s="3" t="s">
        <v>28</v>
      </c>
      <c r="M70" s="3" t="s">
        <v>59</v>
      </c>
      <c r="P70" s="10">
        <f t="shared" si="2"/>
        <v>9.3421052631578946E-2</v>
      </c>
      <c r="Q70" s="15">
        <f t="shared" si="3"/>
        <v>2414</v>
      </c>
    </row>
    <row r="71" spans="1:17" x14ac:dyDescent="0.3">
      <c r="A71" s="3" t="s">
        <v>186</v>
      </c>
      <c r="B71" s="3" t="s">
        <v>40</v>
      </c>
      <c r="C71" s="4" t="s">
        <v>187</v>
      </c>
      <c r="D71" s="3" t="s">
        <v>71</v>
      </c>
      <c r="E71" s="11" t="s">
        <v>72</v>
      </c>
      <c r="F71" s="5">
        <v>199</v>
      </c>
      <c r="G71" s="5">
        <v>772</v>
      </c>
      <c r="H71" s="5">
        <v>400</v>
      </c>
      <c r="I71" s="5">
        <v>3582</v>
      </c>
      <c r="J71" s="5">
        <v>2988</v>
      </c>
      <c r="K71" s="5">
        <v>43</v>
      </c>
      <c r="L71" s="6"/>
      <c r="M71" s="3" t="s">
        <v>27</v>
      </c>
      <c r="P71" s="10">
        <f t="shared" si="2"/>
        <v>0.38274706867671693</v>
      </c>
      <c r="Q71" s="15">
        <f t="shared" si="3"/>
        <v>1371</v>
      </c>
    </row>
    <row r="72" spans="1:17" x14ac:dyDescent="0.3">
      <c r="A72" s="3" t="s">
        <v>188</v>
      </c>
      <c r="B72" s="3" t="s">
        <v>24</v>
      </c>
      <c r="C72" s="4" t="s">
        <v>189</v>
      </c>
      <c r="D72" s="3" t="s">
        <v>42</v>
      </c>
      <c r="E72" s="11" t="s">
        <v>65</v>
      </c>
      <c r="F72" s="5">
        <v>2551</v>
      </c>
      <c r="G72" s="5">
        <v>915</v>
      </c>
      <c r="H72" s="5">
        <v>205</v>
      </c>
      <c r="I72" s="5">
        <v>30612</v>
      </c>
      <c r="J72" s="5">
        <v>30360</v>
      </c>
      <c r="K72" s="5">
        <v>227</v>
      </c>
      <c r="L72" s="3" t="s">
        <v>22</v>
      </c>
      <c r="M72" s="3" t="s">
        <v>27</v>
      </c>
      <c r="P72" s="10">
        <f t="shared" si="2"/>
        <v>0.1199202926956749</v>
      </c>
      <c r="Q72" s="15">
        <f t="shared" si="3"/>
        <v>3671</v>
      </c>
    </row>
    <row r="73" spans="1:17" x14ac:dyDescent="0.3">
      <c r="A73" s="3" t="s">
        <v>190</v>
      </c>
      <c r="B73" s="3" t="s">
        <v>24</v>
      </c>
      <c r="C73" s="4" t="s">
        <v>191</v>
      </c>
      <c r="D73" s="3" t="s">
        <v>15</v>
      </c>
      <c r="E73" s="11" t="s">
        <v>26</v>
      </c>
      <c r="F73" s="5">
        <v>296</v>
      </c>
      <c r="G73" s="5">
        <v>60</v>
      </c>
      <c r="H73" s="5">
        <v>141</v>
      </c>
      <c r="I73" s="5">
        <v>5624</v>
      </c>
      <c r="J73" s="5">
        <v>5239</v>
      </c>
      <c r="K73" s="5">
        <v>88</v>
      </c>
      <c r="L73" s="3" t="s">
        <v>22</v>
      </c>
      <c r="M73" s="3" t="s">
        <v>34</v>
      </c>
      <c r="P73" s="10">
        <f t="shared" si="2"/>
        <v>8.837126600284495E-2</v>
      </c>
      <c r="Q73" s="15">
        <f t="shared" si="3"/>
        <v>497</v>
      </c>
    </row>
    <row r="74" spans="1:17" x14ac:dyDescent="0.3">
      <c r="A74" s="3" t="s">
        <v>192</v>
      </c>
      <c r="B74" s="3" t="s">
        <v>40</v>
      </c>
      <c r="C74" s="4" t="s">
        <v>193</v>
      </c>
      <c r="D74" s="3" t="s">
        <v>32</v>
      </c>
      <c r="E74" s="11" t="s">
        <v>68</v>
      </c>
      <c r="F74" s="5">
        <v>4126</v>
      </c>
      <c r="G74" s="5">
        <v>426</v>
      </c>
      <c r="H74" s="5">
        <v>486</v>
      </c>
      <c r="I74" s="5">
        <v>78394</v>
      </c>
      <c r="J74" s="5">
        <v>77798</v>
      </c>
      <c r="K74" s="5">
        <v>88</v>
      </c>
      <c r="L74" s="3" t="s">
        <v>35</v>
      </c>
      <c r="M74" s="3" t="s">
        <v>59</v>
      </c>
      <c r="P74" s="10">
        <f t="shared" si="2"/>
        <v>6.4265122330790625E-2</v>
      </c>
      <c r="Q74" s="15">
        <f t="shared" si="3"/>
        <v>5038</v>
      </c>
    </row>
    <row r="75" spans="1:17" x14ac:dyDescent="0.3">
      <c r="A75" s="3" t="s">
        <v>194</v>
      </c>
      <c r="B75" s="3" t="s">
        <v>24</v>
      </c>
      <c r="C75" s="4" t="s">
        <v>195</v>
      </c>
      <c r="D75" s="3" t="s">
        <v>15</v>
      </c>
      <c r="E75" s="11" t="s">
        <v>26</v>
      </c>
      <c r="F75" s="5">
        <v>1855</v>
      </c>
      <c r="G75" s="5">
        <v>200</v>
      </c>
      <c r="H75" s="5">
        <v>174</v>
      </c>
      <c r="I75" s="5">
        <v>16695</v>
      </c>
      <c r="J75" s="5">
        <v>16330</v>
      </c>
      <c r="K75" s="5">
        <v>123</v>
      </c>
      <c r="L75" s="3" t="s">
        <v>28</v>
      </c>
      <c r="M75" s="3" t="s">
        <v>27</v>
      </c>
      <c r="P75" s="10">
        <f t="shared" si="2"/>
        <v>0.13351302785265048</v>
      </c>
      <c r="Q75" s="15">
        <f t="shared" si="3"/>
        <v>2229</v>
      </c>
    </row>
    <row r="76" spans="1:17" x14ac:dyDescent="0.3">
      <c r="A76" s="3" t="s">
        <v>196</v>
      </c>
      <c r="B76" s="3" t="s">
        <v>30</v>
      </c>
      <c r="C76" s="4" t="s">
        <v>197</v>
      </c>
      <c r="D76" s="3" t="s">
        <v>15</v>
      </c>
      <c r="E76" s="11" t="s">
        <v>79</v>
      </c>
      <c r="F76" s="5">
        <v>1674</v>
      </c>
      <c r="G76" s="5">
        <v>929</v>
      </c>
      <c r="H76" s="5">
        <v>37</v>
      </c>
      <c r="I76" s="5">
        <v>21762</v>
      </c>
      <c r="J76" s="5">
        <v>20998</v>
      </c>
      <c r="K76" s="5">
        <v>255</v>
      </c>
      <c r="L76" s="3" t="s">
        <v>35</v>
      </c>
      <c r="M76" s="3" t="s">
        <v>27</v>
      </c>
      <c r="P76" s="10">
        <f t="shared" si="2"/>
        <v>0.12131237937689551</v>
      </c>
      <c r="Q76" s="15">
        <f t="shared" si="3"/>
        <v>2640</v>
      </c>
    </row>
    <row r="77" spans="1:17" x14ac:dyDescent="0.3">
      <c r="A77" s="3" t="s">
        <v>198</v>
      </c>
      <c r="B77" s="3" t="s">
        <v>13</v>
      </c>
      <c r="C77" s="4" t="s">
        <v>199</v>
      </c>
      <c r="D77" s="3" t="s">
        <v>32</v>
      </c>
      <c r="E77" s="11" t="s">
        <v>145</v>
      </c>
      <c r="F77" s="5">
        <v>1121</v>
      </c>
      <c r="G77" s="5">
        <v>135</v>
      </c>
      <c r="H77" s="5">
        <v>18</v>
      </c>
      <c r="I77" s="5">
        <v>15694</v>
      </c>
      <c r="J77" s="5">
        <v>14957</v>
      </c>
      <c r="K77" s="5">
        <v>99</v>
      </c>
      <c r="L77" s="3" t="s">
        <v>35</v>
      </c>
      <c r="M77" s="3" t="s">
        <v>27</v>
      </c>
      <c r="P77" s="10">
        <f t="shared" si="2"/>
        <v>8.1177520071364848E-2</v>
      </c>
      <c r="Q77" s="15">
        <f t="shared" si="3"/>
        <v>1274</v>
      </c>
    </row>
    <row r="78" spans="1:17" x14ac:dyDescent="0.3">
      <c r="A78" s="3" t="s">
        <v>200</v>
      </c>
      <c r="B78" s="3" t="s">
        <v>40</v>
      </c>
      <c r="C78" s="4" t="s">
        <v>102</v>
      </c>
      <c r="D78" s="3" t="s">
        <v>32</v>
      </c>
      <c r="E78" s="11" t="s">
        <v>68</v>
      </c>
      <c r="F78" s="5">
        <v>1249</v>
      </c>
      <c r="G78" s="5">
        <v>116</v>
      </c>
      <c r="H78" s="5">
        <v>420</v>
      </c>
      <c r="I78" s="5">
        <v>8743</v>
      </c>
      <c r="J78" s="5">
        <v>8538</v>
      </c>
      <c r="K78" s="5">
        <v>63</v>
      </c>
      <c r="L78" s="6"/>
      <c r="M78" s="3" t="s">
        <v>27</v>
      </c>
      <c r="P78" s="10">
        <f t="shared" si="2"/>
        <v>0.20416333066453163</v>
      </c>
      <c r="Q78" s="15">
        <f t="shared" si="3"/>
        <v>1785</v>
      </c>
    </row>
    <row r="79" spans="1:17" x14ac:dyDescent="0.3">
      <c r="A79" s="3" t="s">
        <v>201</v>
      </c>
      <c r="B79" s="3" t="s">
        <v>13</v>
      </c>
      <c r="C79" s="4" t="s">
        <v>159</v>
      </c>
      <c r="D79" s="3" t="s">
        <v>49</v>
      </c>
      <c r="E79" s="11" t="s">
        <v>128</v>
      </c>
      <c r="F79" s="5">
        <v>954</v>
      </c>
      <c r="G79" s="5">
        <v>324</v>
      </c>
      <c r="H79" s="5">
        <v>288</v>
      </c>
      <c r="I79" s="5">
        <v>19080</v>
      </c>
      <c r="J79" s="5">
        <v>18859</v>
      </c>
      <c r="K79" s="5">
        <v>21</v>
      </c>
      <c r="L79" s="3" t="s">
        <v>35</v>
      </c>
      <c r="M79" s="3" t="s">
        <v>59</v>
      </c>
      <c r="P79" s="10">
        <f t="shared" si="2"/>
        <v>8.2075471698113203E-2</v>
      </c>
      <c r="Q79" s="15">
        <f t="shared" si="3"/>
        <v>1566</v>
      </c>
    </row>
    <row r="80" spans="1:17" x14ac:dyDescent="0.3">
      <c r="A80" s="3" t="s">
        <v>202</v>
      </c>
      <c r="B80" s="3" t="s">
        <v>30</v>
      </c>
      <c r="C80" s="4" t="s">
        <v>203</v>
      </c>
      <c r="D80" s="3" t="s">
        <v>42</v>
      </c>
      <c r="E80" s="11" t="s">
        <v>85</v>
      </c>
      <c r="F80" s="5">
        <v>3068</v>
      </c>
      <c r="G80" s="5">
        <v>137</v>
      </c>
      <c r="H80" s="5">
        <v>329</v>
      </c>
      <c r="I80" s="5">
        <v>39884</v>
      </c>
      <c r="J80" s="5">
        <v>39404</v>
      </c>
      <c r="K80" s="5">
        <v>266</v>
      </c>
      <c r="L80" s="3" t="s">
        <v>22</v>
      </c>
      <c r="M80" s="3" t="s">
        <v>34</v>
      </c>
      <c r="P80" s="10">
        <f t="shared" si="2"/>
        <v>8.860696018453515E-2</v>
      </c>
      <c r="Q80" s="15">
        <f t="shared" si="3"/>
        <v>3534</v>
      </c>
    </row>
    <row r="81" spans="1:17" x14ac:dyDescent="0.3">
      <c r="A81" s="3" t="s">
        <v>204</v>
      </c>
      <c r="B81" s="3" t="s">
        <v>30</v>
      </c>
      <c r="C81" s="4" t="s">
        <v>152</v>
      </c>
      <c r="D81" s="3" t="s">
        <v>32</v>
      </c>
      <c r="E81" s="11" t="s">
        <v>33</v>
      </c>
      <c r="F81" s="5">
        <v>2103</v>
      </c>
      <c r="G81" s="5">
        <v>892</v>
      </c>
      <c r="H81" s="5">
        <v>103</v>
      </c>
      <c r="I81" s="5">
        <v>39957</v>
      </c>
      <c r="J81" s="5">
        <v>39466</v>
      </c>
      <c r="K81" s="5">
        <v>28</v>
      </c>
      <c r="L81" s="6"/>
      <c r="M81" s="3" t="s">
        <v>59</v>
      </c>
      <c r="P81" s="10">
        <f t="shared" si="2"/>
        <v>7.7533348349475686E-2</v>
      </c>
      <c r="Q81" s="15">
        <f t="shared" si="3"/>
        <v>3098</v>
      </c>
    </row>
    <row r="82" spans="1:17" x14ac:dyDescent="0.3">
      <c r="A82" s="3" t="s">
        <v>205</v>
      </c>
      <c r="B82" s="3" t="s">
        <v>30</v>
      </c>
      <c r="C82" s="4" t="s">
        <v>206</v>
      </c>
      <c r="D82" s="3" t="s">
        <v>32</v>
      </c>
      <c r="E82" s="11" t="s">
        <v>33</v>
      </c>
      <c r="F82" s="5">
        <v>1816</v>
      </c>
      <c r="G82" s="5">
        <v>29</v>
      </c>
      <c r="H82" s="5">
        <v>41</v>
      </c>
      <c r="I82" s="5">
        <v>19976</v>
      </c>
      <c r="J82" s="5">
        <v>19262</v>
      </c>
      <c r="K82" s="5">
        <v>283</v>
      </c>
      <c r="L82" s="3" t="s">
        <v>28</v>
      </c>
      <c r="M82" s="3" t="s">
        <v>27</v>
      </c>
      <c r="P82" s="10">
        <f t="shared" si="2"/>
        <v>9.4413295955146179E-2</v>
      </c>
      <c r="Q82" s="15">
        <f t="shared" si="3"/>
        <v>1886</v>
      </c>
    </row>
    <row r="83" spans="1:17" x14ac:dyDescent="0.3">
      <c r="A83" s="3" t="s">
        <v>207</v>
      </c>
      <c r="B83" s="3" t="s">
        <v>30</v>
      </c>
      <c r="C83" s="4" t="s">
        <v>208</v>
      </c>
      <c r="D83" s="3" t="s">
        <v>49</v>
      </c>
      <c r="E83" s="11" t="s">
        <v>209</v>
      </c>
      <c r="F83" s="5">
        <v>725</v>
      </c>
      <c r="G83" s="5">
        <v>88</v>
      </c>
      <c r="H83" s="5">
        <v>428</v>
      </c>
      <c r="I83" s="5">
        <v>14500</v>
      </c>
      <c r="J83" s="5">
        <v>13637</v>
      </c>
      <c r="K83" s="5">
        <v>200</v>
      </c>
      <c r="L83" s="3" t="s">
        <v>28</v>
      </c>
      <c r="M83" s="3" t="s">
        <v>59</v>
      </c>
      <c r="N83" t="s">
        <v>27</v>
      </c>
      <c r="O83" t="s">
        <v>600</v>
      </c>
      <c r="P83" s="10">
        <f t="shared" si="2"/>
        <v>8.558620689655172E-2</v>
      </c>
      <c r="Q83" s="15">
        <f t="shared" si="3"/>
        <v>1241</v>
      </c>
    </row>
    <row r="84" spans="1:17" x14ac:dyDescent="0.3">
      <c r="A84" s="3" t="s">
        <v>210</v>
      </c>
      <c r="B84" s="3" t="s">
        <v>24</v>
      </c>
      <c r="C84" s="4" t="s">
        <v>211</v>
      </c>
      <c r="D84" s="3" t="s">
        <v>71</v>
      </c>
      <c r="E84" s="11" t="s">
        <v>212</v>
      </c>
      <c r="F84" s="5">
        <v>1094</v>
      </c>
      <c r="G84" s="5">
        <v>472</v>
      </c>
      <c r="H84" s="5">
        <v>21</v>
      </c>
      <c r="I84" s="5">
        <v>9846</v>
      </c>
      <c r="J84" s="5">
        <v>9609</v>
      </c>
      <c r="K84" s="5">
        <v>112</v>
      </c>
      <c r="L84" s="6"/>
      <c r="M84" s="3" t="s">
        <v>34</v>
      </c>
      <c r="P84" s="10">
        <f t="shared" si="2"/>
        <v>0.16118220597196831</v>
      </c>
      <c r="Q84" s="15">
        <f t="shared" si="3"/>
        <v>1587</v>
      </c>
    </row>
    <row r="85" spans="1:17" x14ac:dyDescent="0.3">
      <c r="A85" s="3" t="s">
        <v>213</v>
      </c>
      <c r="B85" s="3" t="s">
        <v>40</v>
      </c>
      <c r="C85" s="4" t="s">
        <v>214</v>
      </c>
      <c r="D85" s="3" t="s">
        <v>49</v>
      </c>
      <c r="E85" s="11" t="s">
        <v>56</v>
      </c>
      <c r="F85" s="5">
        <v>1841</v>
      </c>
      <c r="G85" s="5">
        <v>851</v>
      </c>
      <c r="H85" s="5">
        <v>342</v>
      </c>
      <c r="I85" s="5">
        <v>34979</v>
      </c>
      <c r="J85" s="5">
        <v>34154</v>
      </c>
      <c r="K85" s="5">
        <v>255</v>
      </c>
      <c r="L85" s="3" t="s">
        <v>35</v>
      </c>
      <c r="M85" s="3" t="s">
        <v>59</v>
      </c>
      <c r="P85" s="10">
        <f t="shared" si="2"/>
        <v>8.6737756939878216E-2</v>
      </c>
      <c r="Q85" s="15">
        <f t="shared" si="3"/>
        <v>3034</v>
      </c>
    </row>
    <row r="86" spans="1:17" x14ac:dyDescent="0.3">
      <c r="A86" s="3" t="s">
        <v>215</v>
      </c>
      <c r="B86" s="3" t="s">
        <v>30</v>
      </c>
      <c r="C86" s="4" t="s">
        <v>119</v>
      </c>
      <c r="D86" s="3" t="s">
        <v>49</v>
      </c>
      <c r="E86" s="11" t="s">
        <v>209</v>
      </c>
      <c r="F86" s="5">
        <v>4177</v>
      </c>
      <c r="G86" s="5">
        <v>569</v>
      </c>
      <c r="H86" s="5">
        <v>55</v>
      </c>
      <c r="I86" s="5">
        <v>25062</v>
      </c>
      <c r="J86" s="5">
        <v>24847</v>
      </c>
      <c r="K86" s="5">
        <v>230</v>
      </c>
      <c r="L86" s="3" t="s">
        <v>17</v>
      </c>
      <c r="M86" s="3" t="s">
        <v>59</v>
      </c>
      <c r="P86" s="10">
        <f t="shared" si="2"/>
        <v>0.19156491900087783</v>
      </c>
      <c r="Q86" s="15">
        <f t="shared" si="3"/>
        <v>4801</v>
      </c>
    </row>
    <row r="87" spans="1:17" x14ac:dyDescent="0.3">
      <c r="A87" s="3" t="s">
        <v>216</v>
      </c>
      <c r="B87" s="3" t="s">
        <v>24</v>
      </c>
      <c r="C87" s="4" t="s">
        <v>217</v>
      </c>
      <c r="D87" s="3" t="s">
        <v>20</v>
      </c>
      <c r="E87" s="11" t="s">
        <v>100</v>
      </c>
      <c r="F87" s="5">
        <v>3428</v>
      </c>
      <c r="G87" s="5">
        <v>305</v>
      </c>
      <c r="H87" s="5">
        <v>85</v>
      </c>
      <c r="I87" s="5">
        <v>58276</v>
      </c>
      <c r="J87" s="5">
        <v>58052</v>
      </c>
      <c r="K87" s="5">
        <v>242</v>
      </c>
      <c r="L87" s="3" t="s">
        <v>35</v>
      </c>
      <c r="M87" s="3" t="s">
        <v>34</v>
      </c>
      <c r="N87" t="s">
        <v>601</v>
      </c>
      <c r="P87" s="10">
        <f t="shared" si="2"/>
        <v>6.5515821264328367E-2</v>
      </c>
      <c r="Q87" s="15">
        <f t="shared" si="3"/>
        <v>3818</v>
      </c>
    </row>
    <row r="88" spans="1:17" x14ac:dyDescent="0.3">
      <c r="A88" s="3" t="s">
        <v>218</v>
      </c>
      <c r="B88" s="3" t="s">
        <v>13</v>
      </c>
      <c r="C88" s="4" t="s">
        <v>219</v>
      </c>
      <c r="D88" s="3" t="s">
        <v>71</v>
      </c>
      <c r="E88" s="11" t="s">
        <v>141</v>
      </c>
      <c r="F88" s="5">
        <v>1436</v>
      </c>
      <c r="G88" s="5">
        <v>765</v>
      </c>
      <c r="H88" s="5">
        <v>496</v>
      </c>
      <c r="I88" s="5">
        <v>12924</v>
      </c>
      <c r="J88" s="5">
        <v>12701</v>
      </c>
      <c r="K88" s="5">
        <v>197</v>
      </c>
      <c r="L88" s="3" t="s">
        <v>28</v>
      </c>
      <c r="M88" s="3" t="s">
        <v>59</v>
      </c>
      <c r="P88" s="10">
        <f t="shared" si="2"/>
        <v>0.20868152274837512</v>
      </c>
      <c r="Q88" s="15">
        <f t="shared" si="3"/>
        <v>2697</v>
      </c>
    </row>
    <row r="89" spans="1:17" x14ac:dyDescent="0.3">
      <c r="A89" s="3" t="s">
        <v>220</v>
      </c>
      <c r="B89" s="3" t="s">
        <v>40</v>
      </c>
      <c r="C89" s="4" t="s">
        <v>221</v>
      </c>
      <c r="D89" s="3" t="s">
        <v>32</v>
      </c>
      <c r="E89" s="11" t="s">
        <v>68</v>
      </c>
      <c r="F89" s="5">
        <v>302</v>
      </c>
      <c r="G89" s="5">
        <v>47</v>
      </c>
      <c r="H89" s="5">
        <v>430</v>
      </c>
      <c r="I89" s="5">
        <v>5738</v>
      </c>
      <c r="J89" s="5">
        <v>4890</v>
      </c>
      <c r="K89" s="5">
        <v>25</v>
      </c>
      <c r="L89" s="3" t="s">
        <v>35</v>
      </c>
      <c r="M89" s="3" t="s">
        <v>27</v>
      </c>
      <c r="P89" s="10">
        <f t="shared" si="2"/>
        <v>0.13576158940397351</v>
      </c>
      <c r="Q89" s="15">
        <f t="shared" si="3"/>
        <v>779</v>
      </c>
    </row>
    <row r="90" spans="1:17" x14ac:dyDescent="0.3">
      <c r="A90" s="3" t="s">
        <v>222</v>
      </c>
      <c r="B90" s="3" t="s">
        <v>13</v>
      </c>
      <c r="C90" s="4" t="s">
        <v>223</v>
      </c>
      <c r="D90" s="3" t="s">
        <v>49</v>
      </c>
      <c r="E90" s="11" t="s">
        <v>128</v>
      </c>
      <c r="F90" s="5">
        <v>2214</v>
      </c>
      <c r="G90" s="5">
        <v>249</v>
      </c>
      <c r="H90" s="5">
        <v>152</v>
      </c>
      <c r="I90" s="5">
        <v>15498</v>
      </c>
      <c r="J90" s="5">
        <v>14800</v>
      </c>
      <c r="K90" s="5">
        <v>180</v>
      </c>
      <c r="L90" s="6"/>
      <c r="M90" s="3" t="s">
        <v>34</v>
      </c>
      <c r="P90" s="10">
        <f t="shared" si="2"/>
        <v>0.16873144921925409</v>
      </c>
      <c r="Q90" s="15">
        <f t="shared" si="3"/>
        <v>2615</v>
      </c>
    </row>
    <row r="91" spans="1:17" x14ac:dyDescent="0.3">
      <c r="A91" s="3" t="s">
        <v>224</v>
      </c>
      <c r="B91" s="3" t="s">
        <v>30</v>
      </c>
      <c r="C91" s="4" t="s">
        <v>225</v>
      </c>
      <c r="D91" s="3" t="s">
        <v>49</v>
      </c>
      <c r="E91" s="11" t="s">
        <v>209</v>
      </c>
      <c r="F91" s="5">
        <v>3861</v>
      </c>
      <c r="G91" s="5">
        <v>960</v>
      </c>
      <c r="H91" s="5">
        <v>101</v>
      </c>
      <c r="I91" s="5">
        <v>69498</v>
      </c>
      <c r="J91" s="5">
        <v>68817</v>
      </c>
      <c r="K91" s="5">
        <v>297</v>
      </c>
      <c r="L91" s="3" t="s">
        <v>35</v>
      </c>
      <c r="M91" s="3" t="s">
        <v>27</v>
      </c>
      <c r="P91" s="10">
        <f t="shared" si="2"/>
        <v>7.0822181933293038E-2</v>
      </c>
      <c r="Q91" s="15">
        <f t="shared" si="3"/>
        <v>4922</v>
      </c>
    </row>
    <row r="92" spans="1:17" x14ac:dyDescent="0.3">
      <c r="A92" s="3" t="s">
        <v>226</v>
      </c>
      <c r="B92" s="3" t="s">
        <v>40</v>
      </c>
      <c r="C92" s="4" t="s">
        <v>227</v>
      </c>
      <c r="D92" s="3" t="s">
        <v>49</v>
      </c>
      <c r="E92" s="11" t="s">
        <v>56</v>
      </c>
      <c r="F92" s="5">
        <v>1263</v>
      </c>
      <c r="G92" s="5">
        <v>397</v>
      </c>
      <c r="H92" s="5">
        <v>357</v>
      </c>
      <c r="I92" s="5">
        <v>25260</v>
      </c>
      <c r="J92" s="5">
        <v>24615</v>
      </c>
      <c r="K92" s="5">
        <v>137</v>
      </c>
      <c r="L92" s="3" t="s">
        <v>35</v>
      </c>
      <c r="M92" s="3" t="s">
        <v>34</v>
      </c>
      <c r="P92" s="10">
        <f t="shared" si="2"/>
        <v>7.984956452889945E-2</v>
      </c>
      <c r="Q92" s="15">
        <f t="shared" si="3"/>
        <v>2017</v>
      </c>
    </row>
    <row r="93" spans="1:17" x14ac:dyDescent="0.3">
      <c r="A93" s="3" t="s">
        <v>228</v>
      </c>
      <c r="B93" s="3" t="s">
        <v>13</v>
      </c>
      <c r="C93" s="4" t="s">
        <v>163</v>
      </c>
      <c r="D93" s="3" t="s">
        <v>32</v>
      </c>
      <c r="E93" s="11" t="s">
        <v>145</v>
      </c>
      <c r="F93" s="5">
        <v>3801</v>
      </c>
      <c r="G93" s="5">
        <v>967</v>
      </c>
      <c r="H93" s="5">
        <v>401</v>
      </c>
      <c r="I93" s="5">
        <v>38010</v>
      </c>
      <c r="J93" s="5">
        <v>37625</v>
      </c>
      <c r="K93" s="5">
        <v>236</v>
      </c>
      <c r="L93" s="3" t="s">
        <v>28</v>
      </c>
      <c r="M93" s="3" t="s">
        <v>59</v>
      </c>
      <c r="P93" s="10">
        <f t="shared" si="2"/>
        <v>0.13599052880820836</v>
      </c>
      <c r="Q93" s="15">
        <f t="shared" si="3"/>
        <v>5169</v>
      </c>
    </row>
    <row r="94" spans="1:17" x14ac:dyDescent="0.3">
      <c r="A94" s="3" t="s">
        <v>229</v>
      </c>
      <c r="B94" s="3" t="s">
        <v>30</v>
      </c>
      <c r="C94" s="4" t="s">
        <v>230</v>
      </c>
      <c r="D94" s="3" t="s">
        <v>71</v>
      </c>
      <c r="E94" s="11" t="s">
        <v>82</v>
      </c>
      <c r="F94" s="5">
        <v>1431</v>
      </c>
      <c r="G94" s="5">
        <v>951</v>
      </c>
      <c r="H94" s="5">
        <v>26</v>
      </c>
      <c r="I94" s="5">
        <v>8586</v>
      </c>
      <c r="J94" s="5">
        <v>8396</v>
      </c>
      <c r="K94" s="5">
        <v>150</v>
      </c>
      <c r="L94" s="3" t="s">
        <v>28</v>
      </c>
      <c r="M94" s="3" t="s">
        <v>34</v>
      </c>
      <c r="P94" s="10">
        <f t="shared" si="2"/>
        <v>0.28045655718611695</v>
      </c>
      <c r="Q94" s="15">
        <f t="shared" si="3"/>
        <v>2408</v>
      </c>
    </row>
    <row r="95" spans="1:17" x14ac:dyDescent="0.3">
      <c r="A95" s="3" t="s">
        <v>231</v>
      </c>
      <c r="B95" s="3" t="s">
        <v>30</v>
      </c>
      <c r="C95" s="4" t="s">
        <v>199</v>
      </c>
      <c r="D95" s="3" t="s">
        <v>49</v>
      </c>
      <c r="E95" s="11" t="s">
        <v>209</v>
      </c>
      <c r="F95" s="5">
        <v>2647</v>
      </c>
      <c r="G95" s="5">
        <v>304</v>
      </c>
      <c r="H95" s="5">
        <v>170</v>
      </c>
      <c r="I95" s="5">
        <v>18529</v>
      </c>
      <c r="J95" s="5">
        <v>17841</v>
      </c>
      <c r="K95" s="5">
        <v>46</v>
      </c>
      <c r="L95" s="3" t="s">
        <v>28</v>
      </c>
      <c r="M95" s="3" t="s">
        <v>59</v>
      </c>
      <c r="P95" s="10">
        <f t="shared" si="2"/>
        <v>0.16843866371633656</v>
      </c>
      <c r="Q95" s="15">
        <f t="shared" si="3"/>
        <v>3121</v>
      </c>
    </row>
    <row r="96" spans="1:17" x14ac:dyDescent="0.3">
      <c r="A96" s="3" t="s">
        <v>232</v>
      </c>
      <c r="B96" s="3" t="s">
        <v>30</v>
      </c>
      <c r="C96" s="4" t="s">
        <v>233</v>
      </c>
      <c r="D96" s="3" t="s">
        <v>20</v>
      </c>
      <c r="E96" s="11" t="s">
        <v>109</v>
      </c>
      <c r="F96" s="5">
        <v>3182</v>
      </c>
      <c r="G96" s="5">
        <v>559</v>
      </c>
      <c r="H96" s="5">
        <v>160</v>
      </c>
      <c r="I96" s="5">
        <v>57276</v>
      </c>
      <c r="J96" s="5">
        <v>56890</v>
      </c>
      <c r="K96" s="5">
        <v>163</v>
      </c>
      <c r="L96" s="3" t="s">
        <v>35</v>
      </c>
      <c r="M96" s="3" t="s">
        <v>59</v>
      </c>
      <c r="P96" s="10">
        <f t="shared" si="2"/>
        <v>6.8108806480899509E-2</v>
      </c>
      <c r="Q96" s="15">
        <f t="shared" si="3"/>
        <v>3901</v>
      </c>
    </row>
    <row r="97" spans="1:17" x14ac:dyDescent="0.3">
      <c r="A97" s="3" t="s">
        <v>234</v>
      </c>
      <c r="B97" s="3" t="s">
        <v>13</v>
      </c>
      <c r="C97" s="4" t="s">
        <v>235</v>
      </c>
      <c r="D97" s="3" t="s">
        <v>49</v>
      </c>
      <c r="E97" s="11" t="s">
        <v>128</v>
      </c>
      <c r="F97" s="5">
        <v>1238</v>
      </c>
      <c r="G97" s="5">
        <v>366</v>
      </c>
      <c r="H97" s="5">
        <v>444</v>
      </c>
      <c r="I97" s="5">
        <v>19808</v>
      </c>
      <c r="J97" s="5">
        <v>19334</v>
      </c>
      <c r="K97" s="5">
        <v>123</v>
      </c>
      <c r="L97" s="6"/>
      <c r="M97" s="3" t="s">
        <v>59</v>
      </c>
      <c r="P97" s="10">
        <f t="shared" si="2"/>
        <v>0.10339256865912763</v>
      </c>
      <c r="Q97" s="15">
        <f t="shared" si="3"/>
        <v>2048</v>
      </c>
    </row>
    <row r="98" spans="1:17" x14ac:dyDescent="0.3">
      <c r="A98" s="3" t="s">
        <v>236</v>
      </c>
      <c r="B98" s="3" t="s">
        <v>30</v>
      </c>
      <c r="C98" s="4" t="s">
        <v>237</v>
      </c>
      <c r="D98" s="3" t="s">
        <v>49</v>
      </c>
      <c r="E98" s="11" t="s">
        <v>209</v>
      </c>
      <c r="F98" s="5">
        <v>4739</v>
      </c>
      <c r="G98" s="5">
        <v>527</v>
      </c>
      <c r="H98" s="5">
        <v>135</v>
      </c>
      <c r="I98" s="5">
        <v>61607</v>
      </c>
      <c r="J98" s="5">
        <v>61333</v>
      </c>
      <c r="K98" s="5">
        <v>36</v>
      </c>
      <c r="L98" s="3" t="s">
        <v>22</v>
      </c>
      <c r="M98" s="3" t="s">
        <v>27</v>
      </c>
      <c r="N98" t="s">
        <v>600</v>
      </c>
      <c r="P98" s="10">
        <f t="shared" si="2"/>
        <v>8.7668609086629767E-2</v>
      </c>
      <c r="Q98" s="15">
        <f t="shared" si="3"/>
        <v>5401</v>
      </c>
    </row>
    <row r="99" spans="1:17" x14ac:dyDescent="0.3">
      <c r="A99" s="3" t="s">
        <v>238</v>
      </c>
      <c r="B99" s="3" t="s">
        <v>13</v>
      </c>
      <c r="C99" s="4" t="s">
        <v>147</v>
      </c>
      <c r="D99" s="3" t="s">
        <v>32</v>
      </c>
      <c r="E99" s="11" t="s">
        <v>145</v>
      </c>
      <c r="F99" s="5">
        <v>1575</v>
      </c>
      <c r="G99" s="5">
        <v>771</v>
      </c>
      <c r="H99" s="5">
        <v>486</v>
      </c>
      <c r="I99" s="5">
        <v>25200</v>
      </c>
      <c r="J99" s="5">
        <v>24826</v>
      </c>
      <c r="K99" s="5">
        <v>17</v>
      </c>
      <c r="L99" s="3" t="s">
        <v>35</v>
      </c>
      <c r="M99" s="3" t="s">
        <v>59</v>
      </c>
      <c r="P99" s="10">
        <f t="shared" si="2"/>
        <v>0.11238095238095239</v>
      </c>
      <c r="Q99" s="15">
        <f t="shared" si="3"/>
        <v>2832</v>
      </c>
    </row>
    <row r="100" spans="1:17" x14ac:dyDescent="0.3">
      <c r="A100" s="3" t="s">
        <v>239</v>
      </c>
      <c r="B100" s="3" t="s">
        <v>24</v>
      </c>
      <c r="C100" s="4" t="s">
        <v>240</v>
      </c>
      <c r="D100" s="3" t="s">
        <v>42</v>
      </c>
      <c r="E100" s="11" t="s">
        <v>65</v>
      </c>
      <c r="F100" s="5">
        <v>4171</v>
      </c>
      <c r="G100" s="5">
        <v>548</v>
      </c>
      <c r="H100" s="5">
        <v>86</v>
      </c>
      <c r="I100" s="5">
        <v>66736</v>
      </c>
      <c r="J100" s="5">
        <v>66634</v>
      </c>
      <c r="K100" s="5">
        <v>173</v>
      </c>
      <c r="L100" s="3" t="s">
        <v>28</v>
      </c>
      <c r="M100" s="3" t="s">
        <v>59</v>
      </c>
      <c r="P100" s="10">
        <f t="shared" si="2"/>
        <v>7.2000119875329657E-2</v>
      </c>
      <c r="Q100" s="15">
        <f t="shared" si="3"/>
        <v>4805</v>
      </c>
    </row>
    <row r="101" spans="1:17" x14ac:dyDescent="0.3">
      <c r="A101" s="3" t="s">
        <v>241</v>
      </c>
      <c r="B101" s="3" t="s">
        <v>24</v>
      </c>
      <c r="C101" s="4" t="s">
        <v>242</v>
      </c>
      <c r="D101" s="3" t="s">
        <v>71</v>
      </c>
      <c r="E101" s="11" t="s">
        <v>212</v>
      </c>
      <c r="F101" s="5">
        <v>1766</v>
      </c>
      <c r="G101" s="5">
        <v>92</v>
      </c>
      <c r="H101" s="5">
        <v>424</v>
      </c>
      <c r="I101" s="5">
        <v>24724</v>
      </c>
      <c r="J101" s="5">
        <v>24333</v>
      </c>
      <c r="K101" s="5">
        <v>52</v>
      </c>
      <c r="L101" s="6"/>
      <c r="M101" s="3" t="s">
        <v>34</v>
      </c>
      <c r="P101" s="10">
        <f t="shared" si="2"/>
        <v>9.2298980747451867E-2</v>
      </c>
      <c r="Q101" s="15">
        <f t="shared" si="3"/>
        <v>2282</v>
      </c>
    </row>
    <row r="102" spans="1:17" x14ac:dyDescent="0.3">
      <c r="A102" s="3" t="s">
        <v>243</v>
      </c>
      <c r="B102" s="3" t="s">
        <v>24</v>
      </c>
      <c r="C102" s="4" t="s">
        <v>193</v>
      </c>
      <c r="D102" s="3" t="s">
        <v>71</v>
      </c>
      <c r="E102" s="11" t="s">
        <v>212</v>
      </c>
      <c r="F102" s="5">
        <v>4450</v>
      </c>
      <c r="G102" s="5">
        <v>983</v>
      </c>
      <c r="H102" s="5">
        <v>143</v>
      </c>
      <c r="I102" s="5">
        <v>75650</v>
      </c>
      <c r="J102" s="5">
        <v>75008</v>
      </c>
      <c r="K102" s="5">
        <v>12</v>
      </c>
      <c r="L102" s="3" t="s">
        <v>28</v>
      </c>
      <c r="M102" s="3" t="s">
        <v>59</v>
      </c>
      <c r="P102" s="10">
        <f t="shared" si="2"/>
        <v>7.3707865168539333E-2</v>
      </c>
      <c r="Q102" s="15">
        <f t="shared" si="3"/>
        <v>5576</v>
      </c>
    </row>
    <row r="103" spans="1:17" x14ac:dyDescent="0.3">
      <c r="A103" s="3" t="s">
        <v>244</v>
      </c>
      <c r="B103" s="3" t="s">
        <v>13</v>
      </c>
      <c r="C103" s="4" t="s">
        <v>245</v>
      </c>
      <c r="D103" s="3" t="s">
        <v>15</v>
      </c>
      <c r="E103" s="11" t="s">
        <v>16</v>
      </c>
      <c r="F103" s="5">
        <v>1000</v>
      </c>
      <c r="G103" s="5">
        <v>978</v>
      </c>
      <c r="H103" s="5">
        <v>162</v>
      </c>
      <c r="I103" s="5">
        <v>6000</v>
      </c>
      <c r="J103" s="5">
        <v>5221</v>
      </c>
      <c r="K103" s="5">
        <v>223</v>
      </c>
      <c r="L103" s="3" t="s">
        <v>22</v>
      </c>
      <c r="M103" s="3" t="s">
        <v>34</v>
      </c>
      <c r="P103" s="10">
        <f t="shared" si="2"/>
        <v>0.35666666666666669</v>
      </c>
      <c r="Q103" s="15">
        <f t="shared" si="3"/>
        <v>2140</v>
      </c>
    </row>
    <row r="104" spans="1:17" x14ac:dyDescent="0.3">
      <c r="A104" s="3" t="s">
        <v>246</v>
      </c>
      <c r="B104" s="3" t="s">
        <v>40</v>
      </c>
      <c r="C104" s="4" t="s">
        <v>247</v>
      </c>
      <c r="D104" s="3" t="s">
        <v>49</v>
      </c>
      <c r="E104" s="11" t="s">
        <v>56</v>
      </c>
      <c r="F104" s="5">
        <v>3689</v>
      </c>
      <c r="G104" s="5">
        <v>48</v>
      </c>
      <c r="H104" s="5">
        <v>306</v>
      </c>
      <c r="I104" s="5">
        <v>40579</v>
      </c>
      <c r="J104" s="5">
        <v>39588</v>
      </c>
      <c r="K104" s="5">
        <v>212</v>
      </c>
      <c r="L104" s="3" t="s">
        <v>22</v>
      </c>
      <c r="M104" s="3" t="s">
        <v>34</v>
      </c>
      <c r="P104" s="10">
        <f t="shared" si="2"/>
        <v>9.9632815002833983E-2</v>
      </c>
      <c r="Q104" s="15">
        <f t="shared" si="3"/>
        <v>4043</v>
      </c>
    </row>
    <row r="105" spans="1:17" x14ac:dyDescent="0.3">
      <c r="A105" s="3" t="s">
        <v>248</v>
      </c>
      <c r="B105" s="3" t="s">
        <v>24</v>
      </c>
      <c r="C105" s="4" t="s">
        <v>249</v>
      </c>
      <c r="D105" s="3" t="s">
        <v>32</v>
      </c>
      <c r="E105" s="11" t="s">
        <v>150</v>
      </c>
      <c r="F105" s="5">
        <v>3655</v>
      </c>
      <c r="G105" s="5">
        <v>568</v>
      </c>
      <c r="H105" s="5">
        <v>286</v>
      </c>
      <c r="I105" s="5">
        <v>32895</v>
      </c>
      <c r="J105" s="5">
        <v>32015</v>
      </c>
      <c r="K105" s="5">
        <v>199</v>
      </c>
      <c r="L105" s="3" t="s">
        <v>28</v>
      </c>
      <c r="M105" s="3" t="s">
        <v>27</v>
      </c>
      <c r="P105" s="10">
        <f t="shared" si="2"/>
        <v>0.13707250341997265</v>
      </c>
      <c r="Q105" s="15">
        <f t="shared" si="3"/>
        <v>4509</v>
      </c>
    </row>
    <row r="106" spans="1:17" x14ac:dyDescent="0.3">
      <c r="A106" s="3" t="s">
        <v>250</v>
      </c>
      <c r="B106" s="3" t="s">
        <v>30</v>
      </c>
      <c r="C106" s="4" t="s">
        <v>251</v>
      </c>
      <c r="D106" s="3" t="s">
        <v>42</v>
      </c>
      <c r="E106" s="11" t="s">
        <v>85</v>
      </c>
      <c r="F106" s="5">
        <v>498</v>
      </c>
      <c r="G106" s="5">
        <v>38</v>
      </c>
      <c r="H106" s="5">
        <v>42</v>
      </c>
      <c r="I106" s="5">
        <v>4482</v>
      </c>
      <c r="J106" s="5">
        <v>3647</v>
      </c>
      <c r="K106" s="5">
        <v>32</v>
      </c>
      <c r="L106" s="3" t="s">
        <v>17</v>
      </c>
      <c r="M106" s="3" t="s">
        <v>59</v>
      </c>
      <c r="P106" s="10">
        <f t="shared" si="2"/>
        <v>0.12896028558679162</v>
      </c>
      <c r="Q106" s="15">
        <f t="shared" si="3"/>
        <v>578</v>
      </c>
    </row>
    <row r="107" spans="1:17" x14ac:dyDescent="0.3">
      <c r="A107" s="3" t="s">
        <v>252</v>
      </c>
      <c r="B107" s="3" t="s">
        <v>30</v>
      </c>
      <c r="C107" s="4" t="s">
        <v>253</v>
      </c>
      <c r="D107" s="3" t="s">
        <v>49</v>
      </c>
      <c r="E107" s="11" t="s">
        <v>209</v>
      </c>
      <c r="F107" s="5">
        <v>4619</v>
      </c>
      <c r="G107" s="5">
        <v>821</v>
      </c>
      <c r="H107" s="5">
        <v>499</v>
      </c>
      <c r="I107" s="5">
        <v>69285</v>
      </c>
      <c r="J107" s="5">
        <v>69141</v>
      </c>
      <c r="K107" s="5">
        <v>298</v>
      </c>
      <c r="L107" s="3" t="s">
        <v>35</v>
      </c>
      <c r="M107" s="3" t="s">
        <v>27</v>
      </c>
      <c r="P107" s="10">
        <f t="shared" si="2"/>
        <v>8.5718409468138843E-2</v>
      </c>
      <c r="Q107" s="15">
        <f t="shared" si="3"/>
        <v>5939</v>
      </c>
    </row>
    <row r="108" spans="1:17" x14ac:dyDescent="0.3">
      <c r="A108" s="3" t="s">
        <v>254</v>
      </c>
      <c r="B108" s="3" t="s">
        <v>24</v>
      </c>
      <c r="C108" s="4" t="s">
        <v>255</v>
      </c>
      <c r="D108" s="3" t="s">
        <v>49</v>
      </c>
      <c r="E108" s="11" t="s">
        <v>50</v>
      </c>
      <c r="F108" s="5">
        <v>4832</v>
      </c>
      <c r="G108" s="5">
        <v>893</v>
      </c>
      <c r="H108" s="5">
        <v>10</v>
      </c>
      <c r="I108" s="5">
        <v>91808</v>
      </c>
      <c r="J108" s="5">
        <v>91296</v>
      </c>
      <c r="K108" s="5">
        <v>182</v>
      </c>
      <c r="L108" s="6"/>
      <c r="M108" s="3" t="s">
        <v>27</v>
      </c>
      <c r="P108" s="10">
        <f t="shared" si="2"/>
        <v>6.2467323109097243E-2</v>
      </c>
      <c r="Q108" s="15">
        <f t="shared" si="3"/>
        <v>5735</v>
      </c>
    </row>
    <row r="109" spans="1:17" x14ac:dyDescent="0.3">
      <c r="A109" s="3" t="s">
        <v>256</v>
      </c>
      <c r="B109" s="3" t="s">
        <v>13</v>
      </c>
      <c r="C109" s="4" t="s">
        <v>257</v>
      </c>
      <c r="D109" s="3" t="s">
        <v>71</v>
      </c>
      <c r="E109" s="11" t="s">
        <v>141</v>
      </c>
      <c r="F109" s="5">
        <v>4050</v>
      </c>
      <c r="G109" s="5">
        <v>871</v>
      </c>
      <c r="H109" s="5">
        <v>347</v>
      </c>
      <c r="I109" s="5">
        <v>52650</v>
      </c>
      <c r="J109" s="5">
        <v>51755</v>
      </c>
      <c r="K109" s="5">
        <v>209</v>
      </c>
      <c r="L109" s="3" t="s">
        <v>22</v>
      </c>
      <c r="M109" s="3" t="s">
        <v>27</v>
      </c>
      <c r="P109" s="10">
        <f t="shared" si="2"/>
        <v>0.10005698005698006</v>
      </c>
      <c r="Q109" s="15">
        <f t="shared" si="3"/>
        <v>5268</v>
      </c>
    </row>
    <row r="110" spans="1:17" x14ac:dyDescent="0.3">
      <c r="A110" s="3" t="s">
        <v>258</v>
      </c>
      <c r="B110" s="3" t="s">
        <v>13</v>
      </c>
      <c r="C110" s="4" t="s">
        <v>259</v>
      </c>
      <c r="D110" s="3" t="s">
        <v>32</v>
      </c>
      <c r="E110" s="11" t="s">
        <v>145</v>
      </c>
      <c r="F110" s="5">
        <v>3649</v>
      </c>
      <c r="G110" s="5">
        <v>215</v>
      </c>
      <c r="H110" s="5">
        <v>413</v>
      </c>
      <c r="I110" s="5">
        <v>25543</v>
      </c>
      <c r="J110" s="5">
        <v>24963</v>
      </c>
      <c r="K110" s="5">
        <v>167</v>
      </c>
      <c r="L110" s="3" t="s">
        <v>28</v>
      </c>
      <c r="M110" s="3" t="s">
        <v>59</v>
      </c>
      <c r="P110" s="10">
        <f t="shared" si="2"/>
        <v>0.16744313510550835</v>
      </c>
      <c r="Q110" s="15">
        <f t="shared" si="3"/>
        <v>4277</v>
      </c>
    </row>
    <row r="111" spans="1:17" x14ac:dyDescent="0.3">
      <c r="A111" s="3" t="s">
        <v>260</v>
      </c>
      <c r="B111" s="3" t="s">
        <v>30</v>
      </c>
      <c r="C111" s="4" t="s">
        <v>261</v>
      </c>
      <c r="D111" s="3" t="s">
        <v>15</v>
      </c>
      <c r="E111" s="11" t="s">
        <v>79</v>
      </c>
      <c r="F111" s="5">
        <v>3523</v>
      </c>
      <c r="G111" s="5">
        <v>753</v>
      </c>
      <c r="H111" s="5">
        <v>482</v>
      </c>
      <c r="I111" s="5">
        <v>38753</v>
      </c>
      <c r="J111" s="5">
        <v>38579</v>
      </c>
      <c r="K111" s="5">
        <v>270</v>
      </c>
      <c r="L111" s="3" t="s">
        <v>22</v>
      </c>
      <c r="M111" s="3" t="s">
        <v>34</v>
      </c>
      <c r="P111" s="10">
        <f t="shared" si="2"/>
        <v>0.12277759141227776</v>
      </c>
      <c r="Q111" s="15">
        <f t="shared" si="3"/>
        <v>4758</v>
      </c>
    </row>
    <row r="112" spans="1:17" x14ac:dyDescent="0.3">
      <c r="A112" s="3" t="s">
        <v>262</v>
      </c>
      <c r="B112" s="3" t="s">
        <v>24</v>
      </c>
      <c r="C112" s="4" t="s">
        <v>263</v>
      </c>
      <c r="D112" s="3" t="s">
        <v>49</v>
      </c>
      <c r="E112" s="11" t="s">
        <v>50</v>
      </c>
      <c r="F112" s="5">
        <v>2719</v>
      </c>
      <c r="G112" s="5">
        <v>17</v>
      </c>
      <c r="H112" s="5">
        <v>285</v>
      </c>
      <c r="I112" s="5">
        <v>40785</v>
      </c>
      <c r="J112" s="5">
        <v>40281</v>
      </c>
      <c r="K112" s="5">
        <v>40</v>
      </c>
      <c r="L112" s="3" t="s">
        <v>22</v>
      </c>
      <c r="M112" s="3" t="s">
        <v>27</v>
      </c>
      <c r="P112" s="10">
        <f t="shared" si="2"/>
        <v>7.4071349760941527E-2</v>
      </c>
      <c r="Q112" s="15">
        <f t="shared" si="3"/>
        <v>3021</v>
      </c>
    </row>
    <row r="113" spans="1:17" x14ac:dyDescent="0.3">
      <c r="A113" s="3" t="s">
        <v>264</v>
      </c>
      <c r="B113" s="3" t="s">
        <v>13</v>
      </c>
      <c r="C113" s="4" t="s">
        <v>265</v>
      </c>
      <c r="D113" s="3" t="s">
        <v>32</v>
      </c>
      <c r="E113" s="11" t="s">
        <v>145</v>
      </c>
      <c r="F113" s="5">
        <v>1957</v>
      </c>
      <c r="G113" s="5">
        <v>877</v>
      </c>
      <c r="H113" s="5">
        <v>238</v>
      </c>
      <c r="I113" s="5">
        <v>17613</v>
      </c>
      <c r="J113" s="5">
        <v>16865</v>
      </c>
      <c r="K113" s="5">
        <v>297</v>
      </c>
      <c r="L113" s="3" t="s">
        <v>28</v>
      </c>
      <c r="M113" s="3" t="s">
        <v>59</v>
      </c>
      <c r="P113" s="10">
        <f t="shared" si="2"/>
        <v>0.17441662408448305</v>
      </c>
      <c r="Q113" s="15">
        <f t="shared" si="3"/>
        <v>3072</v>
      </c>
    </row>
    <row r="114" spans="1:17" x14ac:dyDescent="0.3">
      <c r="A114" s="3" t="s">
        <v>266</v>
      </c>
      <c r="B114" s="3" t="s">
        <v>13</v>
      </c>
      <c r="C114" s="4" t="s">
        <v>267</v>
      </c>
      <c r="D114" s="3" t="s">
        <v>42</v>
      </c>
      <c r="E114" s="11" t="s">
        <v>46</v>
      </c>
      <c r="F114" s="5">
        <v>4419</v>
      </c>
      <c r="G114" s="5">
        <v>236</v>
      </c>
      <c r="H114" s="5">
        <v>369</v>
      </c>
      <c r="I114" s="5">
        <v>44190</v>
      </c>
      <c r="J114" s="5">
        <v>43582</v>
      </c>
      <c r="K114" s="5">
        <v>10</v>
      </c>
      <c r="L114" s="3" t="s">
        <v>17</v>
      </c>
      <c r="M114" s="3" t="s">
        <v>34</v>
      </c>
      <c r="P114" s="10">
        <f t="shared" si="2"/>
        <v>0.11369088028965829</v>
      </c>
      <c r="Q114" s="15">
        <f t="shared" si="3"/>
        <v>5024</v>
      </c>
    </row>
    <row r="115" spans="1:17" x14ac:dyDescent="0.3">
      <c r="A115" s="3" t="s">
        <v>268</v>
      </c>
      <c r="B115" s="3" t="s">
        <v>13</v>
      </c>
      <c r="C115" s="4" t="s">
        <v>269</v>
      </c>
      <c r="D115" s="3" t="s">
        <v>32</v>
      </c>
      <c r="E115" s="11" t="s">
        <v>145</v>
      </c>
      <c r="F115" s="5">
        <v>4000</v>
      </c>
      <c r="G115" s="5">
        <v>689</v>
      </c>
      <c r="H115" s="5">
        <v>488</v>
      </c>
      <c r="I115" s="5">
        <v>40000</v>
      </c>
      <c r="J115" s="5">
        <v>39569</v>
      </c>
      <c r="K115" s="5">
        <v>44</v>
      </c>
      <c r="L115" s="3" t="s">
        <v>17</v>
      </c>
      <c r="M115" s="3" t="s">
        <v>59</v>
      </c>
      <c r="P115" s="10">
        <f t="shared" si="2"/>
        <v>0.12942500000000001</v>
      </c>
      <c r="Q115" s="15">
        <f t="shared" si="3"/>
        <v>5177</v>
      </c>
    </row>
    <row r="116" spans="1:17" x14ac:dyDescent="0.3">
      <c r="A116" s="3" t="s">
        <v>270</v>
      </c>
      <c r="B116" s="3" t="s">
        <v>13</v>
      </c>
      <c r="C116" s="4" t="s">
        <v>271</v>
      </c>
      <c r="D116" s="3" t="s">
        <v>49</v>
      </c>
      <c r="E116" s="11" t="s">
        <v>128</v>
      </c>
      <c r="F116" s="5">
        <v>2493</v>
      </c>
      <c r="G116" s="5">
        <v>97</v>
      </c>
      <c r="H116" s="5">
        <v>44</v>
      </c>
      <c r="I116" s="5">
        <v>42381</v>
      </c>
      <c r="J116" s="5">
        <v>41991</v>
      </c>
      <c r="K116" s="5">
        <v>242</v>
      </c>
      <c r="L116" s="3" t="s">
        <v>35</v>
      </c>
      <c r="M116" s="3" t="s">
        <v>27</v>
      </c>
      <c r="N116" t="s">
        <v>600</v>
      </c>
      <c r="P116" s="10">
        <f t="shared" si="2"/>
        <v>6.2150491965739366E-2</v>
      </c>
      <c r="Q116" s="15">
        <f t="shared" si="3"/>
        <v>2634</v>
      </c>
    </row>
    <row r="117" spans="1:17" x14ac:dyDescent="0.3">
      <c r="A117" s="3" t="s">
        <v>272</v>
      </c>
      <c r="B117" s="3" t="s">
        <v>24</v>
      </c>
      <c r="C117" s="4" t="s">
        <v>273</v>
      </c>
      <c r="D117" s="3" t="s">
        <v>15</v>
      </c>
      <c r="E117" s="11" t="s">
        <v>26</v>
      </c>
      <c r="F117" s="5">
        <v>3704</v>
      </c>
      <c r="G117" s="5">
        <v>186</v>
      </c>
      <c r="H117" s="5">
        <v>458</v>
      </c>
      <c r="I117" s="5">
        <v>25928</v>
      </c>
      <c r="J117" s="5">
        <v>25081</v>
      </c>
      <c r="K117" s="5">
        <v>131</v>
      </c>
      <c r="L117" s="6"/>
      <c r="M117" s="3" t="s">
        <v>27</v>
      </c>
      <c r="P117" s="10">
        <f t="shared" si="2"/>
        <v>0.16769515581610614</v>
      </c>
      <c r="Q117" s="15">
        <f t="shared" si="3"/>
        <v>4348</v>
      </c>
    </row>
    <row r="118" spans="1:17" x14ac:dyDescent="0.3">
      <c r="A118" s="3" t="s">
        <v>274</v>
      </c>
      <c r="B118" s="3" t="s">
        <v>13</v>
      </c>
      <c r="C118" s="4" t="s">
        <v>275</v>
      </c>
      <c r="D118" s="3" t="s">
        <v>49</v>
      </c>
      <c r="E118" s="11" t="s">
        <v>128</v>
      </c>
      <c r="F118" s="5">
        <v>1606</v>
      </c>
      <c r="G118" s="5">
        <v>451</v>
      </c>
      <c r="H118" s="5">
        <v>405</v>
      </c>
      <c r="I118" s="5">
        <v>20878</v>
      </c>
      <c r="J118" s="5">
        <v>20190</v>
      </c>
      <c r="K118" s="5">
        <v>219</v>
      </c>
      <c r="L118" s="3" t="s">
        <v>35</v>
      </c>
      <c r="M118" s="3" t="s">
        <v>34</v>
      </c>
      <c r="P118" s="10">
        <f t="shared" si="2"/>
        <v>0.11792317271769326</v>
      </c>
      <c r="Q118" s="15">
        <f t="shared" si="3"/>
        <v>2462</v>
      </c>
    </row>
    <row r="119" spans="1:17" x14ac:dyDescent="0.3">
      <c r="A119" s="3" t="s">
        <v>276</v>
      </c>
      <c r="B119" s="3" t="s">
        <v>40</v>
      </c>
      <c r="C119" s="4" t="s">
        <v>275</v>
      </c>
      <c r="D119" s="3" t="s">
        <v>49</v>
      </c>
      <c r="E119" s="11" t="s">
        <v>56</v>
      </c>
      <c r="F119" s="5">
        <v>4551</v>
      </c>
      <c r="G119" s="5">
        <v>714</v>
      </c>
      <c r="H119" s="5">
        <v>207</v>
      </c>
      <c r="I119" s="5">
        <v>68265</v>
      </c>
      <c r="J119" s="5">
        <v>67754</v>
      </c>
      <c r="K119" s="5">
        <v>57</v>
      </c>
      <c r="L119" s="3" t="s">
        <v>28</v>
      </c>
      <c r="M119" s="3" t="s">
        <v>59</v>
      </c>
      <c r="P119" s="10">
        <f t="shared" si="2"/>
        <v>8.0158206987475278E-2</v>
      </c>
      <c r="Q119" s="15">
        <f t="shared" si="3"/>
        <v>5472</v>
      </c>
    </row>
    <row r="120" spans="1:17" x14ac:dyDescent="0.3">
      <c r="A120" s="3" t="s">
        <v>277</v>
      </c>
      <c r="B120" s="3" t="s">
        <v>30</v>
      </c>
      <c r="C120" s="4" t="s">
        <v>278</v>
      </c>
      <c r="D120" s="3" t="s">
        <v>15</v>
      </c>
      <c r="E120" s="11" t="s">
        <v>79</v>
      </c>
      <c r="F120" s="5">
        <v>1970</v>
      </c>
      <c r="G120" s="5">
        <v>675</v>
      </c>
      <c r="H120" s="5">
        <v>478</v>
      </c>
      <c r="I120" s="5">
        <v>9850</v>
      </c>
      <c r="J120" s="5">
        <v>8924</v>
      </c>
      <c r="K120" s="5">
        <v>117</v>
      </c>
      <c r="L120" s="6"/>
      <c r="M120" s="3" t="s">
        <v>59</v>
      </c>
      <c r="P120" s="10">
        <f t="shared" si="2"/>
        <v>0.31705583756345179</v>
      </c>
      <c r="Q120" s="15">
        <f t="shared" si="3"/>
        <v>3123</v>
      </c>
    </row>
    <row r="121" spans="1:17" x14ac:dyDescent="0.3">
      <c r="A121" s="3" t="s">
        <v>279</v>
      </c>
      <c r="B121" s="3" t="s">
        <v>40</v>
      </c>
      <c r="C121" s="4" t="s">
        <v>163</v>
      </c>
      <c r="D121" s="3" t="s">
        <v>32</v>
      </c>
      <c r="E121" s="11" t="s">
        <v>68</v>
      </c>
      <c r="F121" s="5">
        <v>780</v>
      </c>
      <c r="G121" s="5">
        <v>928</v>
      </c>
      <c r="H121" s="5">
        <v>301</v>
      </c>
      <c r="I121" s="5">
        <v>8580</v>
      </c>
      <c r="J121" s="5">
        <v>8081</v>
      </c>
      <c r="K121" s="5">
        <v>91</v>
      </c>
      <c r="L121" s="3" t="s">
        <v>28</v>
      </c>
      <c r="M121" s="3" t="s">
        <v>34</v>
      </c>
      <c r="P121" s="10">
        <f t="shared" si="2"/>
        <v>0.23414918414918415</v>
      </c>
      <c r="Q121" s="15">
        <f t="shared" si="3"/>
        <v>2009</v>
      </c>
    </row>
    <row r="122" spans="1:17" x14ac:dyDescent="0.3">
      <c r="A122" s="3" t="s">
        <v>280</v>
      </c>
      <c r="B122" s="3" t="s">
        <v>30</v>
      </c>
      <c r="C122" s="4" t="s">
        <v>261</v>
      </c>
      <c r="D122" s="3" t="s">
        <v>32</v>
      </c>
      <c r="E122" s="11" t="s">
        <v>33</v>
      </c>
      <c r="F122" s="5">
        <v>498</v>
      </c>
      <c r="G122" s="5">
        <v>701</v>
      </c>
      <c r="H122" s="5">
        <v>412</v>
      </c>
      <c r="I122" s="5">
        <v>4980</v>
      </c>
      <c r="J122" s="5">
        <v>4185</v>
      </c>
      <c r="K122" s="5">
        <v>185</v>
      </c>
      <c r="L122" s="6"/>
      <c r="M122" s="3" t="s">
        <v>59</v>
      </c>
      <c r="P122" s="10">
        <f t="shared" si="2"/>
        <v>0.32349397590361445</v>
      </c>
      <c r="Q122" s="15">
        <f t="shared" si="3"/>
        <v>1611</v>
      </c>
    </row>
    <row r="123" spans="1:17" x14ac:dyDescent="0.3">
      <c r="A123" s="3" t="s">
        <v>281</v>
      </c>
      <c r="B123" s="3" t="s">
        <v>30</v>
      </c>
      <c r="C123" s="4" t="s">
        <v>267</v>
      </c>
      <c r="D123" s="3" t="s">
        <v>20</v>
      </c>
      <c r="E123" s="11" t="s">
        <v>109</v>
      </c>
      <c r="F123" s="5">
        <v>3432</v>
      </c>
      <c r="G123" s="5">
        <v>869</v>
      </c>
      <c r="H123" s="5">
        <v>123</v>
      </c>
      <c r="I123" s="5">
        <v>54912</v>
      </c>
      <c r="J123" s="5">
        <v>53916</v>
      </c>
      <c r="K123" s="5">
        <v>264</v>
      </c>
      <c r="L123" s="3" t="s">
        <v>22</v>
      </c>
      <c r="M123" s="3" t="s">
        <v>34</v>
      </c>
      <c r="P123" s="10">
        <f t="shared" si="2"/>
        <v>8.0565268065268064E-2</v>
      </c>
      <c r="Q123" s="15">
        <f t="shared" si="3"/>
        <v>4424</v>
      </c>
    </row>
    <row r="124" spans="1:17" x14ac:dyDescent="0.3">
      <c r="A124" s="3" t="s">
        <v>282</v>
      </c>
      <c r="B124" s="3" t="s">
        <v>30</v>
      </c>
      <c r="C124" s="4" t="s">
        <v>251</v>
      </c>
      <c r="D124" s="3" t="s">
        <v>32</v>
      </c>
      <c r="E124" s="11" t="s">
        <v>33</v>
      </c>
      <c r="F124" s="5">
        <v>4363</v>
      </c>
      <c r="G124" s="5">
        <v>649</v>
      </c>
      <c r="H124" s="5">
        <v>140</v>
      </c>
      <c r="I124" s="5">
        <v>21815</v>
      </c>
      <c r="J124" s="5">
        <v>21481</v>
      </c>
      <c r="K124" s="5">
        <v>157</v>
      </c>
      <c r="L124" s="3" t="s">
        <v>17</v>
      </c>
      <c r="M124" s="3" t="s">
        <v>34</v>
      </c>
      <c r="P124" s="10">
        <f t="shared" si="2"/>
        <v>0.23616777446710979</v>
      </c>
      <c r="Q124" s="15">
        <f t="shared" si="3"/>
        <v>5152</v>
      </c>
    </row>
    <row r="125" spans="1:17" x14ac:dyDescent="0.3">
      <c r="A125" s="3" t="s">
        <v>283</v>
      </c>
      <c r="B125" s="3" t="s">
        <v>24</v>
      </c>
      <c r="C125" s="4" t="s">
        <v>284</v>
      </c>
      <c r="D125" s="3" t="s">
        <v>42</v>
      </c>
      <c r="E125" s="11" t="s">
        <v>65</v>
      </c>
      <c r="F125" s="5">
        <v>736</v>
      </c>
      <c r="G125" s="5">
        <v>771</v>
      </c>
      <c r="H125" s="5">
        <v>225</v>
      </c>
      <c r="I125" s="5">
        <v>5152</v>
      </c>
      <c r="J125" s="5">
        <v>4706</v>
      </c>
      <c r="K125" s="5">
        <v>19</v>
      </c>
      <c r="L125" s="3" t="s">
        <v>17</v>
      </c>
      <c r="M125" s="3" t="s">
        <v>34</v>
      </c>
      <c r="P125" s="10">
        <f t="shared" si="2"/>
        <v>0.33618012422360249</v>
      </c>
      <c r="Q125" s="15">
        <f t="shared" si="3"/>
        <v>1732</v>
      </c>
    </row>
    <row r="126" spans="1:17" x14ac:dyDescent="0.3">
      <c r="A126" s="3" t="s">
        <v>285</v>
      </c>
      <c r="B126" s="3" t="s">
        <v>13</v>
      </c>
      <c r="C126" s="4" t="s">
        <v>286</v>
      </c>
      <c r="D126" s="3" t="s">
        <v>42</v>
      </c>
      <c r="E126" s="11" t="s">
        <v>46</v>
      </c>
      <c r="F126" s="5">
        <v>3811</v>
      </c>
      <c r="G126" s="5">
        <v>866</v>
      </c>
      <c r="H126" s="5">
        <v>216</v>
      </c>
      <c r="I126" s="5">
        <v>34299</v>
      </c>
      <c r="J126" s="5">
        <v>34088</v>
      </c>
      <c r="K126" s="5">
        <v>233</v>
      </c>
      <c r="L126" s="3" t="s">
        <v>35</v>
      </c>
      <c r="M126" s="3" t="s">
        <v>27</v>
      </c>
      <c r="P126" s="10">
        <f t="shared" si="2"/>
        <v>0.14265722032712325</v>
      </c>
      <c r="Q126" s="15">
        <f t="shared" si="3"/>
        <v>4893</v>
      </c>
    </row>
    <row r="127" spans="1:17" x14ac:dyDescent="0.3">
      <c r="A127" s="3" t="s">
        <v>287</v>
      </c>
      <c r="B127" s="3" t="s">
        <v>30</v>
      </c>
      <c r="C127" s="4" t="s">
        <v>178</v>
      </c>
      <c r="D127" s="3" t="s">
        <v>42</v>
      </c>
      <c r="E127" s="11" t="s">
        <v>85</v>
      </c>
      <c r="F127" s="5">
        <v>4158</v>
      </c>
      <c r="G127" s="5">
        <v>167</v>
      </c>
      <c r="H127" s="5">
        <v>241</v>
      </c>
      <c r="I127" s="5">
        <v>45738</v>
      </c>
      <c r="J127" s="5">
        <v>45183</v>
      </c>
      <c r="K127" s="5">
        <v>142</v>
      </c>
      <c r="L127" s="6"/>
      <c r="M127" s="3" t="s">
        <v>59</v>
      </c>
      <c r="P127" s="10">
        <f t="shared" si="2"/>
        <v>9.9829463465827106E-2</v>
      </c>
      <c r="Q127" s="15">
        <f t="shared" si="3"/>
        <v>4566</v>
      </c>
    </row>
    <row r="128" spans="1:17" x14ac:dyDescent="0.3">
      <c r="A128" s="3" t="s">
        <v>288</v>
      </c>
      <c r="B128" s="3" t="s">
        <v>40</v>
      </c>
      <c r="C128" s="4" t="s">
        <v>217</v>
      </c>
      <c r="D128" s="3" t="s">
        <v>15</v>
      </c>
      <c r="E128" s="11" t="s">
        <v>62</v>
      </c>
      <c r="F128" s="5">
        <v>3452</v>
      </c>
      <c r="G128" s="5">
        <v>652</v>
      </c>
      <c r="H128" s="5">
        <v>442</v>
      </c>
      <c r="I128" s="5">
        <v>65588</v>
      </c>
      <c r="J128" s="5">
        <v>65049</v>
      </c>
      <c r="K128" s="5">
        <v>158</v>
      </c>
      <c r="L128" s="3" t="s">
        <v>28</v>
      </c>
      <c r="M128" s="3" t="s">
        <v>59</v>
      </c>
      <c r="P128" s="10">
        <f t="shared" si="2"/>
        <v>6.9311459413307311E-2</v>
      </c>
      <c r="Q128" s="15">
        <f t="shared" si="3"/>
        <v>4546</v>
      </c>
    </row>
    <row r="129" spans="1:17" x14ac:dyDescent="0.3">
      <c r="A129" s="3" t="s">
        <v>289</v>
      </c>
      <c r="B129" s="3" t="s">
        <v>13</v>
      </c>
      <c r="C129" s="4" t="s">
        <v>223</v>
      </c>
      <c r="D129" s="3" t="s">
        <v>49</v>
      </c>
      <c r="E129" s="11" t="s">
        <v>128</v>
      </c>
      <c r="F129" s="5">
        <v>3092</v>
      </c>
      <c r="G129" s="5">
        <v>106</v>
      </c>
      <c r="H129" s="5">
        <v>291</v>
      </c>
      <c r="I129" s="5">
        <v>27828</v>
      </c>
      <c r="J129" s="5">
        <v>27217</v>
      </c>
      <c r="K129" s="5">
        <v>102</v>
      </c>
      <c r="L129" s="6"/>
      <c r="M129" s="3" t="s">
        <v>59</v>
      </c>
      <c r="P129" s="10">
        <f t="shared" si="2"/>
        <v>0.12537731780940059</v>
      </c>
      <c r="Q129" s="15">
        <f t="shared" si="3"/>
        <v>3489</v>
      </c>
    </row>
    <row r="130" spans="1:17" x14ac:dyDescent="0.3">
      <c r="A130" s="3" t="s">
        <v>290</v>
      </c>
      <c r="B130" s="3" t="s">
        <v>13</v>
      </c>
      <c r="C130" s="4" t="s">
        <v>61</v>
      </c>
      <c r="D130" s="3" t="s">
        <v>20</v>
      </c>
      <c r="E130" s="11" t="s">
        <v>21</v>
      </c>
      <c r="F130" s="5">
        <v>2147</v>
      </c>
      <c r="G130" s="5">
        <v>430</v>
      </c>
      <c r="H130" s="5">
        <v>393</v>
      </c>
      <c r="I130" s="5">
        <v>17176</v>
      </c>
      <c r="J130" s="5">
        <v>16483</v>
      </c>
      <c r="K130" s="5">
        <v>170</v>
      </c>
      <c r="L130" s="6"/>
      <c r="M130" s="3" t="s">
        <v>27</v>
      </c>
      <c r="P130" s="10">
        <f t="shared" ref="P130:P193" si="4">(F130+G130+H130)/I130</f>
        <v>0.17291569632044715</v>
      </c>
      <c r="Q130" s="15">
        <f t="shared" ref="Q130:Q193" si="5">F130+G130+H130</f>
        <v>2970</v>
      </c>
    </row>
    <row r="131" spans="1:17" x14ac:dyDescent="0.3">
      <c r="A131" s="3" t="s">
        <v>291</v>
      </c>
      <c r="B131" s="3" t="s">
        <v>24</v>
      </c>
      <c r="C131" s="4" t="s">
        <v>292</v>
      </c>
      <c r="D131" s="3" t="s">
        <v>15</v>
      </c>
      <c r="E131" s="11" t="s">
        <v>26</v>
      </c>
      <c r="F131" s="5">
        <v>2936</v>
      </c>
      <c r="G131" s="5">
        <v>439</v>
      </c>
      <c r="H131" s="5">
        <v>44</v>
      </c>
      <c r="I131" s="5">
        <v>38168</v>
      </c>
      <c r="J131" s="5">
        <v>37571</v>
      </c>
      <c r="K131" s="5">
        <v>22</v>
      </c>
      <c r="L131" s="3" t="s">
        <v>35</v>
      </c>
      <c r="M131" s="3" t="s">
        <v>34</v>
      </c>
      <c r="P131" s="10">
        <f t="shared" si="4"/>
        <v>8.9577656675749323E-2</v>
      </c>
      <c r="Q131" s="15">
        <f t="shared" si="5"/>
        <v>3419</v>
      </c>
    </row>
    <row r="132" spans="1:17" x14ac:dyDescent="0.3">
      <c r="A132" s="3" t="s">
        <v>293</v>
      </c>
      <c r="B132" s="3" t="s">
        <v>30</v>
      </c>
      <c r="C132" s="4" t="s">
        <v>163</v>
      </c>
      <c r="D132" s="3" t="s">
        <v>15</v>
      </c>
      <c r="E132" s="11" t="s">
        <v>79</v>
      </c>
      <c r="F132" s="5">
        <v>4840</v>
      </c>
      <c r="G132" s="5">
        <v>658</v>
      </c>
      <c r="H132" s="5">
        <v>211</v>
      </c>
      <c r="I132" s="5">
        <v>43560</v>
      </c>
      <c r="J132" s="5">
        <v>43225</v>
      </c>
      <c r="K132" s="5">
        <v>57</v>
      </c>
      <c r="L132" s="3" t="s">
        <v>28</v>
      </c>
      <c r="M132" s="3" t="s">
        <v>59</v>
      </c>
      <c r="P132" s="10">
        <f t="shared" si="4"/>
        <v>0.13106060606060607</v>
      </c>
      <c r="Q132" s="15">
        <f t="shared" si="5"/>
        <v>5709</v>
      </c>
    </row>
    <row r="133" spans="1:17" x14ac:dyDescent="0.3">
      <c r="A133" s="3" t="s">
        <v>294</v>
      </c>
      <c r="B133" s="3" t="s">
        <v>30</v>
      </c>
      <c r="C133" s="4" t="s">
        <v>102</v>
      </c>
      <c r="D133" s="3" t="s">
        <v>32</v>
      </c>
      <c r="E133" s="11" t="s">
        <v>33</v>
      </c>
      <c r="F133" s="5">
        <v>1947</v>
      </c>
      <c r="G133" s="5">
        <v>842</v>
      </c>
      <c r="H133" s="5">
        <v>101</v>
      </c>
      <c r="I133" s="5">
        <v>21417</v>
      </c>
      <c r="J133" s="5">
        <v>20967</v>
      </c>
      <c r="K133" s="5">
        <v>186</v>
      </c>
      <c r="L133" s="3" t="s">
        <v>22</v>
      </c>
      <c r="M133" s="3" t="s">
        <v>59</v>
      </c>
      <c r="P133" s="10">
        <f t="shared" si="4"/>
        <v>0.13493953401503478</v>
      </c>
      <c r="Q133" s="15">
        <f t="shared" si="5"/>
        <v>2890</v>
      </c>
    </row>
    <row r="134" spans="1:17" x14ac:dyDescent="0.3">
      <c r="A134" s="3" t="s">
        <v>295</v>
      </c>
      <c r="B134" s="3" t="s">
        <v>40</v>
      </c>
      <c r="C134" s="4" t="s">
        <v>296</v>
      </c>
      <c r="D134" s="3" t="s">
        <v>49</v>
      </c>
      <c r="E134" s="11" t="s">
        <v>56</v>
      </c>
      <c r="F134" s="5">
        <v>2072</v>
      </c>
      <c r="G134" s="5">
        <v>532</v>
      </c>
      <c r="H134" s="5">
        <v>71</v>
      </c>
      <c r="I134" s="5">
        <v>37296</v>
      </c>
      <c r="J134" s="5">
        <v>36467</v>
      </c>
      <c r="K134" s="5">
        <v>25</v>
      </c>
      <c r="L134" s="3" t="s">
        <v>35</v>
      </c>
      <c r="M134" s="3" t="s">
        <v>27</v>
      </c>
      <c r="P134" s="10">
        <f t="shared" si="4"/>
        <v>7.172350922350923E-2</v>
      </c>
      <c r="Q134" s="15">
        <f t="shared" si="5"/>
        <v>2675</v>
      </c>
    </row>
    <row r="135" spans="1:17" x14ac:dyDescent="0.3">
      <c r="A135" s="3" t="s">
        <v>297</v>
      </c>
      <c r="B135" s="3" t="s">
        <v>13</v>
      </c>
      <c r="C135" s="4" t="s">
        <v>298</v>
      </c>
      <c r="D135" s="3" t="s">
        <v>15</v>
      </c>
      <c r="E135" s="11" t="s">
        <v>16</v>
      </c>
      <c r="F135" s="5">
        <v>3731</v>
      </c>
      <c r="G135" s="5">
        <v>115</v>
      </c>
      <c r="H135" s="5">
        <v>135</v>
      </c>
      <c r="I135" s="5">
        <v>55965</v>
      </c>
      <c r="J135" s="5">
        <v>55436</v>
      </c>
      <c r="K135" s="5">
        <v>103</v>
      </c>
      <c r="L135" s="3" t="s">
        <v>17</v>
      </c>
      <c r="M135" s="3" t="s">
        <v>27</v>
      </c>
      <c r="P135" s="10">
        <f t="shared" si="4"/>
        <v>7.1133744304476013E-2</v>
      </c>
      <c r="Q135" s="15">
        <f t="shared" si="5"/>
        <v>3981</v>
      </c>
    </row>
    <row r="136" spans="1:17" x14ac:dyDescent="0.3">
      <c r="A136" s="3" t="s">
        <v>299</v>
      </c>
      <c r="B136" s="3" t="s">
        <v>40</v>
      </c>
      <c r="C136" s="4" t="s">
        <v>300</v>
      </c>
      <c r="D136" s="3" t="s">
        <v>20</v>
      </c>
      <c r="E136" s="11" t="s">
        <v>53</v>
      </c>
      <c r="F136" s="5">
        <v>4213</v>
      </c>
      <c r="G136" s="5">
        <v>253</v>
      </c>
      <c r="H136" s="5">
        <v>434</v>
      </c>
      <c r="I136" s="5">
        <v>75834</v>
      </c>
      <c r="J136" s="5">
        <v>75437</v>
      </c>
      <c r="K136" s="5">
        <v>272</v>
      </c>
      <c r="L136" s="3" t="s">
        <v>35</v>
      </c>
      <c r="M136" s="3" t="s">
        <v>59</v>
      </c>
      <c r="P136" s="10">
        <f t="shared" si="4"/>
        <v>6.461481657304112E-2</v>
      </c>
      <c r="Q136" s="15">
        <f t="shared" si="5"/>
        <v>4900</v>
      </c>
    </row>
    <row r="137" spans="1:17" x14ac:dyDescent="0.3">
      <c r="A137" s="3" t="s">
        <v>301</v>
      </c>
      <c r="B137" s="3" t="s">
        <v>30</v>
      </c>
      <c r="C137" s="4" t="s">
        <v>302</v>
      </c>
      <c r="D137" s="3" t="s">
        <v>20</v>
      </c>
      <c r="E137" s="11" t="s">
        <v>109</v>
      </c>
      <c r="F137" s="5">
        <v>3134</v>
      </c>
      <c r="G137" s="5">
        <v>888</v>
      </c>
      <c r="H137" s="5">
        <v>444</v>
      </c>
      <c r="I137" s="5">
        <v>21938</v>
      </c>
      <c r="J137" s="5">
        <v>21337</v>
      </c>
      <c r="K137" s="5">
        <v>130</v>
      </c>
      <c r="L137" s="3" t="s">
        <v>35</v>
      </c>
      <c r="M137" s="3" t="s">
        <v>34</v>
      </c>
      <c r="P137" s="10">
        <f t="shared" si="4"/>
        <v>0.20357370772176134</v>
      </c>
      <c r="Q137" s="15">
        <f t="shared" si="5"/>
        <v>4466</v>
      </c>
    </row>
    <row r="138" spans="1:17" x14ac:dyDescent="0.3">
      <c r="A138" s="3" t="s">
        <v>303</v>
      </c>
      <c r="B138" s="3" t="s">
        <v>40</v>
      </c>
      <c r="C138" s="4" t="s">
        <v>111</v>
      </c>
      <c r="D138" s="3" t="s">
        <v>71</v>
      </c>
      <c r="E138" s="11" t="s">
        <v>72</v>
      </c>
      <c r="F138" s="5">
        <v>3008</v>
      </c>
      <c r="G138" s="5">
        <v>94</v>
      </c>
      <c r="H138" s="5">
        <v>37</v>
      </c>
      <c r="I138" s="5">
        <v>15040</v>
      </c>
      <c r="J138" s="5">
        <v>14639</v>
      </c>
      <c r="K138" s="5">
        <v>277</v>
      </c>
      <c r="L138" s="6"/>
      <c r="M138" s="3" t="s">
        <v>59</v>
      </c>
      <c r="P138" s="10">
        <f t="shared" si="4"/>
        <v>0.20871010638297871</v>
      </c>
      <c r="Q138" s="15">
        <f t="shared" si="5"/>
        <v>3139</v>
      </c>
    </row>
    <row r="139" spans="1:17" x14ac:dyDescent="0.3">
      <c r="A139" s="3" t="s">
        <v>304</v>
      </c>
      <c r="B139" s="3" t="s">
        <v>13</v>
      </c>
      <c r="C139" s="4" t="s">
        <v>182</v>
      </c>
      <c r="D139" s="3" t="s">
        <v>49</v>
      </c>
      <c r="E139" s="11" t="s">
        <v>128</v>
      </c>
      <c r="F139" s="5">
        <v>305</v>
      </c>
      <c r="G139" s="5">
        <v>187</v>
      </c>
      <c r="H139" s="5">
        <v>243</v>
      </c>
      <c r="I139" s="5">
        <v>4575</v>
      </c>
      <c r="J139" s="5">
        <v>3704</v>
      </c>
      <c r="K139" s="5">
        <v>234</v>
      </c>
      <c r="L139" s="3" t="s">
        <v>28</v>
      </c>
      <c r="M139" s="3" t="s">
        <v>59</v>
      </c>
      <c r="P139" s="10">
        <f t="shared" si="4"/>
        <v>0.16065573770491803</v>
      </c>
      <c r="Q139" s="15">
        <f t="shared" si="5"/>
        <v>735</v>
      </c>
    </row>
    <row r="140" spans="1:17" x14ac:dyDescent="0.3">
      <c r="A140" s="3" t="s">
        <v>305</v>
      </c>
      <c r="B140" s="3" t="s">
        <v>24</v>
      </c>
      <c r="C140" s="4" t="s">
        <v>306</v>
      </c>
      <c r="D140" s="3" t="s">
        <v>20</v>
      </c>
      <c r="E140" s="11" t="s">
        <v>100</v>
      </c>
      <c r="F140" s="5">
        <v>2746</v>
      </c>
      <c r="G140" s="5">
        <v>156</v>
      </c>
      <c r="H140" s="5">
        <v>203</v>
      </c>
      <c r="I140" s="5">
        <v>32952</v>
      </c>
      <c r="J140" s="5">
        <v>32147</v>
      </c>
      <c r="K140" s="5">
        <v>147</v>
      </c>
      <c r="L140" s="3" t="s">
        <v>17</v>
      </c>
      <c r="M140" s="3" t="s">
        <v>34</v>
      </c>
      <c r="P140" s="10">
        <f t="shared" si="4"/>
        <v>9.422796795338674E-2</v>
      </c>
      <c r="Q140" s="15">
        <f t="shared" si="5"/>
        <v>3105</v>
      </c>
    </row>
    <row r="141" spans="1:17" x14ac:dyDescent="0.3">
      <c r="A141" s="3" t="s">
        <v>307</v>
      </c>
      <c r="B141" s="3" t="s">
        <v>40</v>
      </c>
      <c r="C141" s="4" t="s">
        <v>308</v>
      </c>
      <c r="D141" s="3" t="s">
        <v>49</v>
      </c>
      <c r="E141" s="11" t="s">
        <v>56</v>
      </c>
      <c r="F141" s="5">
        <v>2291</v>
      </c>
      <c r="G141" s="5">
        <v>78</v>
      </c>
      <c r="H141" s="5">
        <v>485</v>
      </c>
      <c r="I141" s="5">
        <v>18328</v>
      </c>
      <c r="J141" s="5">
        <v>18101</v>
      </c>
      <c r="K141" s="5">
        <v>10</v>
      </c>
      <c r="L141" s="3" t="s">
        <v>22</v>
      </c>
      <c r="M141" s="3" t="s">
        <v>34</v>
      </c>
      <c r="N141" t="s">
        <v>592</v>
      </c>
      <c r="P141" s="10">
        <f t="shared" si="4"/>
        <v>0.15571802706241816</v>
      </c>
      <c r="Q141" s="15">
        <f t="shared" si="5"/>
        <v>2854</v>
      </c>
    </row>
    <row r="142" spans="1:17" x14ac:dyDescent="0.3">
      <c r="A142" s="3" t="s">
        <v>309</v>
      </c>
      <c r="B142" s="3" t="s">
        <v>13</v>
      </c>
      <c r="C142" s="4" t="s">
        <v>310</v>
      </c>
      <c r="D142" s="3" t="s">
        <v>49</v>
      </c>
      <c r="E142" s="11" t="s">
        <v>128</v>
      </c>
      <c r="F142" s="5">
        <v>3170</v>
      </c>
      <c r="G142" s="5">
        <v>857</v>
      </c>
      <c r="H142" s="5">
        <v>379</v>
      </c>
      <c r="I142" s="5">
        <v>19020</v>
      </c>
      <c r="J142" s="5">
        <v>18559</v>
      </c>
      <c r="K142" s="5">
        <v>240</v>
      </c>
      <c r="L142" s="6"/>
      <c r="M142" s="3" t="s">
        <v>59</v>
      </c>
      <c r="P142" s="10">
        <f t="shared" si="4"/>
        <v>0.2316508937960042</v>
      </c>
      <c r="Q142" s="15">
        <f t="shared" si="5"/>
        <v>4406</v>
      </c>
    </row>
    <row r="143" spans="1:17" x14ac:dyDescent="0.3">
      <c r="A143" s="3" t="s">
        <v>311</v>
      </c>
      <c r="B143" s="3" t="s">
        <v>24</v>
      </c>
      <c r="C143" s="4" t="s">
        <v>257</v>
      </c>
      <c r="D143" s="3" t="s">
        <v>32</v>
      </c>
      <c r="E143" s="11" t="s">
        <v>150</v>
      </c>
      <c r="F143" s="5">
        <v>2070</v>
      </c>
      <c r="G143" s="5">
        <v>275</v>
      </c>
      <c r="H143" s="5">
        <v>386</v>
      </c>
      <c r="I143" s="5">
        <v>39330</v>
      </c>
      <c r="J143" s="5">
        <v>38627</v>
      </c>
      <c r="K143" s="5">
        <v>114</v>
      </c>
      <c r="L143" s="3" t="s">
        <v>35</v>
      </c>
      <c r="M143" s="3" t="s">
        <v>59</v>
      </c>
      <c r="P143" s="10">
        <f t="shared" si="4"/>
        <v>6.9438087973557078E-2</v>
      </c>
      <c r="Q143" s="15">
        <f t="shared" si="5"/>
        <v>2731</v>
      </c>
    </row>
    <row r="144" spans="1:17" x14ac:dyDescent="0.3">
      <c r="A144" s="3" t="s">
        <v>312</v>
      </c>
      <c r="B144" s="3" t="s">
        <v>24</v>
      </c>
      <c r="C144" s="4" t="s">
        <v>267</v>
      </c>
      <c r="D144" s="3" t="s">
        <v>42</v>
      </c>
      <c r="E144" s="11" t="s">
        <v>65</v>
      </c>
      <c r="F144" s="5">
        <v>80</v>
      </c>
      <c r="G144" s="5">
        <v>362</v>
      </c>
      <c r="H144" s="5">
        <v>80</v>
      </c>
      <c r="I144" s="5">
        <v>1040</v>
      </c>
      <c r="J144" s="5">
        <v>349</v>
      </c>
      <c r="K144" s="5">
        <v>117</v>
      </c>
      <c r="L144" s="3" t="s">
        <v>28</v>
      </c>
      <c r="M144" s="3" t="s">
        <v>27</v>
      </c>
      <c r="P144" s="10">
        <f t="shared" si="4"/>
        <v>0.50192307692307692</v>
      </c>
      <c r="Q144" s="15">
        <f t="shared" si="5"/>
        <v>522</v>
      </c>
    </row>
    <row r="145" spans="1:17" x14ac:dyDescent="0.3">
      <c r="A145" s="3" t="s">
        <v>313</v>
      </c>
      <c r="B145" s="3" t="s">
        <v>24</v>
      </c>
      <c r="C145" s="4" t="s">
        <v>195</v>
      </c>
      <c r="D145" s="3" t="s">
        <v>32</v>
      </c>
      <c r="E145" s="11" t="s">
        <v>150</v>
      </c>
      <c r="F145" s="5">
        <v>4929</v>
      </c>
      <c r="G145" s="5">
        <v>749</v>
      </c>
      <c r="H145" s="5">
        <v>452</v>
      </c>
      <c r="I145" s="5">
        <v>93651</v>
      </c>
      <c r="J145" s="5">
        <v>92810</v>
      </c>
      <c r="K145" s="5">
        <v>66</v>
      </c>
      <c r="L145" s="3" t="s">
        <v>35</v>
      </c>
      <c r="M145" s="3" t="s">
        <v>34</v>
      </c>
      <c r="P145" s="10">
        <f t="shared" si="4"/>
        <v>6.5455787978772245E-2</v>
      </c>
      <c r="Q145" s="15">
        <f t="shared" si="5"/>
        <v>6130</v>
      </c>
    </row>
    <row r="146" spans="1:17" x14ac:dyDescent="0.3">
      <c r="A146" s="3" t="s">
        <v>314</v>
      </c>
      <c r="B146" s="3" t="s">
        <v>30</v>
      </c>
      <c r="C146" s="4" t="s">
        <v>31</v>
      </c>
      <c r="D146" s="3" t="s">
        <v>42</v>
      </c>
      <c r="E146" s="11" t="s">
        <v>85</v>
      </c>
      <c r="F146" s="5">
        <v>1878</v>
      </c>
      <c r="G146" s="5">
        <v>62</v>
      </c>
      <c r="H146" s="5">
        <v>179</v>
      </c>
      <c r="I146" s="5">
        <v>37560</v>
      </c>
      <c r="J146" s="5">
        <v>36874</v>
      </c>
      <c r="K146" s="5">
        <v>142</v>
      </c>
      <c r="L146" s="3" t="s">
        <v>35</v>
      </c>
      <c r="M146" s="3" t="s">
        <v>27</v>
      </c>
      <c r="P146" s="10">
        <f t="shared" si="4"/>
        <v>5.6416400425985093E-2</v>
      </c>
      <c r="Q146" s="15">
        <f t="shared" si="5"/>
        <v>2119</v>
      </c>
    </row>
    <row r="147" spans="1:17" x14ac:dyDescent="0.3">
      <c r="A147" s="3" t="s">
        <v>315</v>
      </c>
      <c r="B147" s="3" t="s">
        <v>24</v>
      </c>
      <c r="C147" s="4" t="s">
        <v>316</v>
      </c>
      <c r="D147" s="3" t="s">
        <v>15</v>
      </c>
      <c r="E147" s="11" t="s">
        <v>26</v>
      </c>
      <c r="F147" s="5">
        <v>3065</v>
      </c>
      <c r="G147" s="5">
        <v>772</v>
      </c>
      <c r="H147" s="5">
        <v>142</v>
      </c>
      <c r="I147" s="5">
        <v>18390</v>
      </c>
      <c r="J147" s="5">
        <v>17875</v>
      </c>
      <c r="K147" s="5">
        <v>200</v>
      </c>
      <c r="L147" s="6"/>
      <c r="M147" s="3" t="s">
        <v>34</v>
      </c>
      <c r="N147" t="s">
        <v>600</v>
      </c>
      <c r="P147" s="10">
        <f t="shared" si="4"/>
        <v>0.21636759108210984</v>
      </c>
      <c r="Q147" s="15">
        <f t="shared" si="5"/>
        <v>3979</v>
      </c>
    </row>
    <row r="148" spans="1:17" x14ac:dyDescent="0.3">
      <c r="A148" s="3" t="s">
        <v>317</v>
      </c>
      <c r="B148" s="3" t="s">
        <v>30</v>
      </c>
      <c r="C148" s="4" t="s">
        <v>163</v>
      </c>
      <c r="D148" s="3" t="s">
        <v>15</v>
      </c>
      <c r="E148" s="11" t="s">
        <v>79</v>
      </c>
      <c r="F148" s="5">
        <v>3256</v>
      </c>
      <c r="G148" s="5">
        <v>459</v>
      </c>
      <c r="H148" s="5">
        <v>266</v>
      </c>
      <c r="I148" s="5">
        <v>26048</v>
      </c>
      <c r="J148" s="5">
        <v>25529</v>
      </c>
      <c r="K148" s="5">
        <v>143</v>
      </c>
      <c r="L148" s="3" t="s">
        <v>22</v>
      </c>
      <c r="M148" s="3" t="s">
        <v>27</v>
      </c>
      <c r="P148" s="10">
        <f t="shared" si="4"/>
        <v>0.15283323095823095</v>
      </c>
      <c r="Q148" s="15">
        <f t="shared" si="5"/>
        <v>3981</v>
      </c>
    </row>
    <row r="149" spans="1:17" x14ac:dyDescent="0.3">
      <c r="A149" s="3" t="s">
        <v>318</v>
      </c>
      <c r="B149" s="3" t="s">
        <v>30</v>
      </c>
      <c r="C149" s="4" t="s">
        <v>165</v>
      </c>
      <c r="D149" s="3" t="s">
        <v>71</v>
      </c>
      <c r="E149" s="11" t="s">
        <v>82</v>
      </c>
      <c r="F149" s="5">
        <v>4133</v>
      </c>
      <c r="G149" s="5">
        <v>466</v>
      </c>
      <c r="H149" s="5">
        <v>327</v>
      </c>
      <c r="I149" s="5">
        <v>24798</v>
      </c>
      <c r="J149" s="5">
        <v>24620</v>
      </c>
      <c r="K149" s="5">
        <v>176</v>
      </c>
      <c r="L149" s="3" t="s">
        <v>35</v>
      </c>
      <c r="M149" s="3" t="s">
        <v>34</v>
      </c>
      <c r="P149" s="10">
        <f t="shared" si="4"/>
        <v>0.19864505202032423</v>
      </c>
      <c r="Q149" s="15">
        <f t="shared" si="5"/>
        <v>4926</v>
      </c>
    </row>
    <row r="150" spans="1:17" x14ac:dyDescent="0.3">
      <c r="A150" s="3" t="s">
        <v>319</v>
      </c>
      <c r="B150" s="3" t="s">
        <v>13</v>
      </c>
      <c r="C150" s="4" t="s">
        <v>320</v>
      </c>
      <c r="D150" s="3" t="s">
        <v>71</v>
      </c>
      <c r="E150" s="11" t="s">
        <v>141</v>
      </c>
      <c r="F150" s="5">
        <v>1702</v>
      </c>
      <c r="G150" s="5">
        <v>750</v>
      </c>
      <c r="H150" s="5">
        <v>179</v>
      </c>
      <c r="I150" s="5">
        <v>34040</v>
      </c>
      <c r="J150" s="5">
        <v>33174</v>
      </c>
      <c r="K150" s="5">
        <v>76</v>
      </c>
      <c r="L150" s="3" t="s">
        <v>17</v>
      </c>
      <c r="M150" s="3" t="s">
        <v>34</v>
      </c>
      <c r="P150" s="10">
        <f t="shared" si="4"/>
        <v>7.7291421856639245E-2</v>
      </c>
      <c r="Q150" s="15">
        <f t="shared" si="5"/>
        <v>2631</v>
      </c>
    </row>
    <row r="151" spans="1:17" x14ac:dyDescent="0.3">
      <c r="A151" s="3" t="s">
        <v>321</v>
      </c>
      <c r="B151" s="3" t="s">
        <v>24</v>
      </c>
      <c r="C151" s="4" t="s">
        <v>322</v>
      </c>
      <c r="D151" s="3" t="s">
        <v>42</v>
      </c>
      <c r="E151" s="11" t="s">
        <v>65</v>
      </c>
      <c r="F151" s="5">
        <v>4295</v>
      </c>
      <c r="G151" s="5">
        <v>853</v>
      </c>
      <c r="H151" s="5">
        <v>325</v>
      </c>
      <c r="I151" s="5">
        <v>85900</v>
      </c>
      <c r="J151" s="5">
        <v>85788</v>
      </c>
      <c r="K151" s="5">
        <v>290</v>
      </c>
      <c r="L151" s="3" t="s">
        <v>35</v>
      </c>
      <c r="M151" s="3" t="s">
        <v>27</v>
      </c>
      <c r="P151" s="10">
        <f t="shared" si="4"/>
        <v>6.3713620488940623E-2</v>
      </c>
      <c r="Q151" s="15">
        <f t="shared" si="5"/>
        <v>5473</v>
      </c>
    </row>
    <row r="152" spans="1:17" x14ac:dyDescent="0.3">
      <c r="A152" s="3" t="s">
        <v>323</v>
      </c>
      <c r="B152" s="3" t="s">
        <v>30</v>
      </c>
      <c r="C152" s="4" t="s">
        <v>180</v>
      </c>
      <c r="D152" s="3" t="s">
        <v>49</v>
      </c>
      <c r="E152" s="11" t="s">
        <v>209</v>
      </c>
      <c r="F152" s="5">
        <v>3559</v>
      </c>
      <c r="G152" s="5">
        <v>59</v>
      </c>
      <c r="H152" s="5">
        <v>289</v>
      </c>
      <c r="I152" s="5">
        <v>35590</v>
      </c>
      <c r="J152" s="5">
        <v>35105</v>
      </c>
      <c r="K152" s="5">
        <v>122</v>
      </c>
      <c r="L152" s="3" t="s">
        <v>17</v>
      </c>
      <c r="M152" s="3" t="s">
        <v>34</v>
      </c>
      <c r="P152" s="10">
        <f t="shared" si="4"/>
        <v>0.10977802753582468</v>
      </c>
      <c r="Q152" s="15">
        <f t="shared" si="5"/>
        <v>3907</v>
      </c>
    </row>
    <row r="153" spans="1:17" x14ac:dyDescent="0.3">
      <c r="A153" s="3" t="s">
        <v>324</v>
      </c>
      <c r="B153" s="3" t="s">
        <v>40</v>
      </c>
      <c r="C153" s="4" t="s">
        <v>325</v>
      </c>
      <c r="D153" s="3" t="s">
        <v>49</v>
      </c>
      <c r="E153" s="11" t="s">
        <v>56</v>
      </c>
      <c r="F153" s="5">
        <v>4804</v>
      </c>
      <c r="G153" s="5">
        <v>550</v>
      </c>
      <c r="H153" s="5">
        <v>270</v>
      </c>
      <c r="I153" s="5">
        <v>28824</v>
      </c>
      <c r="J153" s="5">
        <v>28370</v>
      </c>
      <c r="K153" s="5">
        <v>47</v>
      </c>
      <c r="L153" s="3" t="s">
        <v>35</v>
      </c>
      <c r="M153" s="3" t="s">
        <v>34</v>
      </c>
      <c r="P153" s="10">
        <f t="shared" si="4"/>
        <v>0.19511518179295032</v>
      </c>
      <c r="Q153" s="15">
        <f t="shared" si="5"/>
        <v>5624</v>
      </c>
    </row>
    <row r="154" spans="1:17" x14ac:dyDescent="0.3">
      <c r="A154" s="3" t="s">
        <v>326</v>
      </c>
      <c r="B154" s="3" t="s">
        <v>13</v>
      </c>
      <c r="C154" s="4" t="s">
        <v>327</v>
      </c>
      <c r="D154" s="3" t="s">
        <v>71</v>
      </c>
      <c r="E154" s="11" t="s">
        <v>141</v>
      </c>
      <c r="F154" s="5">
        <v>754</v>
      </c>
      <c r="G154" s="5">
        <v>197</v>
      </c>
      <c r="H154" s="5">
        <v>257</v>
      </c>
      <c r="I154" s="5">
        <v>6786</v>
      </c>
      <c r="J154" s="5">
        <v>6221</v>
      </c>
      <c r="K154" s="5">
        <v>212</v>
      </c>
      <c r="L154" s="3" t="s">
        <v>28</v>
      </c>
      <c r="M154" s="3" t="s">
        <v>27</v>
      </c>
      <c r="P154" s="10">
        <f t="shared" si="4"/>
        <v>0.17801355732390214</v>
      </c>
      <c r="Q154" s="15">
        <f t="shared" si="5"/>
        <v>1208</v>
      </c>
    </row>
    <row r="155" spans="1:17" x14ac:dyDescent="0.3">
      <c r="A155" s="3" t="s">
        <v>328</v>
      </c>
      <c r="B155" s="3" t="s">
        <v>30</v>
      </c>
      <c r="C155" s="4" t="s">
        <v>203</v>
      </c>
      <c r="D155" s="3" t="s">
        <v>42</v>
      </c>
      <c r="E155" s="11" t="s">
        <v>85</v>
      </c>
      <c r="F155" s="5">
        <v>985</v>
      </c>
      <c r="G155" s="5">
        <v>932</v>
      </c>
      <c r="H155" s="5">
        <v>287</v>
      </c>
      <c r="I155" s="5">
        <v>6895</v>
      </c>
      <c r="J155" s="5">
        <v>6757</v>
      </c>
      <c r="K155" s="5">
        <v>64</v>
      </c>
      <c r="L155" s="3" t="s">
        <v>35</v>
      </c>
      <c r="M155" s="3" t="s">
        <v>59</v>
      </c>
      <c r="P155" s="10">
        <f t="shared" si="4"/>
        <v>0.31965192168237855</v>
      </c>
      <c r="Q155" s="15">
        <f t="shared" si="5"/>
        <v>2204</v>
      </c>
    </row>
    <row r="156" spans="1:17" x14ac:dyDescent="0.3">
      <c r="A156" s="3" t="s">
        <v>329</v>
      </c>
      <c r="B156" s="3" t="s">
        <v>24</v>
      </c>
      <c r="C156" s="4" t="s">
        <v>330</v>
      </c>
      <c r="D156" s="3" t="s">
        <v>49</v>
      </c>
      <c r="E156" s="11" t="s">
        <v>50</v>
      </c>
      <c r="F156" s="5">
        <v>2283</v>
      </c>
      <c r="G156" s="5">
        <v>210</v>
      </c>
      <c r="H156" s="5">
        <v>130</v>
      </c>
      <c r="I156" s="5">
        <v>22830</v>
      </c>
      <c r="J156" s="5">
        <v>22617</v>
      </c>
      <c r="K156" s="5">
        <v>143</v>
      </c>
      <c r="L156" s="3" t="s">
        <v>22</v>
      </c>
      <c r="M156" s="3" t="s">
        <v>59</v>
      </c>
      <c r="P156" s="10">
        <f t="shared" si="4"/>
        <v>0.11489268506351293</v>
      </c>
      <c r="Q156" s="15">
        <f t="shared" si="5"/>
        <v>2623</v>
      </c>
    </row>
    <row r="157" spans="1:17" x14ac:dyDescent="0.3">
      <c r="A157" s="3" t="s">
        <v>331</v>
      </c>
      <c r="B157" s="3" t="s">
        <v>40</v>
      </c>
      <c r="C157" s="4" t="s">
        <v>332</v>
      </c>
      <c r="D157" s="3" t="s">
        <v>42</v>
      </c>
      <c r="E157" s="11" t="s">
        <v>43</v>
      </c>
      <c r="F157" s="5">
        <v>3352</v>
      </c>
      <c r="G157" s="5">
        <v>941</v>
      </c>
      <c r="H157" s="5">
        <v>482</v>
      </c>
      <c r="I157" s="5">
        <v>43576</v>
      </c>
      <c r="J157" s="5">
        <v>43338</v>
      </c>
      <c r="K157" s="5">
        <v>240</v>
      </c>
      <c r="L157" s="3" t="s">
        <v>22</v>
      </c>
      <c r="M157" s="3" t="s">
        <v>59</v>
      </c>
      <c r="P157" s="10">
        <f t="shared" si="4"/>
        <v>0.1095786671562328</v>
      </c>
      <c r="Q157" s="15">
        <f t="shared" si="5"/>
        <v>4775</v>
      </c>
    </row>
    <row r="158" spans="1:17" x14ac:dyDescent="0.3">
      <c r="A158" s="3" t="s">
        <v>333</v>
      </c>
      <c r="B158" s="3" t="s">
        <v>24</v>
      </c>
      <c r="C158" s="4" t="s">
        <v>334</v>
      </c>
      <c r="D158" s="3" t="s">
        <v>32</v>
      </c>
      <c r="E158" s="11" t="s">
        <v>150</v>
      </c>
      <c r="F158" s="5">
        <v>4775</v>
      </c>
      <c r="G158" s="5">
        <v>173</v>
      </c>
      <c r="H158" s="5">
        <v>206</v>
      </c>
      <c r="I158" s="5">
        <v>47750</v>
      </c>
      <c r="J158" s="5">
        <v>47544</v>
      </c>
      <c r="K158" s="5">
        <v>187</v>
      </c>
      <c r="L158" s="3" t="s">
        <v>22</v>
      </c>
      <c r="M158" s="3" t="s">
        <v>59</v>
      </c>
      <c r="P158" s="10">
        <f t="shared" si="4"/>
        <v>0.10793717277486911</v>
      </c>
      <c r="Q158" s="15">
        <f t="shared" si="5"/>
        <v>5154</v>
      </c>
    </row>
    <row r="159" spans="1:17" x14ac:dyDescent="0.3">
      <c r="A159" s="3" t="s">
        <v>335</v>
      </c>
      <c r="B159" s="3" t="s">
        <v>30</v>
      </c>
      <c r="C159" s="4" t="s">
        <v>336</v>
      </c>
      <c r="D159" s="3" t="s">
        <v>32</v>
      </c>
      <c r="E159" s="11" t="s">
        <v>33</v>
      </c>
      <c r="F159" s="5">
        <v>1762</v>
      </c>
      <c r="G159" s="5">
        <v>405</v>
      </c>
      <c r="H159" s="5">
        <v>423</v>
      </c>
      <c r="I159" s="5">
        <v>22906</v>
      </c>
      <c r="J159" s="5">
        <v>21925</v>
      </c>
      <c r="K159" s="5">
        <v>25</v>
      </c>
      <c r="L159" s="3" t="s">
        <v>17</v>
      </c>
      <c r="M159" s="3" t="s">
        <v>27</v>
      </c>
      <c r="P159" s="10">
        <f t="shared" si="4"/>
        <v>0.11307081114118571</v>
      </c>
      <c r="Q159" s="15">
        <f t="shared" si="5"/>
        <v>2590</v>
      </c>
    </row>
    <row r="160" spans="1:17" x14ac:dyDescent="0.3">
      <c r="A160" s="3" t="s">
        <v>337</v>
      </c>
      <c r="B160" s="3" t="s">
        <v>40</v>
      </c>
      <c r="C160" s="4" t="s">
        <v>125</v>
      </c>
      <c r="D160" s="3" t="s">
        <v>32</v>
      </c>
      <c r="E160" s="11" t="s">
        <v>68</v>
      </c>
      <c r="F160" s="5">
        <v>2120</v>
      </c>
      <c r="G160" s="5">
        <v>158</v>
      </c>
      <c r="H160" s="5">
        <v>488</v>
      </c>
      <c r="I160" s="5">
        <v>12720</v>
      </c>
      <c r="J160" s="5">
        <v>12085</v>
      </c>
      <c r="K160" s="5">
        <v>17</v>
      </c>
      <c r="L160" s="3" t="s">
        <v>22</v>
      </c>
      <c r="M160" s="3" t="s">
        <v>59</v>
      </c>
      <c r="P160" s="10">
        <f t="shared" si="4"/>
        <v>0.21745283018867925</v>
      </c>
      <c r="Q160" s="15">
        <f t="shared" si="5"/>
        <v>2766</v>
      </c>
    </row>
    <row r="161" spans="1:17" x14ac:dyDescent="0.3">
      <c r="A161" s="3" t="s">
        <v>338</v>
      </c>
      <c r="B161" s="3" t="s">
        <v>13</v>
      </c>
      <c r="C161" s="4" t="s">
        <v>339</v>
      </c>
      <c r="D161" s="3" t="s">
        <v>71</v>
      </c>
      <c r="E161" s="11" t="s">
        <v>141</v>
      </c>
      <c r="F161" s="5">
        <v>1082</v>
      </c>
      <c r="G161" s="5">
        <v>209</v>
      </c>
      <c r="H161" s="5">
        <v>484</v>
      </c>
      <c r="I161" s="5">
        <v>19476</v>
      </c>
      <c r="J161" s="5">
        <v>18654</v>
      </c>
      <c r="K161" s="5">
        <v>20</v>
      </c>
      <c r="L161" s="6"/>
      <c r="M161" s="3" t="s">
        <v>27</v>
      </c>
      <c r="P161" s="10">
        <f t="shared" si="4"/>
        <v>9.1137810638734856E-2</v>
      </c>
      <c r="Q161" s="15">
        <f t="shared" si="5"/>
        <v>1775</v>
      </c>
    </row>
    <row r="162" spans="1:17" x14ac:dyDescent="0.3">
      <c r="A162" s="3" t="s">
        <v>340</v>
      </c>
      <c r="B162" s="3" t="s">
        <v>13</v>
      </c>
      <c r="C162" s="4" t="s">
        <v>341</v>
      </c>
      <c r="D162" s="3" t="s">
        <v>20</v>
      </c>
      <c r="E162" s="11" t="s">
        <v>21</v>
      </c>
      <c r="F162" s="5">
        <v>4671</v>
      </c>
      <c r="G162" s="5">
        <v>876</v>
      </c>
      <c r="H162" s="5">
        <v>366</v>
      </c>
      <c r="I162" s="5">
        <v>51381</v>
      </c>
      <c r="J162" s="5">
        <v>50565</v>
      </c>
      <c r="K162" s="5">
        <v>245</v>
      </c>
      <c r="L162" s="3" t="s">
        <v>35</v>
      </c>
      <c r="M162" s="3" t="s">
        <v>27</v>
      </c>
      <c r="P162" s="10">
        <f t="shared" si="4"/>
        <v>0.11508145034156594</v>
      </c>
      <c r="Q162" s="15">
        <f t="shared" si="5"/>
        <v>5913</v>
      </c>
    </row>
    <row r="163" spans="1:17" x14ac:dyDescent="0.3">
      <c r="A163" s="3" t="s">
        <v>342</v>
      </c>
      <c r="B163" s="3" t="s">
        <v>40</v>
      </c>
      <c r="C163" s="4" t="s">
        <v>343</v>
      </c>
      <c r="D163" s="3" t="s">
        <v>32</v>
      </c>
      <c r="E163" s="11" t="s">
        <v>68</v>
      </c>
      <c r="F163" s="5">
        <v>3430</v>
      </c>
      <c r="G163" s="5">
        <v>566</v>
      </c>
      <c r="H163" s="5">
        <v>164</v>
      </c>
      <c r="I163" s="5">
        <v>48020</v>
      </c>
      <c r="J163" s="5">
        <v>47305</v>
      </c>
      <c r="K163" s="5">
        <v>120</v>
      </c>
      <c r="L163" s="6"/>
      <c r="M163" s="3" t="s">
        <v>59</v>
      </c>
      <c r="P163" s="10">
        <f t="shared" si="4"/>
        <v>8.6630570595585168E-2</v>
      </c>
      <c r="Q163" s="15">
        <f t="shared" si="5"/>
        <v>4160</v>
      </c>
    </row>
    <row r="164" spans="1:17" x14ac:dyDescent="0.3">
      <c r="A164" s="3" t="s">
        <v>344</v>
      </c>
      <c r="B164" s="3" t="s">
        <v>30</v>
      </c>
      <c r="C164" s="4" t="s">
        <v>345</v>
      </c>
      <c r="D164" s="3" t="s">
        <v>49</v>
      </c>
      <c r="E164" s="11" t="s">
        <v>209</v>
      </c>
      <c r="F164" s="5">
        <v>4501</v>
      </c>
      <c r="G164" s="5">
        <v>375</v>
      </c>
      <c r="H164" s="5">
        <v>323</v>
      </c>
      <c r="I164" s="5">
        <v>22505</v>
      </c>
      <c r="J164" s="5">
        <v>21836</v>
      </c>
      <c r="K164" s="5">
        <v>132</v>
      </c>
      <c r="L164" s="3" t="s">
        <v>22</v>
      </c>
      <c r="M164" s="3" t="s">
        <v>27</v>
      </c>
      <c r="P164" s="10">
        <f t="shared" si="4"/>
        <v>0.23101532992668297</v>
      </c>
      <c r="Q164" s="15">
        <f t="shared" si="5"/>
        <v>5199</v>
      </c>
    </row>
    <row r="165" spans="1:17" x14ac:dyDescent="0.3">
      <c r="A165" s="3" t="s">
        <v>346</v>
      </c>
      <c r="B165" s="3" t="s">
        <v>24</v>
      </c>
      <c r="C165" s="4" t="s">
        <v>89</v>
      </c>
      <c r="D165" s="3" t="s">
        <v>20</v>
      </c>
      <c r="E165" s="11" t="s">
        <v>100</v>
      </c>
      <c r="F165" s="5">
        <v>4934</v>
      </c>
      <c r="G165" s="5">
        <v>971</v>
      </c>
      <c r="H165" s="5">
        <v>156</v>
      </c>
      <c r="I165" s="5">
        <v>39472</v>
      </c>
      <c r="J165" s="5">
        <v>39025</v>
      </c>
      <c r="K165" s="5">
        <v>169</v>
      </c>
      <c r="L165" s="3" t="s">
        <v>35</v>
      </c>
      <c r="M165" s="3" t="s">
        <v>27</v>
      </c>
      <c r="N165" t="s">
        <v>600</v>
      </c>
      <c r="P165" s="10">
        <f t="shared" si="4"/>
        <v>0.15355188488042157</v>
      </c>
      <c r="Q165" s="15">
        <f t="shared" si="5"/>
        <v>6061</v>
      </c>
    </row>
    <row r="166" spans="1:17" x14ac:dyDescent="0.3">
      <c r="A166" s="3" t="s">
        <v>347</v>
      </c>
      <c r="B166" s="3" t="s">
        <v>13</v>
      </c>
      <c r="C166" s="4" t="s">
        <v>230</v>
      </c>
      <c r="D166" s="3" t="s">
        <v>20</v>
      </c>
      <c r="E166" s="11" t="s">
        <v>21</v>
      </c>
      <c r="F166" s="5">
        <v>3239</v>
      </c>
      <c r="G166" s="5">
        <v>43</v>
      </c>
      <c r="H166" s="5">
        <v>211</v>
      </c>
      <c r="I166" s="5">
        <v>22673</v>
      </c>
      <c r="J166" s="5">
        <v>22171</v>
      </c>
      <c r="K166" s="5">
        <v>230</v>
      </c>
      <c r="L166" s="3" t="s">
        <v>22</v>
      </c>
      <c r="M166" s="3" t="s">
        <v>27</v>
      </c>
      <c r="P166" s="10">
        <f t="shared" si="4"/>
        <v>0.15405989502933004</v>
      </c>
      <c r="Q166" s="15">
        <f t="shared" si="5"/>
        <v>3493</v>
      </c>
    </row>
    <row r="167" spans="1:17" x14ac:dyDescent="0.3">
      <c r="A167" s="3" t="s">
        <v>348</v>
      </c>
      <c r="B167" s="3" t="s">
        <v>13</v>
      </c>
      <c r="C167" s="4" t="s">
        <v>67</v>
      </c>
      <c r="D167" s="3" t="s">
        <v>15</v>
      </c>
      <c r="E167" s="11" t="s">
        <v>16</v>
      </c>
      <c r="F167" s="5">
        <v>1076</v>
      </c>
      <c r="G167" s="5">
        <v>313</v>
      </c>
      <c r="H167" s="5">
        <v>306</v>
      </c>
      <c r="I167" s="5">
        <v>11836</v>
      </c>
      <c r="J167" s="5">
        <v>11596</v>
      </c>
      <c r="K167" s="5">
        <v>104</v>
      </c>
      <c r="L167" s="3" t="s">
        <v>17</v>
      </c>
      <c r="M167" s="3" t="s">
        <v>59</v>
      </c>
      <c r="P167" s="10">
        <f t="shared" si="4"/>
        <v>0.14320716458262928</v>
      </c>
      <c r="Q167" s="15">
        <f t="shared" si="5"/>
        <v>1695</v>
      </c>
    </row>
    <row r="168" spans="1:17" x14ac:dyDescent="0.3">
      <c r="A168" s="3" t="s">
        <v>349</v>
      </c>
      <c r="B168" s="3" t="s">
        <v>30</v>
      </c>
      <c r="C168" s="4" t="s">
        <v>300</v>
      </c>
      <c r="D168" s="3" t="s">
        <v>20</v>
      </c>
      <c r="E168" s="11" t="s">
        <v>109</v>
      </c>
      <c r="F168" s="5">
        <v>4771</v>
      </c>
      <c r="G168" s="5">
        <v>818</v>
      </c>
      <c r="H168" s="5">
        <v>56</v>
      </c>
      <c r="I168" s="5">
        <v>57252</v>
      </c>
      <c r="J168" s="5">
        <v>56378</v>
      </c>
      <c r="K168" s="5">
        <v>150</v>
      </c>
      <c r="L168" s="6"/>
      <c r="M168" s="3" t="s">
        <v>59</v>
      </c>
      <c r="P168" s="10">
        <f t="shared" si="4"/>
        <v>9.859917557465242E-2</v>
      </c>
      <c r="Q168" s="15">
        <f t="shared" si="5"/>
        <v>5645</v>
      </c>
    </row>
    <row r="169" spans="1:17" x14ac:dyDescent="0.3">
      <c r="A169" s="3" t="s">
        <v>350</v>
      </c>
      <c r="B169" s="3" t="s">
        <v>40</v>
      </c>
      <c r="C169" s="4" t="s">
        <v>351</v>
      </c>
      <c r="D169" s="3" t="s">
        <v>20</v>
      </c>
      <c r="E169" s="11" t="s">
        <v>53</v>
      </c>
      <c r="F169" s="5">
        <v>2418</v>
      </c>
      <c r="G169" s="5">
        <v>754</v>
      </c>
      <c r="H169" s="5">
        <v>54</v>
      </c>
      <c r="I169" s="5">
        <v>43524</v>
      </c>
      <c r="J169" s="5">
        <v>42743</v>
      </c>
      <c r="K169" s="5">
        <v>182</v>
      </c>
      <c r="L169" s="3" t="s">
        <v>17</v>
      </c>
      <c r="M169" s="3" t="s">
        <v>34</v>
      </c>
      <c r="P169" s="10">
        <f t="shared" si="4"/>
        <v>7.412002573292896E-2</v>
      </c>
      <c r="Q169" s="15">
        <f t="shared" si="5"/>
        <v>3226</v>
      </c>
    </row>
    <row r="170" spans="1:17" x14ac:dyDescent="0.3">
      <c r="A170" s="3" t="s">
        <v>352</v>
      </c>
      <c r="B170" s="3" t="s">
        <v>24</v>
      </c>
      <c r="C170" s="4" t="s">
        <v>353</v>
      </c>
      <c r="D170" s="3" t="s">
        <v>71</v>
      </c>
      <c r="E170" s="11" t="s">
        <v>212</v>
      </c>
      <c r="F170" s="5">
        <v>3809</v>
      </c>
      <c r="G170" s="5">
        <v>273</v>
      </c>
      <c r="H170" s="5">
        <v>200</v>
      </c>
      <c r="I170" s="5">
        <v>34281</v>
      </c>
      <c r="J170" s="5">
        <v>33534</v>
      </c>
      <c r="K170" s="5">
        <v>83</v>
      </c>
      <c r="L170" s="3" t="s">
        <v>17</v>
      </c>
      <c r="M170" s="3" t="s">
        <v>34</v>
      </c>
      <c r="P170" s="10">
        <f t="shared" si="4"/>
        <v>0.12490884163239112</v>
      </c>
      <c r="Q170" s="15">
        <f t="shared" si="5"/>
        <v>4282</v>
      </c>
    </row>
    <row r="171" spans="1:17" x14ac:dyDescent="0.3">
      <c r="A171" s="3" t="s">
        <v>354</v>
      </c>
      <c r="B171" s="3" t="s">
        <v>13</v>
      </c>
      <c r="C171" s="4" t="s">
        <v>355</v>
      </c>
      <c r="D171" s="3" t="s">
        <v>20</v>
      </c>
      <c r="E171" s="11" t="s">
        <v>21</v>
      </c>
      <c r="F171" s="5">
        <v>3577</v>
      </c>
      <c r="G171" s="5">
        <v>596</v>
      </c>
      <c r="H171" s="5">
        <v>493</v>
      </c>
      <c r="I171" s="5">
        <v>67963</v>
      </c>
      <c r="J171" s="5">
        <v>67839</v>
      </c>
      <c r="K171" s="5">
        <v>53</v>
      </c>
      <c r="L171" s="3" t="s">
        <v>28</v>
      </c>
      <c r="M171" s="3" t="s">
        <v>27</v>
      </c>
      <c r="P171" s="10">
        <f t="shared" si="4"/>
        <v>6.8655003457763777E-2</v>
      </c>
      <c r="Q171" s="15">
        <f t="shared" si="5"/>
        <v>4666</v>
      </c>
    </row>
    <row r="172" spans="1:17" x14ac:dyDescent="0.3">
      <c r="A172" s="3" t="s">
        <v>356</v>
      </c>
      <c r="B172" s="3" t="s">
        <v>24</v>
      </c>
      <c r="C172" s="4" t="s">
        <v>357</v>
      </c>
      <c r="D172" s="3" t="s">
        <v>71</v>
      </c>
      <c r="E172" s="11" t="s">
        <v>212</v>
      </c>
      <c r="F172" s="5">
        <v>1018</v>
      </c>
      <c r="G172" s="5">
        <v>447</v>
      </c>
      <c r="H172" s="5">
        <v>332</v>
      </c>
      <c r="I172" s="5">
        <v>18324</v>
      </c>
      <c r="J172" s="5">
        <v>18164</v>
      </c>
      <c r="K172" s="5">
        <v>38</v>
      </c>
      <c r="L172" s="3" t="s">
        <v>22</v>
      </c>
      <c r="M172" s="3" t="s">
        <v>59</v>
      </c>
      <c r="P172" s="10">
        <f t="shared" si="4"/>
        <v>9.8068107400130972E-2</v>
      </c>
      <c r="Q172" s="15">
        <f t="shared" si="5"/>
        <v>1797</v>
      </c>
    </row>
    <row r="173" spans="1:17" x14ac:dyDescent="0.3">
      <c r="A173" s="3" t="s">
        <v>358</v>
      </c>
      <c r="B173" s="3" t="s">
        <v>40</v>
      </c>
      <c r="C173" s="4" t="s">
        <v>359</v>
      </c>
      <c r="D173" s="3" t="s">
        <v>42</v>
      </c>
      <c r="E173" s="11" t="s">
        <v>43</v>
      </c>
      <c r="F173" s="5">
        <v>3073</v>
      </c>
      <c r="G173" s="5">
        <v>553</v>
      </c>
      <c r="H173" s="5">
        <v>174</v>
      </c>
      <c r="I173" s="5">
        <v>52241</v>
      </c>
      <c r="J173" s="5">
        <v>51605</v>
      </c>
      <c r="K173" s="5">
        <v>246</v>
      </c>
      <c r="L173" s="3" t="s">
        <v>28</v>
      </c>
      <c r="M173" s="3" t="s">
        <v>34</v>
      </c>
      <c r="P173" s="10">
        <f t="shared" si="4"/>
        <v>7.2739802071170159E-2</v>
      </c>
      <c r="Q173" s="15">
        <f t="shared" si="5"/>
        <v>3800</v>
      </c>
    </row>
    <row r="174" spans="1:17" x14ac:dyDescent="0.3">
      <c r="A174" s="3" t="s">
        <v>360</v>
      </c>
      <c r="B174" s="3" t="s">
        <v>13</v>
      </c>
      <c r="C174" s="4" t="s">
        <v>361</v>
      </c>
      <c r="D174" s="3" t="s">
        <v>71</v>
      </c>
      <c r="E174" s="11" t="s">
        <v>141</v>
      </c>
      <c r="F174" s="5">
        <v>1330</v>
      </c>
      <c r="G174" s="5">
        <v>925</v>
      </c>
      <c r="H174" s="5">
        <v>35</v>
      </c>
      <c r="I174" s="5">
        <v>15960</v>
      </c>
      <c r="J174" s="5">
        <v>15379</v>
      </c>
      <c r="K174" s="5">
        <v>229</v>
      </c>
      <c r="L174" s="3" t="s">
        <v>28</v>
      </c>
      <c r="M174" s="3" t="s">
        <v>59</v>
      </c>
      <c r="P174" s="10">
        <f t="shared" si="4"/>
        <v>0.14348370927318296</v>
      </c>
      <c r="Q174" s="15">
        <f t="shared" si="5"/>
        <v>2290</v>
      </c>
    </row>
    <row r="175" spans="1:17" x14ac:dyDescent="0.3">
      <c r="A175" s="3" t="s">
        <v>362</v>
      </c>
      <c r="B175" s="3" t="s">
        <v>40</v>
      </c>
      <c r="C175" s="4" t="s">
        <v>167</v>
      </c>
      <c r="D175" s="3" t="s">
        <v>20</v>
      </c>
      <c r="E175" s="11" t="s">
        <v>53</v>
      </c>
      <c r="F175" s="5">
        <v>3828</v>
      </c>
      <c r="G175" s="5">
        <v>148</v>
      </c>
      <c r="H175" s="5">
        <v>253</v>
      </c>
      <c r="I175" s="5">
        <v>30624</v>
      </c>
      <c r="J175" s="5">
        <v>30229</v>
      </c>
      <c r="K175" s="5">
        <v>235</v>
      </c>
      <c r="L175" s="6"/>
      <c r="M175" s="3" t="s">
        <v>34</v>
      </c>
      <c r="P175" s="10">
        <f t="shared" si="4"/>
        <v>0.13809430512016718</v>
      </c>
      <c r="Q175" s="15">
        <f t="shared" si="5"/>
        <v>4229</v>
      </c>
    </row>
    <row r="176" spans="1:17" x14ac:dyDescent="0.3">
      <c r="A176" s="3" t="s">
        <v>363</v>
      </c>
      <c r="B176" s="3" t="s">
        <v>30</v>
      </c>
      <c r="C176" s="4" t="s">
        <v>364</v>
      </c>
      <c r="D176" s="3" t="s">
        <v>15</v>
      </c>
      <c r="E176" s="11" t="s">
        <v>79</v>
      </c>
      <c r="F176" s="5">
        <v>142</v>
      </c>
      <c r="G176" s="5">
        <v>784</v>
      </c>
      <c r="H176" s="5">
        <v>183</v>
      </c>
      <c r="I176" s="5">
        <v>1704</v>
      </c>
      <c r="J176" s="5">
        <v>995</v>
      </c>
      <c r="K176" s="5">
        <v>154</v>
      </c>
      <c r="L176" s="3" t="s">
        <v>35</v>
      </c>
      <c r="M176" s="3" t="s">
        <v>59</v>
      </c>
      <c r="P176" s="10">
        <f t="shared" si="4"/>
        <v>0.6508215962441315</v>
      </c>
      <c r="Q176" s="15">
        <f t="shared" si="5"/>
        <v>1109</v>
      </c>
    </row>
    <row r="177" spans="1:17" x14ac:dyDescent="0.3">
      <c r="A177" s="3" t="s">
        <v>365</v>
      </c>
      <c r="B177" s="3" t="s">
        <v>40</v>
      </c>
      <c r="C177" s="4" t="s">
        <v>366</v>
      </c>
      <c r="D177" s="3" t="s">
        <v>71</v>
      </c>
      <c r="E177" s="11" t="s">
        <v>72</v>
      </c>
      <c r="F177" s="5">
        <v>3798</v>
      </c>
      <c r="G177" s="5">
        <v>31</v>
      </c>
      <c r="H177" s="5">
        <v>279</v>
      </c>
      <c r="I177" s="5">
        <v>75960</v>
      </c>
      <c r="J177" s="5">
        <v>75813</v>
      </c>
      <c r="K177" s="5">
        <v>266</v>
      </c>
      <c r="L177" s="3" t="s">
        <v>17</v>
      </c>
      <c r="M177" s="3" t="s">
        <v>27</v>
      </c>
      <c r="P177" s="10">
        <f t="shared" si="4"/>
        <v>5.4081095313322801E-2</v>
      </c>
      <c r="Q177" s="15">
        <f t="shared" si="5"/>
        <v>4108</v>
      </c>
    </row>
    <row r="178" spans="1:17" x14ac:dyDescent="0.3">
      <c r="A178" s="3" t="s">
        <v>367</v>
      </c>
      <c r="B178" s="3" t="s">
        <v>30</v>
      </c>
      <c r="C178" s="4" t="s">
        <v>368</v>
      </c>
      <c r="D178" s="3" t="s">
        <v>42</v>
      </c>
      <c r="E178" s="11" t="s">
        <v>85</v>
      </c>
      <c r="F178" s="5">
        <v>3099</v>
      </c>
      <c r="G178" s="5">
        <v>694</v>
      </c>
      <c r="H178" s="5">
        <v>171</v>
      </c>
      <c r="I178" s="5">
        <v>43386</v>
      </c>
      <c r="J178" s="5">
        <v>42921</v>
      </c>
      <c r="K178" s="5">
        <v>52</v>
      </c>
      <c r="L178" s="3" t="s">
        <v>28</v>
      </c>
      <c r="M178" s="3" t="s">
        <v>27</v>
      </c>
      <c r="P178" s="10">
        <f t="shared" si="4"/>
        <v>9.1365878393951966E-2</v>
      </c>
      <c r="Q178" s="15">
        <f t="shared" si="5"/>
        <v>3964</v>
      </c>
    </row>
    <row r="179" spans="1:17" x14ac:dyDescent="0.3">
      <c r="A179" s="3" t="s">
        <v>369</v>
      </c>
      <c r="B179" s="3" t="s">
        <v>30</v>
      </c>
      <c r="C179" s="4" t="s">
        <v>199</v>
      </c>
      <c r="D179" s="3" t="s">
        <v>71</v>
      </c>
      <c r="E179" s="11" t="s">
        <v>82</v>
      </c>
      <c r="F179" s="5">
        <v>129</v>
      </c>
      <c r="G179" s="5">
        <v>643</v>
      </c>
      <c r="H179" s="5">
        <v>136</v>
      </c>
      <c r="I179" s="5">
        <v>1290</v>
      </c>
      <c r="J179" s="5">
        <v>839</v>
      </c>
      <c r="K179" s="5">
        <v>238</v>
      </c>
      <c r="L179" s="3" t="s">
        <v>35</v>
      </c>
      <c r="M179" s="3" t="s">
        <v>27</v>
      </c>
      <c r="P179" s="10">
        <f t="shared" si="4"/>
        <v>0.70387596899224802</v>
      </c>
      <c r="Q179" s="15">
        <f t="shared" si="5"/>
        <v>908</v>
      </c>
    </row>
    <row r="180" spans="1:17" x14ac:dyDescent="0.3">
      <c r="A180" s="3" t="s">
        <v>370</v>
      </c>
      <c r="B180" s="3" t="s">
        <v>40</v>
      </c>
      <c r="C180" s="4" t="s">
        <v>308</v>
      </c>
      <c r="D180" s="3" t="s">
        <v>42</v>
      </c>
      <c r="E180" s="11" t="s">
        <v>43</v>
      </c>
      <c r="F180" s="5">
        <v>3796</v>
      </c>
      <c r="G180" s="5">
        <v>667</v>
      </c>
      <c r="H180" s="5">
        <v>395</v>
      </c>
      <c r="I180" s="5">
        <v>64532</v>
      </c>
      <c r="J180" s="5">
        <v>63550</v>
      </c>
      <c r="K180" s="5">
        <v>292</v>
      </c>
      <c r="L180" s="6"/>
      <c r="M180" s="3" t="s">
        <v>27</v>
      </c>
      <c r="P180" s="10">
        <f t="shared" si="4"/>
        <v>7.5280481001673588E-2</v>
      </c>
      <c r="Q180" s="15">
        <f t="shared" si="5"/>
        <v>4858</v>
      </c>
    </row>
    <row r="181" spans="1:17" x14ac:dyDescent="0.3">
      <c r="A181" s="3" t="s">
        <v>371</v>
      </c>
      <c r="B181" s="3" t="s">
        <v>24</v>
      </c>
      <c r="C181" s="4" t="s">
        <v>353</v>
      </c>
      <c r="D181" s="3" t="s">
        <v>20</v>
      </c>
      <c r="E181" s="11" t="s">
        <v>100</v>
      </c>
      <c r="F181" s="5">
        <v>3711</v>
      </c>
      <c r="G181" s="5">
        <v>352</v>
      </c>
      <c r="H181" s="5">
        <v>290</v>
      </c>
      <c r="I181" s="5">
        <v>48243</v>
      </c>
      <c r="J181" s="5">
        <v>47579</v>
      </c>
      <c r="K181" s="5">
        <v>11</v>
      </c>
      <c r="L181" s="3" t="s">
        <v>17</v>
      </c>
      <c r="M181" s="3" t="s">
        <v>27</v>
      </c>
      <c r="P181" s="10">
        <f t="shared" si="4"/>
        <v>9.023070704558174E-2</v>
      </c>
      <c r="Q181" s="15">
        <f t="shared" si="5"/>
        <v>4353</v>
      </c>
    </row>
    <row r="182" spans="1:17" x14ac:dyDescent="0.3">
      <c r="A182" s="3" t="s">
        <v>372</v>
      </c>
      <c r="B182" s="3" t="s">
        <v>24</v>
      </c>
      <c r="C182" s="4" t="s">
        <v>373</v>
      </c>
      <c r="D182" s="3" t="s">
        <v>49</v>
      </c>
      <c r="E182" s="11" t="s">
        <v>50</v>
      </c>
      <c r="F182" s="5">
        <v>606</v>
      </c>
      <c r="G182" s="5">
        <v>789</v>
      </c>
      <c r="H182" s="5">
        <v>470</v>
      </c>
      <c r="I182" s="5">
        <v>7878</v>
      </c>
      <c r="J182" s="5">
        <v>7389</v>
      </c>
      <c r="K182" s="5">
        <v>239</v>
      </c>
      <c r="L182" s="3" t="s">
        <v>28</v>
      </c>
      <c r="M182" s="3" t="s">
        <v>34</v>
      </c>
      <c r="P182" s="10">
        <f t="shared" si="4"/>
        <v>0.23673521198273673</v>
      </c>
      <c r="Q182" s="15">
        <f t="shared" si="5"/>
        <v>1865</v>
      </c>
    </row>
    <row r="183" spans="1:17" x14ac:dyDescent="0.3">
      <c r="A183" s="3" t="s">
        <v>374</v>
      </c>
      <c r="B183" s="3" t="s">
        <v>40</v>
      </c>
      <c r="C183" s="4" t="s">
        <v>111</v>
      </c>
      <c r="D183" s="3" t="s">
        <v>49</v>
      </c>
      <c r="E183" s="11" t="s">
        <v>56</v>
      </c>
      <c r="F183" s="5">
        <v>4689</v>
      </c>
      <c r="G183" s="5">
        <v>134</v>
      </c>
      <c r="H183" s="5">
        <v>403</v>
      </c>
      <c r="I183" s="5">
        <v>51579</v>
      </c>
      <c r="J183" s="5">
        <v>50924</v>
      </c>
      <c r="K183" s="5">
        <v>173</v>
      </c>
      <c r="L183" s="3" t="s">
        <v>35</v>
      </c>
      <c r="M183" s="3" t="s">
        <v>27</v>
      </c>
      <c r="P183" s="10">
        <f t="shared" si="4"/>
        <v>0.10132030477519921</v>
      </c>
      <c r="Q183" s="15">
        <f t="shared" si="5"/>
        <v>5226</v>
      </c>
    </row>
    <row r="184" spans="1:17" x14ac:dyDescent="0.3">
      <c r="A184" s="3" t="s">
        <v>375</v>
      </c>
      <c r="B184" s="3" t="s">
        <v>30</v>
      </c>
      <c r="C184" s="4" t="s">
        <v>376</v>
      </c>
      <c r="D184" s="3" t="s">
        <v>32</v>
      </c>
      <c r="E184" s="11" t="s">
        <v>33</v>
      </c>
      <c r="F184" s="5">
        <v>360</v>
      </c>
      <c r="G184" s="5">
        <v>590</v>
      </c>
      <c r="H184" s="5">
        <v>393</v>
      </c>
      <c r="I184" s="5">
        <v>4680</v>
      </c>
      <c r="J184" s="5">
        <v>4322</v>
      </c>
      <c r="K184" s="5">
        <v>208</v>
      </c>
      <c r="L184" s="3" t="s">
        <v>22</v>
      </c>
      <c r="M184" s="3" t="s">
        <v>59</v>
      </c>
      <c r="P184" s="10">
        <f t="shared" si="4"/>
        <v>0.28696581196581195</v>
      </c>
      <c r="Q184" s="15">
        <f t="shared" si="5"/>
        <v>1343</v>
      </c>
    </row>
    <row r="185" spans="1:17" x14ac:dyDescent="0.3">
      <c r="A185" s="3" t="s">
        <v>377</v>
      </c>
      <c r="B185" s="3" t="s">
        <v>13</v>
      </c>
      <c r="C185" s="4" t="s">
        <v>378</v>
      </c>
      <c r="D185" s="3" t="s">
        <v>49</v>
      </c>
      <c r="E185" s="11" t="s">
        <v>128</v>
      </c>
      <c r="F185" s="5">
        <v>3215</v>
      </c>
      <c r="G185" s="5">
        <v>960</v>
      </c>
      <c r="H185" s="5">
        <v>202</v>
      </c>
      <c r="I185" s="5">
        <v>32150</v>
      </c>
      <c r="J185" s="5">
        <v>31404</v>
      </c>
      <c r="K185" s="5">
        <v>251</v>
      </c>
      <c r="L185" s="3" t="s">
        <v>17</v>
      </c>
      <c r="M185" s="3" t="s">
        <v>34</v>
      </c>
      <c r="P185" s="10">
        <f t="shared" si="4"/>
        <v>0.13614307931570763</v>
      </c>
      <c r="Q185" s="15">
        <f t="shared" si="5"/>
        <v>4377</v>
      </c>
    </row>
    <row r="186" spans="1:17" x14ac:dyDescent="0.3">
      <c r="A186" s="3" t="s">
        <v>379</v>
      </c>
      <c r="B186" s="3" t="s">
        <v>30</v>
      </c>
      <c r="C186" s="4" t="s">
        <v>380</v>
      </c>
      <c r="D186" s="3" t="s">
        <v>42</v>
      </c>
      <c r="E186" s="11" t="s">
        <v>85</v>
      </c>
      <c r="F186" s="5">
        <v>4523</v>
      </c>
      <c r="G186" s="5">
        <v>61</v>
      </c>
      <c r="H186" s="5">
        <v>157</v>
      </c>
      <c r="I186" s="5">
        <v>49753</v>
      </c>
      <c r="J186" s="5">
        <v>49329</v>
      </c>
      <c r="K186" s="5">
        <v>71</v>
      </c>
      <c r="L186" s="6"/>
      <c r="M186" s="3" t="s">
        <v>34</v>
      </c>
      <c r="P186" s="10">
        <f t="shared" si="4"/>
        <v>9.5290736237010829E-2</v>
      </c>
      <c r="Q186" s="15">
        <f t="shared" si="5"/>
        <v>4741</v>
      </c>
    </row>
    <row r="187" spans="1:17" x14ac:dyDescent="0.3">
      <c r="A187" s="3" t="s">
        <v>381</v>
      </c>
      <c r="B187" s="3" t="s">
        <v>40</v>
      </c>
      <c r="C187" s="4" t="s">
        <v>339</v>
      </c>
      <c r="D187" s="3" t="s">
        <v>42</v>
      </c>
      <c r="E187" s="11" t="s">
        <v>43</v>
      </c>
      <c r="F187" s="5">
        <v>4292</v>
      </c>
      <c r="G187" s="5">
        <v>51</v>
      </c>
      <c r="H187" s="5">
        <v>392</v>
      </c>
      <c r="I187" s="5">
        <v>55796</v>
      </c>
      <c r="J187" s="5">
        <v>54826</v>
      </c>
      <c r="K187" s="5">
        <v>264</v>
      </c>
      <c r="L187" s="3" t="s">
        <v>28</v>
      </c>
      <c r="M187" s="3" t="s">
        <v>34</v>
      </c>
      <c r="P187" s="10">
        <f t="shared" si="4"/>
        <v>8.4862714173059003E-2</v>
      </c>
      <c r="Q187" s="15">
        <f t="shared" si="5"/>
        <v>4735</v>
      </c>
    </row>
    <row r="188" spans="1:17" x14ac:dyDescent="0.3">
      <c r="A188" s="3" t="s">
        <v>382</v>
      </c>
      <c r="B188" s="3" t="s">
        <v>13</v>
      </c>
      <c r="C188" s="4" t="s">
        <v>383</v>
      </c>
      <c r="D188" s="3" t="s">
        <v>15</v>
      </c>
      <c r="E188" s="11" t="s">
        <v>16</v>
      </c>
      <c r="F188" s="5">
        <v>1644</v>
      </c>
      <c r="G188" s="5">
        <v>546</v>
      </c>
      <c r="H188" s="5">
        <v>150</v>
      </c>
      <c r="I188" s="5">
        <v>27948</v>
      </c>
      <c r="J188" s="5">
        <v>27184</v>
      </c>
      <c r="K188" s="5">
        <v>300</v>
      </c>
      <c r="L188" s="3" t="s">
        <v>28</v>
      </c>
      <c r="M188" s="3" t="s">
        <v>34</v>
      </c>
      <c r="P188" s="10">
        <f t="shared" si="4"/>
        <v>8.3726921425504502E-2</v>
      </c>
      <c r="Q188" s="15">
        <f t="shared" si="5"/>
        <v>2340</v>
      </c>
    </row>
    <row r="189" spans="1:17" x14ac:dyDescent="0.3">
      <c r="A189" s="3" t="s">
        <v>384</v>
      </c>
      <c r="B189" s="3" t="s">
        <v>24</v>
      </c>
      <c r="C189" s="4" t="s">
        <v>219</v>
      </c>
      <c r="D189" s="3" t="s">
        <v>15</v>
      </c>
      <c r="E189" s="11" t="s">
        <v>26</v>
      </c>
      <c r="F189" s="5">
        <v>2728</v>
      </c>
      <c r="G189" s="5">
        <v>533</v>
      </c>
      <c r="H189" s="5">
        <v>215</v>
      </c>
      <c r="I189" s="5">
        <v>40920</v>
      </c>
      <c r="J189" s="5">
        <v>40816</v>
      </c>
      <c r="K189" s="5">
        <v>137</v>
      </c>
      <c r="L189" s="3" t="s">
        <v>22</v>
      </c>
      <c r="M189" s="3" t="s">
        <v>59</v>
      </c>
      <c r="P189" s="10">
        <f t="shared" si="4"/>
        <v>8.4946236559139784E-2</v>
      </c>
      <c r="Q189" s="15">
        <f t="shared" si="5"/>
        <v>3476</v>
      </c>
    </row>
    <row r="190" spans="1:17" x14ac:dyDescent="0.3">
      <c r="A190" s="3" t="s">
        <v>385</v>
      </c>
      <c r="B190" s="3" t="s">
        <v>40</v>
      </c>
      <c r="C190" s="4" t="s">
        <v>227</v>
      </c>
      <c r="D190" s="3" t="s">
        <v>15</v>
      </c>
      <c r="E190" s="11" t="s">
        <v>62</v>
      </c>
      <c r="F190" s="5">
        <v>3360</v>
      </c>
      <c r="G190" s="5">
        <v>525</v>
      </c>
      <c r="H190" s="5">
        <v>500</v>
      </c>
      <c r="I190" s="5">
        <v>60480</v>
      </c>
      <c r="J190" s="5">
        <v>59610</v>
      </c>
      <c r="K190" s="5">
        <v>192</v>
      </c>
      <c r="L190" s="3" t="s">
        <v>17</v>
      </c>
      <c r="M190" s="3" t="s">
        <v>27</v>
      </c>
      <c r="P190" s="10">
        <f t="shared" si="4"/>
        <v>7.2503306878306875E-2</v>
      </c>
      <c r="Q190" s="15">
        <f t="shared" si="5"/>
        <v>4385</v>
      </c>
    </row>
    <row r="191" spans="1:17" x14ac:dyDescent="0.3">
      <c r="A191" s="3" t="s">
        <v>386</v>
      </c>
      <c r="B191" s="3" t="s">
        <v>24</v>
      </c>
      <c r="C191" s="4" t="s">
        <v>387</v>
      </c>
      <c r="D191" s="3" t="s">
        <v>20</v>
      </c>
      <c r="E191" s="11" t="s">
        <v>100</v>
      </c>
      <c r="F191" s="5">
        <v>1963</v>
      </c>
      <c r="G191" s="5">
        <v>213</v>
      </c>
      <c r="H191" s="5">
        <v>19</v>
      </c>
      <c r="I191" s="5">
        <v>39260</v>
      </c>
      <c r="J191" s="5">
        <v>38771</v>
      </c>
      <c r="K191" s="5">
        <v>145</v>
      </c>
      <c r="L191" s="6"/>
      <c r="M191" s="3" t="s">
        <v>59</v>
      </c>
      <c r="P191" s="10">
        <f t="shared" si="4"/>
        <v>5.5909322465613857E-2</v>
      </c>
      <c r="Q191" s="15">
        <f t="shared" si="5"/>
        <v>2195</v>
      </c>
    </row>
    <row r="192" spans="1:17" x14ac:dyDescent="0.3">
      <c r="A192" s="3" t="s">
        <v>388</v>
      </c>
      <c r="B192" s="3" t="s">
        <v>24</v>
      </c>
      <c r="C192" s="4" t="s">
        <v>353</v>
      </c>
      <c r="D192" s="3" t="s">
        <v>32</v>
      </c>
      <c r="E192" s="11" t="s">
        <v>150</v>
      </c>
      <c r="F192" s="5">
        <v>4285</v>
      </c>
      <c r="G192" s="5">
        <v>886</v>
      </c>
      <c r="H192" s="5">
        <v>376</v>
      </c>
      <c r="I192" s="5">
        <v>55705</v>
      </c>
      <c r="J192" s="5">
        <v>55556</v>
      </c>
      <c r="K192" s="5">
        <v>51</v>
      </c>
      <c r="L192" s="3" t="s">
        <v>28</v>
      </c>
      <c r="M192" s="3" t="s">
        <v>59</v>
      </c>
      <c r="P192" s="10">
        <f t="shared" si="4"/>
        <v>9.9578134817341346E-2</v>
      </c>
      <c r="Q192" s="15">
        <f t="shared" si="5"/>
        <v>5547</v>
      </c>
    </row>
    <row r="193" spans="1:17" x14ac:dyDescent="0.3">
      <c r="A193" s="3" t="s">
        <v>389</v>
      </c>
      <c r="B193" s="3" t="s">
        <v>30</v>
      </c>
      <c r="C193" s="4" t="s">
        <v>390</v>
      </c>
      <c r="D193" s="3" t="s">
        <v>71</v>
      </c>
      <c r="E193" s="11" t="s">
        <v>82</v>
      </c>
      <c r="F193" s="5">
        <v>1176</v>
      </c>
      <c r="G193" s="5">
        <v>464</v>
      </c>
      <c r="H193" s="5">
        <v>394</v>
      </c>
      <c r="I193" s="5">
        <v>14112</v>
      </c>
      <c r="J193" s="5">
        <v>13588</v>
      </c>
      <c r="K193" s="5">
        <v>272</v>
      </c>
      <c r="L193" s="6"/>
      <c r="M193" s="3" t="s">
        <v>34</v>
      </c>
      <c r="P193" s="10">
        <f t="shared" si="4"/>
        <v>0.1441326530612245</v>
      </c>
      <c r="Q193" s="15">
        <f t="shared" si="5"/>
        <v>2034</v>
      </c>
    </row>
    <row r="194" spans="1:17" x14ac:dyDescent="0.3">
      <c r="A194" s="3" t="s">
        <v>391</v>
      </c>
      <c r="B194" s="3" t="s">
        <v>13</v>
      </c>
      <c r="C194" s="4" t="s">
        <v>392</v>
      </c>
      <c r="D194" s="3" t="s">
        <v>49</v>
      </c>
      <c r="E194" s="11" t="s">
        <v>128</v>
      </c>
      <c r="F194" s="5">
        <v>4858</v>
      </c>
      <c r="G194" s="5">
        <v>317</v>
      </c>
      <c r="H194" s="5">
        <v>129</v>
      </c>
      <c r="I194" s="5">
        <v>53438</v>
      </c>
      <c r="J194" s="5">
        <v>52687</v>
      </c>
      <c r="K194" s="5">
        <v>223</v>
      </c>
      <c r="L194" s="3" t="s">
        <v>28</v>
      </c>
      <c r="M194" s="3" t="s">
        <v>34</v>
      </c>
      <c r="P194" s="10">
        <f t="shared" ref="P194:P257" si="6">(F194+G194+H194)/I194</f>
        <v>9.9255211647142488E-2</v>
      </c>
      <c r="Q194" s="15">
        <f t="shared" ref="Q194:Q257" si="7">F194+G194+H194</f>
        <v>5304</v>
      </c>
    </row>
    <row r="195" spans="1:17" x14ac:dyDescent="0.3">
      <c r="A195" s="3" t="s">
        <v>393</v>
      </c>
      <c r="B195" s="3" t="s">
        <v>24</v>
      </c>
      <c r="C195" s="4" t="s">
        <v>267</v>
      </c>
      <c r="D195" s="3" t="s">
        <v>32</v>
      </c>
      <c r="E195" s="11" t="s">
        <v>150</v>
      </c>
      <c r="F195" s="5">
        <v>4350</v>
      </c>
      <c r="G195" s="5">
        <v>771</v>
      </c>
      <c r="H195" s="5">
        <v>7</v>
      </c>
      <c r="I195" s="5">
        <v>60900</v>
      </c>
      <c r="J195" s="5">
        <v>60592</v>
      </c>
      <c r="K195" s="5">
        <v>195</v>
      </c>
      <c r="L195" s="3" t="s">
        <v>17</v>
      </c>
      <c r="M195" s="3" t="s">
        <v>34</v>
      </c>
      <c r="P195" s="10">
        <f t="shared" si="6"/>
        <v>8.4203612479474554E-2</v>
      </c>
      <c r="Q195" s="15">
        <f t="shared" si="7"/>
        <v>5128</v>
      </c>
    </row>
    <row r="196" spans="1:17" x14ac:dyDescent="0.3">
      <c r="A196" s="3" t="s">
        <v>394</v>
      </c>
      <c r="B196" s="3" t="s">
        <v>30</v>
      </c>
      <c r="C196" s="4" t="s">
        <v>395</v>
      </c>
      <c r="D196" s="3" t="s">
        <v>42</v>
      </c>
      <c r="E196" s="11" t="s">
        <v>85</v>
      </c>
      <c r="F196" s="5">
        <v>914</v>
      </c>
      <c r="G196" s="5">
        <v>464</v>
      </c>
      <c r="H196" s="5">
        <v>246</v>
      </c>
      <c r="I196" s="5">
        <v>11882</v>
      </c>
      <c r="J196" s="5">
        <v>11500</v>
      </c>
      <c r="K196" s="5">
        <v>282</v>
      </c>
      <c r="L196" s="3" t="s">
        <v>35</v>
      </c>
      <c r="M196" s="3" t="s">
        <v>59</v>
      </c>
      <c r="N196" t="s">
        <v>27</v>
      </c>
      <c r="O196" t="s">
        <v>600</v>
      </c>
      <c r="P196" s="10">
        <f t="shared" si="6"/>
        <v>0.13667732704931829</v>
      </c>
      <c r="Q196" s="15">
        <f t="shared" si="7"/>
        <v>1624</v>
      </c>
    </row>
    <row r="197" spans="1:17" x14ac:dyDescent="0.3">
      <c r="A197" s="3" t="s">
        <v>396</v>
      </c>
      <c r="B197" s="3" t="s">
        <v>30</v>
      </c>
      <c r="C197" s="4" t="s">
        <v>397</v>
      </c>
      <c r="D197" s="3" t="s">
        <v>20</v>
      </c>
      <c r="E197" s="11" t="s">
        <v>109</v>
      </c>
      <c r="F197" s="5">
        <v>1813</v>
      </c>
      <c r="G197" s="5">
        <v>623</v>
      </c>
      <c r="H197" s="5">
        <v>72</v>
      </c>
      <c r="I197" s="5">
        <v>19943</v>
      </c>
      <c r="J197" s="5">
        <v>18959</v>
      </c>
      <c r="K197" s="5">
        <v>85</v>
      </c>
      <c r="L197" s="3" t="s">
        <v>28</v>
      </c>
      <c r="M197" s="3" t="s">
        <v>34</v>
      </c>
      <c r="P197" s="10">
        <f t="shared" si="6"/>
        <v>0.12575841147269717</v>
      </c>
      <c r="Q197" s="15">
        <f t="shared" si="7"/>
        <v>2508</v>
      </c>
    </row>
    <row r="198" spans="1:17" x14ac:dyDescent="0.3">
      <c r="A198" s="3" t="s">
        <v>398</v>
      </c>
      <c r="B198" s="3" t="s">
        <v>13</v>
      </c>
      <c r="C198" s="4" t="s">
        <v>332</v>
      </c>
      <c r="D198" s="3" t="s">
        <v>15</v>
      </c>
      <c r="E198" s="11" t="s">
        <v>16</v>
      </c>
      <c r="F198" s="5">
        <v>4782</v>
      </c>
      <c r="G198" s="5">
        <v>721</v>
      </c>
      <c r="H198" s="5">
        <v>82</v>
      </c>
      <c r="I198" s="5">
        <v>86076</v>
      </c>
      <c r="J198" s="5">
        <v>85339</v>
      </c>
      <c r="K198" s="5">
        <v>19</v>
      </c>
      <c r="L198" s="3" t="s">
        <v>17</v>
      </c>
      <c r="M198" s="3" t="s">
        <v>34</v>
      </c>
      <c r="P198" s="10">
        <f t="shared" si="6"/>
        <v>6.4884520656164318E-2</v>
      </c>
      <c r="Q198" s="15">
        <f t="shared" si="7"/>
        <v>5585</v>
      </c>
    </row>
    <row r="199" spans="1:17" x14ac:dyDescent="0.3">
      <c r="A199" s="3" t="s">
        <v>399</v>
      </c>
      <c r="B199" s="3" t="s">
        <v>13</v>
      </c>
      <c r="C199" s="4" t="s">
        <v>400</v>
      </c>
      <c r="D199" s="3" t="s">
        <v>49</v>
      </c>
      <c r="E199" s="11" t="s">
        <v>128</v>
      </c>
      <c r="F199" s="5">
        <v>1048</v>
      </c>
      <c r="G199" s="5">
        <v>374</v>
      </c>
      <c r="H199" s="5">
        <v>450</v>
      </c>
      <c r="I199" s="5">
        <v>9432</v>
      </c>
      <c r="J199" s="5">
        <v>8882</v>
      </c>
      <c r="K199" s="5">
        <v>158</v>
      </c>
      <c r="L199" s="3" t="s">
        <v>28</v>
      </c>
      <c r="M199" s="3" t="s">
        <v>27</v>
      </c>
      <c r="P199" s="10">
        <f t="shared" si="6"/>
        <v>0.19847328244274809</v>
      </c>
      <c r="Q199" s="15">
        <f t="shared" si="7"/>
        <v>1872</v>
      </c>
    </row>
    <row r="200" spans="1:17" x14ac:dyDescent="0.3">
      <c r="A200" s="3" t="s">
        <v>401</v>
      </c>
      <c r="B200" s="3" t="s">
        <v>24</v>
      </c>
      <c r="C200" s="4" t="s">
        <v>117</v>
      </c>
      <c r="D200" s="3" t="s">
        <v>42</v>
      </c>
      <c r="E200" s="11" t="s">
        <v>65</v>
      </c>
      <c r="F200" s="5">
        <v>2509</v>
      </c>
      <c r="G200" s="5">
        <v>324</v>
      </c>
      <c r="H200" s="5">
        <v>171</v>
      </c>
      <c r="I200" s="5">
        <v>35126</v>
      </c>
      <c r="J200" s="5">
        <v>34685</v>
      </c>
      <c r="K200" s="5">
        <v>277</v>
      </c>
      <c r="L200" s="3" t="s">
        <v>22</v>
      </c>
      <c r="M200" s="3" t="s">
        <v>27</v>
      </c>
      <c r="P200" s="10">
        <f t="shared" si="6"/>
        <v>8.5520696919660646E-2</v>
      </c>
      <c r="Q200" s="15">
        <f t="shared" si="7"/>
        <v>3004</v>
      </c>
    </row>
    <row r="201" spans="1:17" x14ac:dyDescent="0.3">
      <c r="A201" s="3" t="s">
        <v>402</v>
      </c>
      <c r="B201" s="3" t="s">
        <v>40</v>
      </c>
      <c r="C201" s="4" t="s">
        <v>403</v>
      </c>
      <c r="D201" s="3" t="s">
        <v>15</v>
      </c>
      <c r="E201" s="11" t="s">
        <v>62</v>
      </c>
      <c r="F201" s="5">
        <v>3718</v>
      </c>
      <c r="G201" s="5">
        <v>385</v>
      </c>
      <c r="H201" s="5">
        <v>310</v>
      </c>
      <c r="I201" s="5">
        <v>70642</v>
      </c>
      <c r="J201" s="5">
        <v>69749</v>
      </c>
      <c r="K201" s="5">
        <v>233</v>
      </c>
      <c r="L201" s="3" t="s">
        <v>22</v>
      </c>
      <c r="M201" s="3" t="s">
        <v>27</v>
      </c>
      <c r="P201" s="10">
        <f t="shared" si="6"/>
        <v>6.246991874522239E-2</v>
      </c>
      <c r="Q201" s="15">
        <f t="shared" si="7"/>
        <v>4413</v>
      </c>
    </row>
    <row r="202" spans="1:17" x14ac:dyDescent="0.3">
      <c r="A202" s="3" t="s">
        <v>404</v>
      </c>
      <c r="B202" s="3" t="s">
        <v>13</v>
      </c>
      <c r="C202" s="4" t="s">
        <v>405</v>
      </c>
      <c r="D202" s="3" t="s">
        <v>15</v>
      </c>
      <c r="E202" s="11" t="s">
        <v>16</v>
      </c>
      <c r="F202" s="5">
        <v>802</v>
      </c>
      <c r="G202" s="5">
        <v>262</v>
      </c>
      <c r="H202" s="5">
        <v>244</v>
      </c>
      <c r="I202" s="5">
        <v>14436</v>
      </c>
      <c r="J202" s="5">
        <v>14280</v>
      </c>
      <c r="K202" s="5">
        <v>49</v>
      </c>
      <c r="L202" s="3" t="s">
        <v>17</v>
      </c>
      <c r="M202" s="3" t="s">
        <v>34</v>
      </c>
      <c r="P202" s="10">
        <f t="shared" si="6"/>
        <v>9.0606816292601824E-2</v>
      </c>
      <c r="Q202" s="15">
        <f t="shared" si="7"/>
        <v>1308</v>
      </c>
    </row>
    <row r="203" spans="1:17" x14ac:dyDescent="0.3">
      <c r="A203" s="3" t="s">
        <v>406</v>
      </c>
      <c r="B203" s="3" t="s">
        <v>40</v>
      </c>
      <c r="C203" s="4" t="s">
        <v>407</v>
      </c>
      <c r="D203" s="3" t="s">
        <v>49</v>
      </c>
      <c r="E203" s="11" t="s">
        <v>56</v>
      </c>
      <c r="F203" s="5">
        <v>1871</v>
      </c>
      <c r="G203" s="5">
        <v>252</v>
      </c>
      <c r="H203" s="5">
        <v>335</v>
      </c>
      <c r="I203" s="5">
        <v>29936</v>
      </c>
      <c r="J203" s="5">
        <v>29576</v>
      </c>
      <c r="K203" s="5">
        <v>288</v>
      </c>
      <c r="L203" s="3" t="s">
        <v>28</v>
      </c>
      <c r="M203" s="3" t="s">
        <v>34</v>
      </c>
      <c r="P203" s="10">
        <f t="shared" si="6"/>
        <v>8.2108498129342594E-2</v>
      </c>
      <c r="Q203" s="15">
        <f t="shared" si="7"/>
        <v>2458</v>
      </c>
    </row>
    <row r="204" spans="1:17" x14ac:dyDescent="0.3">
      <c r="A204" s="3" t="s">
        <v>408</v>
      </c>
      <c r="B204" s="3" t="s">
        <v>30</v>
      </c>
      <c r="C204" s="4" t="s">
        <v>409</v>
      </c>
      <c r="D204" s="3" t="s">
        <v>42</v>
      </c>
      <c r="E204" s="11" t="s">
        <v>85</v>
      </c>
      <c r="F204" s="5">
        <v>3773</v>
      </c>
      <c r="G204" s="5">
        <v>299</v>
      </c>
      <c r="H204" s="5">
        <v>38</v>
      </c>
      <c r="I204" s="5">
        <v>71687</v>
      </c>
      <c r="J204" s="5">
        <v>71447</v>
      </c>
      <c r="K204" s="5">
        <v>286</v>
      </c>
      <c r="L204" s="3" t="s">
        <v>17</v>
      </c>
      <c r="M204" s="3" t="s">
        <v>59</v>
      </c>
      <c r="P204" s="10">
        <f t="shared" si="6"/>
        <v>5.7332570758993957E-2</v>
      </c>
      <c r="Q204" s="15">
        <f t="shared" si="7"/>
        <v>4110</v>
      </c>
    </row>
    <row r="205" spans="1:17" x14ac:dyDescent="0.3">
      <c r="A205" s="3" t="s">
        <v>410</v>
      </c>
      <c r="B205" s="3" t="s">
        <v>30</v>
      </c>
      <c r="C205" s="4" t="s">
        <v>327</v>
      </c>
      <c r="D205" s="3" t="s">
        <v>42</v>
      </c>
      <c r="E205" s="11" t="s">
        <v>85</v>
      </c>
      <c r="F205" s="5">
        <v>2234</v>
      </c>
      <c r="G205" s="5">
        <v>653</v>
      </c>
      <c r="H205" s="5">
        <v>432</v>
      </c>
      <c r="I205" s="5">
        <v>11170</v>
      </c>
      <c r="J205" s="5">
        <v>10569</v>
      </c>
      <c r="K205" s="5">
        <v>198</v>
      </c>
      <c r="L205" s="3" t="s">
        <v>28</v>
      </c>
      <c r="M205" s="3" t="s">
        <v>59</v>
      </c>
      <c r="P205" s="10">
        <f t="shared" si="6"/>
        <v>0.29713518352730528</v>
      </c>
      <c r="Q205" s="15">
        <f t="shared" si="7"/>
        <v>3319</v>
      </c>
    </row>
    <row r="206" spans="1:17" x14ac:dyDescent="0.3">
      <c r="A206" s="3" t="s">
        <v>411</v>
      </c>
      <c r="B206" s="3" t="s">
        <v>13</v>
      </c>
      <c r="C206" s="4" t="s">
        <v>298</v>
      </c>
      <c r="D206" s="3" t="s">
        <v>71</v>
      </c>
      <c r="E206" s="11" t="s">
        <v>141</v>
      </c>
      <c r="F206" s="5">
        <v>3820</v>
      </c>
      <c r="G206" s="5">
        <v>697</v>
      </c>
      <c r="H206" s="5">
        <v>268</v>
      </c>
      <c r="I206" s="5">
        <v>45840</v>
      </c>
      <c r="J206" s="5">
        <v>45631</v>
      </c>
      <c r="K206" s="5">
        <v>171</v>
      </c>
      <c r="L206" s="3" t="s">
        <v>35</v>
      </c>
      <c r="M206" s="3" t="s">
        <v>27</v>
      </c>
      <c r="N206" t="s">
        <v>592</v>
      </c>
      <c r="P206" s="10">
        <f t="shared" si="6"/>
        <v>0.1043848167539267</v>
      </c>
      <c r="Q206" s="15">
        <f t="shared" si="7"/>
        <v>4785</v>
      </c>
    </row>
    <row r="207" spans="1:17" x14ac:dyDescent="0.3">
      <c r="A207" s="3" t="s">
        <v>412</v>
      </c>
      <c r="B207" s="3" t="s">
        <v>13</v>
      </c>
      <c r="C207" s="4" t="s">
        <v>45</v>
      </c>
      <c r="D207" s="3" t="s">
        <v>20</v>
      </c>
      <c r="E207" s="11" t="s">
        <v>21</v>
      </c>
      <c r="F207" s="5">
        <v>941</v>
      </c>
      <c r="G207" s="5">
        <v>121</v>
      </c>
      <c r="H207" s="5">
        <v>458</v>
      </c>
      <c r="I207" s="5">
        <v>14115</v>
      </c>
      <c r="J207" s="5">
        <v>13838</v>
      </c>
      <c r="K207" s="5">
        <v>87</v>
      </c>
      <c r="L207" s="3" t="s">
        <v>17</v>
      </c>
      <c r="M207" s="3" t="s">
        <v>34</v>
      </c>
      <c r="P207" s="10">
        <f t="shared" si="6"/>
        <v>0.10768685795253277</v>
      </c>
      <c r="Q207" s="15">
        <f t="shared" si="7"/>
        <v>1520</v>
      </c>
    </row>
    <row r="208" spans="1:17" x14ac:dyDescent="0.3">
      <c r="A208" s="3" t="s">
        <v>413</v>
      </c>
      <c r="B208" s="3" t="s">
        <v>13</v>
      </c>
      <c r="C208" s="4" t="s">
        <v>414</v>
      </c>
      <c r="D208" s="3" t="s">
        <v>42</v>
      </c>
      <c r="E208" s="11" t="s">
        <v>46</v>
      </c>
      <c r="F208" s="5">
        <v>4274</v>
      </c>
      <c r="G208" s="5">
        <v>340</v>
      </c>
      <c r="H208" s="5">
        <v>281</v>
      </c>
      <c r="I208" s="5">
        <v>34192</v>
      </c>
      <c r="J208" s="5">
        <v>33446</v>
      </c>
      <c r="K208" s="5">
        <v>129</v>
      </c>
      <c r="L208" s="3" t="s">
        <v>28</v>
      </c>
      <c r="M208" s="3" t="s">
        <v>27</v>
      </c>
      <c r="N208" t="s">
        <v>592</v>
      </c>
      <c r="P208" s="10">
        <f t="shared" si="6"/>
        <v>0.14316214319138981</v>
      </c>
      <c r="Q208" s="15">
        <f t="shared" si="7"/>
        <v>4895</v>
      </c>
    </row>
    <row r="209" spans="1:17" x14ac:dyDescent="0.3">
      <c r="A209" s="3" t="s">
        <v>415</v>
      </c>
      <c r="B209" s="3" t="s">
        <v>24</v>
      </c>
      <c r="C209" s="4" t="s">
        <v>45</v>
      </c>
      <c r="D209" s="3" t="s">
        <v>71</v>
      </c>
      <c r="E209" s="11" t="s">
        <v>212</v>
      </c>
      <c r="F209" s="5">
        <v>2949</v>
      </c>
      <c r="G209" s="5">
        <v>476</v>
      </c>
      <c r="H209" s="5">
        <v>403</v>
      </c>
      <c r="I209" s="5">
        <v>44235</v>
      </c>
      <c r="J209" s="5">
        <v>43705</v>
      </c>
      <c r="K209" s="5">
        <v>135</v>
      </c>
      <c r="L209" s="3" t="s">
        <v>22</v>
      </c>
      <c r="M209" s="3" t="s">
        <v>27</v>
      </c>
      <c r="P209" s="10">
        <f t="shared" si="6"/>
        <v>8.6537809426924378E-2</v>
      </c>
      <c r="Q209" s="15">
        <f t="shared" si="7"/>
        <v>3828</v>
      </c>
    </row>
    <row r="210" spans="1:17" x14ac:dyDescent="0.3">
      <c r="A210" s="3" t="s">
        <v>416</v>
      </c>
      <c r="B210" s="3" t="s">
        <v>13</v>
      </c>
      <c r="C210" s="4" t="s">
        <v>417</v>
      </c>
      <c r="D210" s="3" t="s">
        <v>71</v>
      </c>
      <c r="E210" s="11" t="s">
        <v>141</v>
      </c>
      <c r="F210" s="5">
        <v>3160</v>
      </c>
      <c r="G210" s="5">
        <v>204</v>
      </c>
      <c r="H210" s="5">
        <v>297</v>
      </c>
      <c r="I210" s="5">
        <v>44240</v>
      </c>
      <c r="J210" s="5">
        <v>43666</v>
      </c>
      <c r="K210" s="5">
        <v>49</v>
      </c>
      <c r="L210" s="3" t="s">
        <v>35</v>
      </c>
      <c r="M210" s="3" t="s">
        <v>59</v>
      </c>
      <c r="N210" t="s">
        <v>600</v>
      </c>
      <c r="P210" s="10">
        <f t="shared" si="6"/>
        <v>8.2753164556962022E-2</v>
      </c>
      <c r="Q210" s="15">
        <f t="shared" si="7"/>
        <v>3661</v>
      </c>
    </row>
    <row r="211" spans="1:17" x14ac:dyDescent="0.3">
      <c r="A211" s="3" t="s">
        <v>418</v>
      </c>
      <c r="B211" s="3" t="s">
        <v>24</v>
      </c>
      <c r="C211" s="4" t="s">
        <v>341</v>
      </c>
      <c r="D211" s="3" t="s">
        <v>49</v>
      </c>
      <c r="E211" s="11" t="s">
        <v>50</v>
      </c>
      <c r="F211" s="5">
        <v>257</v>
      </c>
      <c r="G211" s="5">
        <v>966</v>
      </c>
      <c r="H211" s="5">
        <v>398</v>
      </c>
      <c r="I211" s="5">
        <v>3341</v>
      </c>
      <c r="J211" s="5">
        <v>2753</v>
      </c>
      <c r="K211" s="5">
        <v>287</v>
      </c>
      <c r="L211" s="3" t="s">
        <v>17</v>
      </c>
      <c r="M211" s="3" t="s">
        <v>59</v>
      </c>
      <c r="P211" s="10">
        <f t="shared" si="6"/>
        <v>0.48518407662376534</v>
      </c>
      <c r="Q211" s="15">
        <f t="shared" si="7"/>
        <v>1621</v>
      </c>
    </row>
    <row r="212" spans="1:17" x14ac:dyDescent="0.3">
      <c r="A212" s="3" t="s">
        <v>419</v>
      </c>
      <c r="B212" s="3" t="s">
        <v>13</v>
      </c>
      <c r="C212" s="4" t="s">
        <v>420</v>
      </c>
      <c r="D212" s="3" t="s">
        <v>42</v>
      </c>
      <c r="E212" s="11" t="s">
        <v>46</v>
      </c>
      <c r="F212" s="5">
        <v>2120</v>
      </c>
      <c r="G212" s="5">
        <v>38</v>
      </c>
      <c r="H212" s="5">
        <v>212</v>
      </c>
      <c r="I212" s="5">
        <v>12720</v>
      </c>
      <c r="J212" s="5">
        <v>12564</v>
      </c>
      <c r="K212" s="5">
        <v>21</v>
      </c>
      <c r="L212" s="3" t="s">
        <v>35</v>
      </c>
      <c r="M212" s="3" t="s">
        <v>59</v>
      </c>
      <c r="P212" s="10">
        <f t="shared" si="6"/>
        <v>0.18632075471698112</v>
      </c>
      <c r="Q212" s="15">
        <f t="shared" si="7"/>
        <v>2370</v>
      </c>
    </row>
    <row r="213" spans="1:17" x14ac:dyDescent="0.3">
      <c r="A213" s="3" t="s">
        <v>421</v>
      </c>
      <c r="B213" s="3" t="s">
        <v>24</v>
      </c>
      <c r="C213" s="4" t="s">
        <v>191</v>
      </c>
      <c r="D213" s="3" t="s">
        <v>71</v>
      </c>
      <c r="E213" s="11" t="s">
        <v>212</v>
      </c>
      <c r="F213" s="5">
        <v>3874</v>
      </c>
      <c r="G213" s="5">
        <v>884</v>
      </c>
      <c r="H213" s="5">
        <v>19</v>
      </c>
      <c r="I213" s="5">
        <v>38740</v>
      </c>
      <c r="J213" s="5">
        <v>38552</v>
      </c>
      <c r="K213" s="5">
        <v>219</v>
      </c>
      <c r="L213" s="3" t="s">
        <v>22</v>
      </c>
      <c r="M213" s="3" t="s">
        <v>27</v>
      </c>
      <c r="P213" s="10">
        <f t="shared" si="6"/>
        <v>0.123309241094476</v>
      </c>
      <c r="Q213" s="15">
        <f t="shared" si="7"/>
        <v>4777</v>
      </c>
    </row>
    <row r="214" spans="1:17" x14ac:dyDescent="0.3">
      <c r="A214" s="3" t="s">
        <v>422</v>
      </c>
      <c r="B214" s="3" t="s">
        <v>40</v>
      </c>
      <c r="C214" s="4" t="s">
        <v>423</v>
      </c>
      <c r="D214" s="3" t="s">
        <v>42</v>
      </c>
      <c r="E214" s="11" t="s">
        <v>43</v>
      </c>
      <c r="F214" s="5">
        <v>2696</v>
      </c>
      <c r="G214" s="5">
        <v>628</v>
      </c>
      <c r="H214" s="5">
        <v>443</v>
      </c>
      <c r="I214" s="5">
        <v>45832</v>
      </c>
      <c r="J214" s="5">
        <v>45632</v>
      </c>
      <c r="K214" s="5">
        <v>248</v>
      </c>
      <c r="L214" s="3" t="s">
        <v>35</v>
      </c>
      <c r="M214" s="3" t="s">
        <v>34</v>
      </c>
      <c r="P214" s="10">
        <f t="shared" si="6"/>
        <v>8.21914819340199E-2</v>
      </c>
      <c r="Q214" s="15">
        <f t="shared" si="7"/>
        <v>3767</v>
      </c>
    </row>
    <row r="215" spans="1:17" x14ac:dyDescent="0.3">
      <c r="A215" s="3" t="s">
        <v>424</v>
      </c>
      <c r="B215" s="3" t="s">
        <v>30</v>
      </c>
      <c r="C215" s="4" t="s">
        <v>14</v>
      </c>
      <c r="D215" s="3" t="s">
        <v>49</v>
      </c>
      <c r="E215" s="11" t="s">
        <v>209</v>
      </c>
      <c r="F215" s="5">
        <v>521</v>
      </c>
      <c r="G215" s="5">
        <v>746</v>
      </c>
      <c r="H215" s="5">
        <v>315</v>
      </c>
      <c r="I215" s="5">
        <v>4168</v>
      </c>
      <c r="J215" s="5">
        <v>3399</v>
      </c>
      <c r="K215" s="5">
        <v>282</v>
      </c>
      <c r="L215" s="3" t="s">
        <v>22</v>
      </c>
      <c r="M215" s="3" t="s">
        <v>59</v>
      </c>
      <c r="P215" s="10">
        <f t="shared" si="6"/>
        <v>0.37955854126679461</v>
      </c>
      <c r="Q215" s="15">
        <f t="shared" si="7"/>
        <v>1582</v>
      </c>
    </row>
    <row r="216" spans="1:17" x14ac:dyDescent="0.3">
      <c r="A216" s="3" t="s">
        <v>425</v>
      </c>
      <c r="B216" s="3" t="s">
        <v>40</v>
      </c>
      <c r="C216" s="4" t="s">
        <v>426</v>
      </c>
      <c r="D216" s="3" t="s">
        <v>49</v>
      </c>
      <c r="E216" s="11" t="s">
        <v>56</v>
      </c>
      <c r="F216" s="5">
        <v>4872</v>
      </c>
      <c r="G216" s="5">
        <v>925</v>
      </c>
      <c r="H216" s="5">
        <v>176</v>
      </c>
      <c r="I216" s="5">
        <v>82824</v>
      </c>
      <c r="J216" s="5">
        <v>82543</v>
      </c>
      <c r="K216" s="5">
        <v>89</v>
      </c>
      <c r="L216" s="3" t="s">
        <v>22</v>
      </c>
      <c r="M216" s="3" t="s">
        <v>34</v>
      </c>
      <c r="P216" s="10">
        <f t="shared" si="6"/>
        <v>7.2116777745580993E-2</v>
      </c>
      <c r="Q216" s="15">
        <f t="shared" si="7"/>
        <v>5973</v>
      </c>
    </row>
    <row r="217" spans="1:17" x14ac:dyDescent="0.3">
      <c r="A217" s="3" t="s">
        <v>427</v>
      </c>
      <c r="B217" s="3" t="s">
        <v>24</v>
      </c>
      <c r="C217" s="4" t="s">
        <v>261</v>
      </c>
      <c r="D217" s="3" t="s">
        <v>32</v>
      </c>
      <c r="E217" s="11" t="s">
        <v>150</v>
      </c>
      <c r="F217" s="5">
        <v>1509</v>
      </c>
      <c r="G217" s="5">
        <v>88</v>
      </c>
      <c r="H217" s="5">
        <v>163</v>
      </c>
      <c r="I217" s="5">
        <v>30180</v>
      </c>
      <c r="J217" s="5">
        <v>29689</v>
      </c>
      <c r="K217" s="5">
        <v>119</v>
      </c>
      <c r="L217" s="3" t="s">
        <v>22</v>
      </c>
      <c r="M217" s="3" t="s">
        <v>34</v>
      </c>
      <c r="P217" s="10">
        <f t="shared" si="6"/>
        <v>5.8316766070245198E-2</v>
      </c>
      <c r="Q217" s="15">
        <f t="shared" si="7"/>
        <v>1760</v>
      </c>
    </row>
    <row r="218" spans="1:17" x14ac:dyDescent="0.3">
      <c r="A218" s="3" t="s">
        <v>428</v>
      </c>
      <c r="B218" s="3" t="s">
        <v>40</v>
      </c>
      <c r="C218" s="4" t="s">
        <v>353</v>
      </c>
      <c r="D218" s="3" t="s">
        <v>49</v>
      </c>
      <c r="E218" s="11" t="s">
        <v>56</v>
      </c>
      <c r="F218" s="5">
        <v>4606</v>
      </c>
      <c r="G218" s="5">
        <v>931</v>
      </c>
      <c r="H218" s="5">
        <v>230</v>
      </c>
      <c r="I218" s="5">
        <v>92120</v>
      </c>
      <c r="J218" s="5">
        <v>91440</v>
      </c>
      <c r="K218" s="5">
        <v>56</v>
      </c>
      <c r="L218" s="6"/>
      <c r="M218" s="3" t="s">
        <v>27</v>
      </c>
      <c r="P218" s="10">
        <f t="shared" si="6"/>
        <v>6.2603126356925748E-2</v>
      </c>
      <c r="Q218" s="15">
        <f t="shared" si="7"/>
        <v>5767</v>
      </c>
    </row>
    <row r="219" spans="1:17" x14ac:dyDescent="0.3">
      <c r="A219" s="3" t="s">
        <v>429</v>
      </c>
      <c r="B219" s="3" t="s">
        <v>40</v>
      </c>
      <c r="C219" s="4" t="s">
        <v>247</v>
      </c>
      <c r="D219" s="3" t="s">
        <v>42</v>
      </c>
      <c r="E219" s="11" t="s">
        <v>43</v>
      </c>
      <c r="F219" s="5">
        <v>1869</v>
      </c>
      <c r="G219" s="5">
        <v>453</v>
      </c>
      <c r="H219" s="5">
        <v>490</v>
      </c>
      <c r="I219" s="5">
        <v>14952</v>
      </c>
      <c r="J219" s="5">
        <v>14309</v>
      </c>
      <c r="K219" s="5">
        <v>275</v>
      </c>
      <c r="L219" s="3" t="s">
        <v>35</v>
      </c>
      <c r="M219" s="3" t="s">
        <v>27</v>
      </c>
      <c r="P219" s="10">
        <f t="shared" si="6"/>
        <v>0.18806848582129482</v>
      </c>
      <c r="Q219" s="15">
        <f t="shared" si="7"/>
        <v>2812</v>
      </c>
    </row>
    <row r="220" spans="1:17" x14ac:dyDescent="0.3">
      <c r="A220" s="3" t="s">
        <v>430</v>
      </c>
      <c r="B220" s="3" t="s">
        <v>13</v>
      </c>
      <c r="C220" s="4" t="s">
        <v>169</v>
      </c>
      <c r="D220" s="3" t="s">
        <v>15</v>
      </c>
      <c r="E220" s="11" t="s">
        <v>16</v>
      </c>
      <c r="F220" s="5">
        <v>1188</v>
      </c>
      <c r="G220" s="5">
        <v>470</v>
      </c>
      <c r="H220" s="5">
        <v>174</v>
      </c>
      <c r="I220" s="5">
        <v>7128</v>
      </c>
      <c r="J220" s="5">
        <v>6145</v>
      </c>
      <c r="K220" s="5">
        <v>270</v>
      </c>
      <c r="L220" s="3" t="s">
        <v>35</v>
      </c>
      <c r="M220" s="3" t="s">
        <v>27</v>
      </c>
      <c r="P220" s="10">
        <f t="shared" si="6"/>
        <v>0.25701459034792368</v>
      </c>
      <c r="Q220" s="15">
        <f t="shared" si="7"/>
        <v>1832</v>
      </c>
    </row>
    <row r="221" spans="1:17" x14ac:dyDescent="0.3">
      <c r="A221" s="3" t="s">
        <v>431</v>
      </c>
      <c r="B221" s="3" t="s">
        <v>30</v>
      </c>
      <c r="C221" s="4" t="s">
        <v>407</v>
      </c>
      <c r="D221" s="3" t="s">
        <v>32</v>
      </c>
      <c r="E221" s="11" t="s">
        <v>33</v>
      </c>
      <c r="F221" s="5">
        <v>84</v>
      </c>
      <c r="G221" s="5">
        <v>897</v>
      </c>
      <c r="H221" s="5">
        <v>85</v>
      </c>
      <c r="I221" s="5">
        <v>588</v>
      </c>
      <c r="J221" s="5">
        <v>8</v>
      </c>
      <c r="K221" s="5">
        <v>12</v>
      </c>
      <c r="L221" s="6"/>
      <c r="M221" s="3" t="s">
        <v>34</v>
      </c>
      <c r="P221" s="10">
        <f t="shared" si="6"/>
        <v>1.8129251700680271</v>
      </c>
      <c r="Q221" s="15">
        <f t="shared" si="7"/>
        <v>1066</v>
      </c>
    </row>
    <row r="222" spans="1:17" x14ac:dyDescent="0.3">
      <c r="A222" s="3" t="s">
        <v>432</v>
      </c>
      <c r="B222" s="3" t="s">
        <v>40</v>
      </c>
      <c r="C222" s="4" t="s">
        <v>249</v>
      </c>
      <c r="D222" s="3" t="s">
        <v>71</v>
      </c>
      <c r="E222" s="11" t="s">
        <v>72</v>
      </c>
      <c r="F222" s="5">
        <v>4453</v>
      </c>
      <c r="G222" s="5">
        <v>111</v>
      </c>
      <c r="H222" s="5">
        <v>420</v>
      </c>
      <c r="I222" s="5">
        <v>31171</v>
      </c>
      <c r="J222" s="5">
        <v>30565</v>
      </c>
      <c r="K222" s="5">
        <v>23</v>
      </c>
      <c r="L222" s="6"/>
      <c r="M222" s="3" t="s">
        <v>27</v>
      </c>
      <c r="P222" s="10">
        <f t="shared" si="6"/>
        <v>0.15989220750056141</v>
      </c>
      <c r="Q222" s="15">
        <f t="shared" si="7"/>
        <v>4984</v>
      </c>
    </row>
    <row r="223" spans="1:17" x14ac:dyDescent="0.3">
      <c r="A223" s="3" t="s">
        <v>433</v>
      </c>
      <c r="B223" s="3" t="s">
        <v>40</v>
      </c>
      <c r="C223" s="4" t="s">
        <v>434</v>
      </c>
      <c r="D223" s="3" t="s">
        <v>15</v>
      </c>
      <c r="E223" s="11" t="s">
        <v>62</v>
      </c>
      <c r="F223" s="5">
        <v>1814</v>
      </c>
      <c r="G223" s="5">
        <v>653</v>
      </c>
      <c r="H223" s="5">
        <v>363</v>
      </c>
      <c r="I223" s="5">
        <v>25396</v>
      </c>
      <c r="J223" s="5">
        <v>25286</v>
      </c>
      <c r="K223" s="5">
        <v>39</v>
      </c>
      <c r="L223" s="3" t="s">
        <v>17</v>
      </c>
      <c r="M223" s="3" t="s">
        <v>59</v>
      </c>
      <c r="N223" t="s">
        <v>592</v>
      </c>
      <c r="P223" s="10">
        <f t="shared" si="6"/>
        <v>0.11143487163332809</v>
      </c>
      <c r="Q223" s="15">
        <f t="shared" si="7"/>
        <v>2830</v>
      </c>
    </row>
    <row r="224" spans="1:17" x14ac:dyDescent="0.3">
      <c r="A224" s="3" t="s">
        <v>435</v>
      </c>
      <c r="B224" s="3" t="s">
        <v>13</v>
      </c>
      <c r="C224" s="4" t="s">
        <v>351</v>
      </c>
      <c r="D224" s="3" t="s">
        <v>49</v>
      </c>
      <c r="E224" s="11" t="s">
        <v>128</v>
      </c>
      <c r="F224" s="5">
        <v>3338</v>
      </c>
      <c r="G224" s="5">
        <v>277</v>
      </c>
      <c r="H224" s="5">
        <v>118</v>
      </c>
      <c r="I224" s="5">
        <v>60084</v>
      </c>
      <c r="J224" s="5">
        <v>59842</v>
      </c>
      <c r="K224" s="5">
        <v>252</v>
      </c>
      <c r="L224" s="6"/>
      <c r="M224" s="3" t="s">
        <v>27</v>
      </c>
      <c r="P224" s="10">
        <f t="shared" si="6"/>
        <v>6.2129685107516146E-2</v>
      </c>
      <c r="Q224" s="15">
        <f t="shared" si="7"/>
        <v>3733</v>
      </c>
    </row>
    <row r="225" spans="1:17" x14ac:dyDescent="0.3">
      <c r="A225" s="3" t="s">
        <v>436</v>
      </c>
      <c r="B225" s="3" t="s">
        <v>40</v>
      </c>
      <c r="C225" s="4" t="s">
        <v>437</v>
      </c>
      <c r="D225" s="3" t="s">
        <v>49</v>
      </c>
      <c r="E225" s="11" t="s">
        <v>56</v>
      </c>
      <c r="F225" s="5">
        <v>602</v>
      </c>
      <c r="G225" s="5">
        <v>594</v>
      </c>
      <c r="H225" s="5">
        <v>156</v>
      </c>
      <c r="I225" s="5">
        <v>4214</v>
      </c>
      <c r="J225" s="5">
        <v>3363</v>
      </c>
      <c r="K225" s="5">
        <v>164</v>
      </c>
      <c r="L225" s="3" t="s">
        <v>28</v>
      </c>
      <c r="M225" s="3" t="s">
        <v>27</v>
      </c>
      <c r="P225" s="10">
        <f t="shared" si="6"/>
        <v>0.32083531086853345</v>
      </c>
      <c r="Q225" s="15">
        <f t="shared" si="7"/>
        <v>1352</v>
      </c>
    </row>
    <row r="226" spans="1:17" x14ac:dyDescent="0.3">
      <c r="A226" s="3" t="s">
        <v>438</v>
      </c>
      <c r="B226" s="3" t="s">
        <v>13</v>
      </c>
      <c r="C226" s="4" t="s">
        <v>366</v>
      </c>
      <c r="D226" s="3" t="s">
        <v>42</v>
      </c>
      <c r="E226" s="11" t="s">
        <v>46</v>
      </c>
      <c r="F226" s="5">
        <v>4672</v>
      </c>
      <c r="G226" s="5">
        <v>325</v>
      </c>
      <c r="H226" s="5">
        <v>32</v>
      </c>
      <c r="I226" s="5">
        <v>88768</v>
      </c>
      <c r="J226" s="5">
        <v>87833</v>
      </c>
      <c r="K226" s="5">
        <v>118</v>
      </c>
      <c r="L226" s="6"/>
      <c r="M226" s="3" t="s">
        <v>34</v>
      </c>
      <c r="P226" s="10">
        <f t="shared" si="6"/>
        <v>5.6653298485940883E-2</v>
      </c>
      <c r="Q226" s="15">
        <f t="shared" si="7"/>
        <v>5029</v>
      </c>
    </row>
    <row r="227" spans="1:17" x14ac:dyDescent="0.3">
      <c r="A227" s="3" t="s">
        <v>439</v>
      </c>
      <c r="B227" s="3" t="s">
        <v>30</v>
      </c>
      <c r="C227" s="4" t="s">
        <v>440</v>
      </c>
      <c r="D227" s="3" t="s">
        <v>42</v>
      </c>
      <c r="E227" s="11" t="s">
        <v>85</v>
      </c>
      <c r="F227" s="5">
        <v>1741</v>
      </c>
      <c r="G227" s="5">
        <v>164</v>
      </c>
      <c r="H227" s="5">
        <v>318</v>
      </c>
      <c r="I227" s="5">
        <v>8705</v>
      </c>
      <c r="J227" s="5">
        <v>8272</v>
      </c>
      <c r="K227" s="5">
        <v>121</v>
      </c>
      <c r="L227" s="6"/>
      <c r="M227" s="3" t="s">
        <v>27</v>
      </c>
      <c r="P227" s="10">
        <f t="shared" si="6"/>
        <v>0.25537047673750718</v>
      </c>
      <c r="Q227" s="15">
        <f t="shared" si="7"/>
        <v>2223</v>
      </c>
    </row>
    <row r="228" spans="1:17" x14ac:dyDescent="0.3">
      <c r="A228" s="3" t="s">
        <v>441</v>
      </c>
      <c r="B228" s="3" t="s">
        <v>30</v>
      </c>
      <c r="C228" s="4" t="s">
        <v>442</v>
      </c>
      <c r="D228" s="3" t="s">
        <v>20</v>
      </c>
      <c r="E228" s="11" t="s">
        <v>109</v>
      </c>
      <c r="F228" s="5">
        <v>246</v>
      </c>
      <c r="G228" s="5">
        <v>149</v>
      </c>
      <c r="H228" s="5">
        <v>130</v>
      </c>
      <c r="I228" s="5">
        <v>4674</v>
      </c>
      <c r="J228" s="5">
        <v>4390</v>
      </c>
      <c r="K228" s="5">
        <v>217</v>
      </c>
      <c r="L228" s="3" t="s">
        <v>28</v>
      </c>
      <c r="M228" s="3" t="s">
        <v>59</v>
      </c>
      <c r="P228" s="10">
        <f t="shared" si="6"/>
        <v>0.11232349165596919</v>
      </c>
      <c r="Q228" s="15">
        <f t="shared" si="7"/>
        <v>525</v>
      </c>
    </row>
    <row r="229" spans="1:17" x14ac:dyDescent="0.3">
      <c r="A229" s="3" t="s">
        <v>443</v>
      </c>
      <c r="B229" s="3" t="s">
        <v>30</v>
      </c>
      <c r="C229" s="4" t="s">
        <v>444</v>
      </c>
      <c r="D229" s="3" t="s">
        <v>32</v>
      </c>
      <c r="E229" s="11" t="s">
        <v>33</v>
      </c>
      <c r="F229" s="5">
        <v>4808</v>
      </c>
      <c r="G229" s="5">
        <v>772</v>
      </c>
      <c r="H229" s="5">
        <v>320</v>
      </c>
      <c r="I229" s="5">
        <v>72120</v>
      </c>
      <c r="J229" s="5">
        <v>71696</v>
      </c>
      <c r="K229" s="5">
        <v>195</v>
      </c>
      <c r="L229" s="3" t="s">
        <v>17</v>
      </c>
      <c r="M229" s="3" t="s">
        <v>34</v>
      </c>
      <c r="P229" s="10">
        <f t="shared" si="6"/>
        <v>8.1808097615085965E-2</v>
      </c>
      <c r="Q229" s="15">
        <f t="shared" si="7"/>
        <v>5900</v>
      </c>
    </row>
    <row r="230" spans="1:17" x14ac:dyDescent="0.3">
      <c r="A230" s="3" t="s">
        <v>445</v>
      </c>
      <c r="B230" s="3" t="s">
        <v>30</v>
      </c>
      <c r="C230" s="4" t="s">
        <v>149</v>
      </c>
      <c r="D230" s="3" t="s">
        <v>42</v>
      </c>
      <c r="E230" s="11" t="s">
        <v>85</v>
      </c>
      <c r="F230" s="5">
        <v>4799</v>
      </c>
      <c r="G230" s="5">
        <v>694</v>
      </c>
      <c r="H230" s="5">
        <v>289</v>
      </c>
      <c r="I230" s="5">
        <v>43191</v>
      </c>
      <c r="J230" s="5">
        <v>42228</v>
      </c>
      <c r="K230" s="5">
        <v>118</v>
      </c>
      <c r="L230" s="6"/>
      <c r="M230" s="3" t="s">
        <v>27</v>
      </c>
      <c r="P230" s="10">
        <f t="shared" si="6"/>
        <v>0.13387048227640017</v>
      </c>
      <c r="Q230" s="15">
        <f t="shared" si="7"/>
        <v>5782</v>
      </c>
    </row>
    <row r="231" spans="1:17" x14ac:dyDescent="0.3">
      <c r="A231" s="3" t="s">
        <v>446</v>
      </c>
      <c r="B231" s="3" t="s">
        <v>40</v>
      </c>
      <c r="C231" s="4" t="s">
        <v>308</v>
      </c>
      <c r="D231" s="3" t="s">
        <v>15</v>
      </c>
      <c r="E231" s="11" t="s">
        <v>62</v>
      </c>
      <c r="F231" s="5">
        <v>3663</v>
      </c>
      <c r="G231" s="5">
        <v>17</v>
      </c>
      <c r="H231" s="5">
        <v>295</v>
      </c>
      <c r="I231" s="5">
        <v>51282</v>
      </c>
      <c r="J231" s="5">
        <v>50567</v>
      </c>
      <c r="K231" s="5">
        <v>84</v>
      </c>
      <c r="L231" s="3" t="s">
        <v>28</v>
      </c>
      <c r="M231" s="3" t="s">
        <v>34</v>
      </c>
      <c r="P231" s="10">
        <f t="shared" si="6"/>
        <v>7.7512577512577507E-2</v>
      </c>
      <c r="Q231" s="15">
        <f t="shared" si="7"/>
        <v>3975</v>
      </c>
    </row>
    <row r="232" spans="1:17" x14ac:dyDescent="0.3">
      <c r="A232" s="3" t="s">
        <v>447</v>
      </c>
      <c r="B232" s="3" t="s">
        <v>30</v>
      </c>
      <c r="C232" s="4" t="s">
        <v>423</v>
      </c>
      <c r="D232" s="3" t="s">
        <v>20</v>
      </c>
      <c r="E232" s="11" t="s">
        <v>109</v>
      </c>
      <c r="F232" s="5">
        <v>1430</v>
      </c>
      <c r="G232" s="5">
        <v>376</v>
      </c>
      <c r="H232" s="5">
        <v>33</v>
      </c>
      <c r="I232" s="5">
        <v>21450</v>
      </c>
      <c r="J232" s="5">
        <v>20509</v>
      </c>
      <c r="K232" s="5">
        <v>251</v>
      </c>
      <c r="L232" s="3" t="s">
        <v>17</v>
      </c>
      <c r="M232" s="3" t="s">
        <v>59</v>
      </c>
      <c r="P232" s="10">
        <f t="shared" si="6"/>
        <v>8.5734265734265735E-2</v>
      </c>
      <c r="Q232" s="15">
        <f t="shared" si="7"/>
        <v>1839</v>
      </c>
    </row>
    <row r="233" spans="1:17" x14ac:dyDescent="0.3">
      <c r="A233" s="3" t="s">
        <v>448</v>
      </c>
      <c r="B233" s="3" t="s">
        <v>13</v>
      </c>
      <c r="C233" s="4" t="s">
        <v>449</v>
      </c>
      <c r="D233" s="3" t="s">
        <v>32</v>
      </c>
      <c r="E233" s="11" t="s">
        <v>145</v>
      </c>
      <c r="F233" s="5">
        <v>249</v>
      </c>
      <c r="G233" s="5">
        <v>592</v>
      </c>
      <c r="H233" s="5">
        <v>230</v>
      </c>
      <c r="I233" s="5">
        <v>1494</v>
      </c>
      <c r="J233" s="5">
        <v>1044</v>
      </c>
      <c r="K233" s="5">
        <v>201</v>
      </c>
      <c r="L233" s="3" t="s">
        <v>35</v>
      </c>
      <c r="M233" s="3" t="s">
        <v>34</v>
      </c>
      <c r="P233" s="10">
        <f t="shared" si="6"/>
        <v>0.7168674698795181</v>
      </c>
      <c r="Q233" s="15">
        <f t="shared" si="7"/>
        <v>1071</v>
      </c>
    </row>
    <row r="234" spans="1:17" x14ac:dyDescent="0.3">
      <c r="A234" s="3" t="s">
        <v>450</v>
      </c>
      <c r="B234" s="3" t="s">
        <v>40</v>
      </c>
      <c r="C234" s="4" t="s">
        <v>130</v>
      </c>
      <c r="D234" s="3" t="s">
        <v>49</v>
      </c>
      <c r="E234" s="11" t="s">
        <v>56</v>
      </c>
      <c r="F234" s="5">
        <v>2382</v>
      </c>
      <c r="G234" s="5">
        <v>265</v>
      </c>
      <c r="H234" s="5">
        <v>134</v>
      </c>
      <c r="I234" s="5">
        <v>38112</v>
      </c>
      <c r="J234" s="5">
        <v>37437</v>
      </c>
      <c r="K234" s="5">
        <v>249</v>
      </c>
      <c r="L234" s="3" t="s">
        <v>35</v>
      </c>
      <c r="M234" s="3" t="s">
        <v>59</v>
      </c>
      <c r="P234" s="10">
        <f t="shared" si="6"/>
        <v>7.2969143576826198E-2</v>
      </c>
      <c r="Q234" s="15">
        <f t="shared" si="7"/>
        <v>2781</v>
      </c>
    </row>
    <row r="235" spans="1:17" x14ac:dyDescent="0.3">
      <c r="A235" s="3" t="s">
        <v>451</v>
      </c>
      <c r="B235" s="3" t="s">
        <v>40</v>
      </c>
      <c r="C235" s="4" t="s">
        <v>452</v>
      </c>
      <c r="D235" s="3" t="s">
        <v>20</v>
      </c>
      <c r="E235" s="11" t="s">
        <v>53</v>
      </c>
      <c r="F235" s="5">
        <v>1272</v>
      </c>
      <c r="G235" s="5">
        <v>465</v>
      </c>
      <c r="H235" s="5">
        <v>99</v>
      </c>
      <c r="I235" s="5">
        <v>24168</v>
      </c>
      <c r="J235" s="5">
        <v>23719</v>
      </c>
      <c r="K235" s="5">
        <v>42</v>
      </c>
      <c r="L235" s="6"/>
      <c r="M235" s="3" t="s">
        <v>27</v>
      </c>
      <c r="P235" s="10">
        <f t="shared" si="6"/>
        <v>7.5968222442899705E-2</v>
      </c>
      <c r="Q235" s="15">
        <f t="shared" si="7"/>
        <v>1836</v>
      </c>
    </row>
    <row r="236" spans="1:17" x14ac:dyDescent="0.3">
      <c r="A236" s="3" t="s">
        <v>453</v>
      </c>
      <c r="B236" s="3" t="s">
        <v>40</v>
      </c>
      <c r="C236" s="4" t="s">
        <v>383</v>
      </c>
      <c r="D236" s="3" t="s">
        <v>49</v>
      </c>
      <c r="E236" s="11" t="s">
        <v>56</v>
      </c>
      <c r="F236" s="5">
        <v>3196</v>
      </c>
      <c r="G236" s="5">
        <v>941</v>
      </c>
      <c r="H236" s="5">
        <v>376</v>
      </c>
      <c r="I236" s="5">
        <v>35156</v>
      </c>
      <c r="J236" s="5">
        <v>34444</v>
      </c>
      <c r="K236" s="5">
        <v>241</v>
      </c>
      <c r="L236" s="3" t="s">
        <v>28</v>
      </c>
      <c r="M236" s="3" t="s">
        <v>27</v>
      </c>
      <c r="P236" s="10">
        <f t="shared" si="6"/>
        <v>0.1283706906360223</v>
      </c>
      <c r="Q236" s="15">
        <f t="shared" si="7"/>
        <v>4513</v>
      </c>
    </row>
    <row r="237" spans="1:17" x14ac:dyDescent="0.3">
      <c r="A237" s="3" t="s">
        <v>454</v>
      </c>
      <c r="B237" s="3" t="s">
        <v>40</v>
      </c>
      <c r="C237" s="4" t="s">
        <v>78</v>
      </c>
      <c r="D237" s="3" t="s">
        <v>20</v>
      </c>
      <c r="E237" s="11" t="s">
        <v>53</v>
      </c>
      <c r="F237" s="5">
        <v>1257</v>
      </c>
      <c r="G237" s="5">
        <v>19</v>
      </c>
      <c r="H237" s="5">
        <v>351</v>
      </c>
      <c r="I237" s="5">
        <v>12570</v>
      </c>
      <c r="J237" s="5">
        <v>11660</v>
      </c>
      <c r="K237" s="5">
        <v>194</v>
      </c>
      <c r="L237" s="3" t="s">
        <v>22</v>
      </c>
      <c r="M237" s="3" t="s">
        <v>59</v>
      </c>
      <c r="N237" t="s">
        <v>600</v>
      </c>
      <c r="O237" t="s">
        <v>34</v>
      </c>
      <c r="P237" s="10">
        <f t="shared" si="6"/>
        <v>0.12943516308671441</v>
      </c>
      <c r="Q237" s="15">
        <f t="shared" si="7"/>
        <v>1627</v>
      </c>
    </row>
    <row r="238" spans="1:17" x14ac:dyDescent="0.3">
      <c r="A238" s="3" t="s">
        <v>455</v>
      </c>
      <c r="B238" s="3" t="s">
        <v>30</v>
      </c>
      <c r="C238" s="4" t="s">
        <v>332</v>
      </c>
      <c r="D238" s="3" t="s">
        <v>32</v>
      </c>
      <c r="E238" s="11" t="s">
        <v>33</v>
      </c>
      <c r="F238" s="5">
        <v>3770</v>
      </c>
      <c r="G238" s="5">
        <v>917</v>
      </c>
      <c r="H238" s="5">
        <v>129</v>
      </c>
      <c r="I238" s="5">
        <v>71630</v>
      </c>
      <c r="J238" s="5">
        <v>71322</v>
      </c>
      <c r="K238" s="5">
        <v>76</v>
      </c>
      <c r="L238" s="3" t="s">
        <v>17</v>
      </c>
      <c r="M238" s="3" t="s">
        <v>59</v>
      </c>
      <c r="P238" s="10">
        <f t="shared" si="6"/>
        <v>6.7234398994834563E-2</v>
      </c>
      <c r="Q238" s="15">
        <f t="shared" si="7"/>
        <v>4816</v>
      </c>
    </row>
    <row r="239" spans="1:17" x14ac:dyDescent="0.3">
      <c r="A239" s="3" t="s">
        <v>456</v>
      </c>
      <c r="B239" s="3" t="s">
        <v>13</v>
      </c>
      <c r="C239" s="4" t="s">
        <v>457</v>
      </c>
      <c r="D239" s="3" t="s">
        <v>20</v>
      </c>
      <c r="E239" s="11" t="s">
        <v>21</v>
      </c>
      <c r="F239" s="5">
        <v>4725</v>
      </c>
      <c r="G239" s="5">
        <v>400</v>
      </c>
      <c r="H239" s="5">
        <v>362</v>
      </c>
      <c r="I239" s="5">
        <v>75600</v>
      </c>
      <c r="J239" s="5">
        <v>74927</v>
      </c>
      <c r="K239" s="5">
        <v>43</v>
      </c>
      <c r="L239" s="3" t="s">
        <v>35</v>
      </c>
      <c r="M239" s="3" t="s">
        <v>59</v>
      </c>
      <c r="P239" s="10">
        <f t="shared" si="6"/>
        <v>7.2579365079365077E-2</v>
      </c>
      <c r="Q239" s="15">
        <f t="shared" si="7"/>
        <v>5487</v>
      </c>
    </row>
    <row r="240" spans="1:17" x14ac:dyDescent="0.3">
      <c r="A240" s="3" t="s">
        <v>458</v>
      </c>
      <c r="B240" s="3" t="s">
        <v>24</v>
      </c>
      <c r="C240" s="4" t="s">
        <v>143</v>
      </c>
      <c r="D240" s="3" t="s">
        <v>20</v>
      </c>
      <c r="E240" s="11" t="s">
        <v>100</v>
      </c>
      <c r="F240" s="5">
        <v>4188</v>
      </c>
      <c r="G240" s="5">
        <v>942</v>
      </c>
      <c r="H240" s="5">
        <v>118</v>
      </c>
      <c r="I240" s="5">
        <v>20940</v>
      </c>
      <c r="J240" s="5">
        <v>20471</v>
      </c>
      <c r="K240" s="5">
        <v>102</v>
      </c>
      <c r="L240" s="6"/>
      <c r="M240" s="3" t="s">
        <v>59</v>
      </c>
      <c r="P240" s="10">
        <f t="shared" si="6"/>
        <v>0.25062082139446035</v>
      </c>
      <c r="Q240" s="15">
        <f t="shared" si="7"/>
        <v>5248</v>
      </c>
    </row>
    <row r="241" spans="1:17" x14ac:dyDescent="0.3">
      <c r="A241" s="3" t="s">
        <v>459</v>
      </c>
      <c r="B241" s="3" t="s">
        <v>13</v>
      </c>
      <c r="C241" s="4" t="s">
        <v>74</v>
      </c>
      <c r="D241" s="3" t="s">
        <v>42</v>
      </c>
      <c r="E241" s="11" t="s">
        <v>46</v>
      </c>
      <c r="F241" s="5">
        <v>929</v>
      </c>
      <c r="G241" s="5">
        <v>192</v>
      </c>
      <c r="H241" s="5">
        <v>322</v>
      </c>
      <c r="I241" s="5">
        <v>16722</v>
      </c>
      <c r="J241" s="5">
        <v>15996</v>
      </c>
      <c r="K241" s="5">
        <v>145</v>
      </c>
      <c r="L241" s="3" t="s">
        <v>28</v>
      </c>
      <c r="M241" s="3" t="s">
        <v>34</v>
      </c>
      <c r="N241" t="s">
        <v>27</v>
      </c>
      <c r="O241" t="s">
        <v>600</v>
      </c>
      <c r="P241" s="10">
        <f t="shared" si="6"/>
        <v>8.6293505561535699E-2</v>
      </c>
      <c r="Q241" s="15">
        <f t="shared" si="7"/>
        <v>1443</v>
      </c>
    </row>
    <row r="242" spans="1:17" x14ac:dyDescent="0.3">
      <c r="A242" s="3" t="s">
        <v>460</v>
      </c>
      <c r="B242" s="3" t="s">
        <v>40</v>
      </c>
      <c r="C242" s="4" t="s">
        <v>461</v>
      </c>
      <c r="D242" s="3" t="s">
        <v>32</v>
      </c>
      <c r="E242" s="11" t="s">
        <v>68</v>
      </c>
      <c r="F242" s="5">
        <v>4321</v>
      </c>
      <c r="G242" s="5">
        <v>874</v>
      </c>
      <c r="H242" s="5">
        <v>172</v>
      </c>
      <c r="I242" s="5">
        <v>30247</v>
      </c>
      <c r="J242" s="5">
        <v>29254</v>
      </c>
      <c r="K242" s="5">
        <v>122</v>
      </c>
      <c r="L242" s="3" t="s">
        <v>35</v>
      </c>
      <c r="M242" s="3" t="s">
        <v>27</v>
      </c>
      <c r="P242" s="10">
        <f t="shared" si="6"/>
        <v>0.17743908486792079</v>
      </c>
      <c r="Q242" s="15">
        <f t="shared" si="7"/>
        <v>5367</v>
      </c>
    </row>
    <row r="243" spans="1:17" x14ac:dyDescent="0.3">
      <c r="A243" s="3" t="s">
        <v>462</v>
      </c>
      <c r="B243" s="3" t="s">
        <v>40</v>
      </c>
      <c r="C243" s="4" t="s">
        <v>221</v>
      </c>
      <c r="D243" s="3" t="s">
        <v>15</v>
      </c>
      <c r="E243" s="11" t="s">
        <v>62</v>
      </c>
      <c r="F243" s="5">
        <v>4767</v>
      </c>
      <c r="G243" s="5">
        <v>190</v>
      </c>
      <c r="H243" s="5">
        <v>340</v>
      </c>
      <c r="I243" s="5">
        <v>28602</v>
      </c>
      <c r="J243" s="5">
        <v>28044</v>
      </c>
      <c r="K243" s="5">
        <v>210</v>
      </c>
      <c r="L243" s="3" t="s">
        <v>28</v>
      </c>
      <c r="M243" s="3" t="s">
        <v>34</v>
      </c>
      <c r="P243" s="10">
        <f t="shared" si="6"/>
        <v>0.18519683938186141</v>
      </c>
      <c r="Q243" s="15">
        <f t="shared" si="7"/>
        <v>5297</v>
      </c>
    </row>
    <row r="244" spans="1:17" x14ac:dyDescent="0.3">
      <c r="A244" s="3" t="s">
        <v>463</v>
      </c>
      <c r="B244" s="3" t="s">
        <v>13</v>
      </c>
      <c r="C244" s="4" t="s">
        <v>464</v>
      </c>
      <c r="D244" s="3" t="s">
        <v>49</v>
      </c>
      <c r="E244" s="11" t="s">
        <v>128</v>
      </c>
      <c r="F244" s="5">
        <v>3592</v>
      </c>
      <c r="G244" s="5">
        <v>911</v>
      </c>
      <c r="H244" s="5">
        <v>375</v>
      </c>
      <c r="I244" s="5">
        <v>50288</v>
      </c>
      <c r="J244" s="5">
        <v>49490</v>
      </c>
      <c r="K244" s="5">
        <v>32</v>
      </c>
      <c r="L244" s="3" t="s">
        <v>35</v>
      </c>
      <c r="M244" s="3" t="s">
        <v>59</v>
      </c>
      <c r="P244" s="10">
        <f t="shared" si="6"/>
        <v>9.7001272669424113E-2</v>
      </c>
      <c r="Q244" s="15">
        <f t="shared" si="7"/>
        <v>4878</v>
      </c>
    </row>
    <row r="245" spans="1:17" x14ac:dyDescent="0.3">
      <c r="A245" s="3" t="s">
        <v>465</v>
      </c>
      <c r="B245" s="3" t="s">
        <v>24</v>
      </c>
      <c r="C245" s="4" t="s">
        <v>466</v>
      </c>
      <c r="D245" s="3" t="s">
        <v>71</v>
      </c>
      <c r="E245" s="11" t="s">
        <v>212</v>
      </c>
      <c r="F245" s="5">
        <v>4661</v>
      </c>
      <c r="G245" s="5">
        <v>935</v>
      </c>
      <c r="H245" s="5">
        <v>433</v>
      </c>
      <c r="I245" s="5">
        <v>23305</v>
      </c>
      <c r="J245" s="5">
        <v>22583</v>
      </c>
      <c r="K245" s="5">
        <v>63</v>
      </c>
      <c r="L245" s="3" t="s">
        <v>28</v>
      </c>
      <c r="M245" s="3" t="s">
        <v>59</v>
      </c>
      <c r="P245" s="10">
        <f t="shared" si="6"/>
        <v>0.25869984981763572</v>
      </c>
      <c r="Q245" s="15">
        <f t="shared" si="7"/>
        <v>6029</v>
      </c>
    </row>
    <row r="246" spans="1:17" x14ac:dyDescent="0.3">
      <c r="A246" s="3" t="s">
        <v>467</v>
      </c>
      <c r="B246" s="3" t="s">
        <v>40</v>
      </c>
      <c r="C246" s="4" t="s">
        <v>468</v>
      </c>
      <c r="D246" s="3" t="s">
        <v>15</v>
      </c>
      <c r="E246" s="11" t="s">
        <v>62</v>
      </c>
      <c r="F246" s="5">
        <v>4134</v>
      </c>
      <c r="G246" s="5">
        <v>824</v>
      </c>
      <c r="H246" s="5">
        <v>99</v>
      </c>
      <c r="I246" s="5">
        <v>41340</v>
      </c>
      <c r="J246" s="5">
        <v>41050</v>
      </c>
      <c r="K246" s="5">
        <v>177</v>
      </c>
      <c r="L246" s="3" t="s">
        <v>17</v>
      </c>
      <c r="M246" s="3" t="s">
        <v>34</v>
      </c>
      <c r="P246" s="10">
        <f t="shared" si="6"/>
        <v>0.12232704402515723</v>
      </c>
      <c r="Q246" s="15">
        <f t="shared" si="7"/>
        <v>5057</v>
      </c>
    </row>
    <row r="247" spans="1:17" x14ac:dyDescent="0.3">
      <c r="A247" s="3" t="s">
        <v>469</v>
      </c>
      <c r="B247" s="3" t="s">
        <v>40</v>
      </c>
      <c r="C247" s="4" t="s">
        <v>470</v>
      </c>
      <c r="D247" s="3" t="s">
        <v>49</v>
      </c>
      <c r="E247" s="11" t="s">
        <v>56</v>
      </c>
      <c r="F247" s="5">
        <v>400</v>
      </c>
      <c r="G247" s="5">
        <v>680</v>
      </c>
      <c r="H247" s="5">
        <v>434</v>
      </c>
      <c r="I247" s="5">
        <v>6400</v>
      </c>
      <c r="J247" s="5">
        <v>5472</v>
      </c>
      <c r="K247" s="5">
        <v>160</v>
      </c>
      <c r="L247" s="3" t="s">
        <v>22</v>
      </c>
      <c r="M247" s="3" t="s">
        <v>59</v>
      </c>
      <c r="P247" s="10">
        <f t="shared" si="6"/>
        <v>0.23656250000000001</v>
      </c>
      <c r="Q247" s="15">
        <f t="shared" si="7"/>
        <v>1514</v>
      </c>
    </row>
    <row r="248" spans="1:17" x14ac:dyDescent="0.3">
      <c r="A248" s="3" t="s">
        <v>471</v>
      </c>
      <c r="B248" s="3" t="s">
        <v>40</v>
      </c>
      <c r="C248" s="4" t="s">
        <v>472</v>
      </c>
      <c r="D248" s="3" t="s">
        <v>15</v>
      </c>
      <c r="E248" s="11" t="s">
        <v>62</v>
      </c>
      <c r="F248" s="5">
        <v>3960</v>
      </c>
      <c r="G248" s="5">
        <v>266</v>
      </c>
      <c r="H248" s="5">
        <v>8</v>
      </c>
      <c r="I248" s="5">
        <v>35640</v>
      </c>
      <c r="J248" s="5">
        <v>34850</v>
      </c>
      <c r="K248" s="5">
        <v>208</v>
      </c>
      <c r="L248" s="6"/>
      <c r="M248" s="3" t="s">
        <v>59</v>
      </c>
      <c r="N248" t="s">
        <v>34</v>
      </c>
      <c r="O248" t="s">
        <v>601</v>
      </c>
      <c r="P248" s="10">
        <f t="shared" si="6"/>
        <v>0.11879910213243547</v>
      </c>
      <c r="Q248" s="15">
        <f t="shared" si="7"/>
        <v>4234</v>
      </c>
    </row>
    <row r="249" spans="1:17" x14ac:dyDescent="0.3">
      <c r="A249" s="3" t="s">
        <v>473</v>
      </c>
      <c r="B249" s="3" t="s">
        <v>40</v>
      </c>
      <c r="C249" s="4" t="s">
        <v>58</v>
      </c>
      <c r="D249" s="3" t="s">
        <v>32</v>
      </c>
      <c r="E249" s="11" t="s">
        <v>68</v>
      </c>
      <c r="F249" s="5">
        <v>886</v>
      </c>
      <c r="G249" s="5">
        <v>126</v>
      </c>
      <c r="H249" s="5">
        <v>153</v>
      </c>
      <c r="I249" s="5">
        <v>4430</v>
      </c>
      <c r="J249" s="5">
        <v>4037</v>
      </c>
      <c r="K249" s="5">
        <v>212</v>
      </c>
      <c r="L249" s="6"/>
      <c r="M249" s="3" t="s">
        <v>34</v>
      </c>
      <c r="P249" s="10">
        <f t="shared" si="6"/>
        <v>0.26297968397291194</v>
      </c>
      <c r="Q249" s="15">
        <f t="shared" si="7"/>
        <v>1165</v>
      </c>
    </row>
    <row r="250" spans="1:17" x14ac:dyDescent="0.3">
      <c r="A250" s="3" t="s">
        <v>474</v>
      </c>
      <c r="B250" s="3" t="s">
        <v>13</v>
      </c>
      <c r="C250" s="4" t="s">
        <v>420</v>
      </c>
      <c r="D250" s="3" t="s">
        <v>49</v>
      </c>
      <c r="E250" s="11" t="s">
        <v>128</v>
      </c>
      <c r="F250" s="5">
        <v>827</v>
      </c>
      <c r="G250" s="5">
        <v>77</v>
      </c>
      <c r="H250" s="5">
        <v>402</v>
      </c>
      <c r="I250" s="5">
        <v>14886</v>
      </c>
      <c r="J250" s="5">
        <v>14129</v>
      </c>
      <c r="K250" s="5">
        <v>254</v>
      </c>
      <c r="L250" s="3" t="s">
        <v>22</v>
      </c>
      <c r="M250" s="3" t="s">
        <v>34</v>
      </c>
      <c r="P250" s="10">
        <f t="shared" si="6"/>
        <v>8.7733440816874911E-2</v>
      </c>
      <c r="Q250" s="15">
        <f t="shared" si="7"/>
        <v>1306</v>
      </c>
    </row>
    <row r="251" spans="1:17" x14ac:dyDescent="0.3">
      <c r="A251" s="3" t="s">
        <v>475</v>
      </c>
      <c r="B251" s="3" t="s">
        <v>40</v>
      </c>
      <c r="C251" s="4" t="s">
        <v>167</v>
      </c>
      <c r="D251" s="3" t="s">
        <v>15</v>
      </c>
      <c r="E251" s="11" t="s">
        <v>62</v>
      </c>
      <c r="F251" s="5">
        <v>3813</v>
      </c>
      <c r="G251" s="5">
        <v>935</v>
      </c>
      <c r="H251" s="5">
        <v>274</v>
      </c>
      <c r="I251" s="5">
        <v>68634</v>
      </c>
      <c r="J251" s="5">
        <v>68488</v>
      </c>
      <c r="K251" s="5">
        <v>251</v>
      </c>
      <c r="L251" s="6"/>
      <c r="M251" s="3" t="s">
        <v>59</v>
      </c>
      <c r="P251" s="10">
        <f t="shared" si="6"/>
        <v>7.3170731707317069E-2</v>
      </c>
      <c r="Q251" s="15">
        <f t="shared" si="7"/>
        <v>5022</v>
      </c>
    </row>
    <row r="252" spans="1:17" x14ac:dyDescent="0.3">
      <c r="A252" s="3" t="s">
        <v>476</v>
      </c>
      <c r="B252" s="3" t="s">
        <v>30</v>
      </c>
      <c r="C252" s="4" t="s">
        <v>477</v>
      </c>
      <c r="D252" s="3" t="s">
        <v>42</v>
      </c>
      <c r="E252" s="11" t="s">
        <v>85</v>
      </c>
      <c r="F252" s="5">
        <v>1377</v>
      </c>
      <c r="G252" s="5">
        <v>796</v>
      </c>
      <c r="H252" s="5">
        <v>387</v>
      </c>
      <c r="I252" s="5">
        <v>22032</v>
      </c>
      <c r="J252" s="5">
        <v>21869</v>
      </c>
      <c r="K252" s="5">
        <v>189</v>
      </c>
      <c r="L252" s="6"/>
      <c r="M252" s="3" t="s">
        <v>59</v>
      </c>
      <c r="P252" s="10">
        <f t="shared" si="6"/>
        <v>0.11619462599854757</v>
      </c>
      <c r="Q252" s="15">
        <f t="shared" si="7"/>
        <v>2560</v>
      </c>
    </row>
    <row r="253" spans="1:17" x14ac:dyDescent="0.3">
      <c r="A253" s="3" t="s">
        <v>478</v>
      </c>
      <c r="B253" s="3" t="s">
        <v>40</v>
      </c>
      <c r="C253" s="4" t="s">
        <v>355</v>
      </c>
      <c r="D253" s="3" t="s">
        <v>42</v>
      </c>
      <c r="E253" s="11" t="s">
        <v>43</v>
      </c>
      <c r="F253" s="5">
        <v>2089</v>
      </c>
      <c r="G253" s="5">
        <v>476</v>
      </c>
      <c r="H253" s="5">
        <v>69</v>
      </c>
      <c r="I253" s="5">
        <v>16712</v>
      </c>
      <c r="J253" s="5">
        <v>16309</v>
      </c>
      <c r="K253" s="5">
        <v>64</v>
      </c>
      <c r="L253" s="3" t="s">
        <v>28</v>
      </c>
      <c r="M253" s="3" t="s">
        <v>59</v>
      </c>
      <c r="P253" s="10">
        <f t="shared" si="6"/>
        <v>0.15761129727142173</v>
      </c>
      <c r="Q253" s="15">
        <f t="shared" si="7"/>
        <v>2634</v>
      </c>
    </row>
    <row r="254" spans="1:17" x14ac:dyDescent="0.3">
      <c r="A254" s="3" t="s">
        <v>479</v>
      </c>
      <c r="B254" s="3" t="s">
        <v>13</v>
      </c>
      <c r="C254" s="4" t="s">
        <v>480</v>
      </c>
      <c r="D254" s="3" t="s">
        <v>15</v>
      </c>
      <c r="E254" s="11" t="s">
        <v>16</v>
      </c>
      <c r="F254" s="5">
        <v>3791</v>
      </c>
      <c r="G254" s="5">
        <v>593</v>
      </c>
      <c r="H254" s="5">
        <v>228</v>
      </c>
      <c r="I254" s="5">
        <v>53074</v>
      </c>
      <c r="J254" s="5">
        <v>52613</v>
      </c>
      <c r="K254" s="5">
        <v>205</v>
      </c>
      <c r="L254" s="6"/>
      <c r="M254" s="3" t="s">
        <v>34</v>
      </c>
      <c r="P254" s="10">
        <f t="shared" si="6"/>
        <v>8.6897539284772202E-2</v>
      </c>
      <c r="Q254" s="15">
        <f t="shared" si="7"/>
        <v>4612</v>
      </c>
    </row>
    <row r="255" spans="1:17" x14ac:dyDescent="0.3">
      <c r="A255" s="3" t="s">
        <v>481</v>
      </c>
      <c r="B255" s="3" t="s">
        <v>13</v>
      </c>
      <c r="C255" s="4" t="s">
        <v>482</v>
      </c>
      <c r="D255" s="3" t="s">
        <v>49</v>
      </c>
      <c r="E255" s="11" t="s">
        <v>128</v>
      </c>
      <c r="F255" s="5">
        <v>2692</v>
      </c>
      <c r="G255" s="5">
        <v>115</v>
      </c>
      <c r="H255" s="5">
        <v>64</v>
      </c>
      <c r="I255" s="5">
        <v>21536</v>
      </c>
      <c r="J255" s="5">
        <v>21120</v>
      </c>
      <c r="K255" s="5">
        <v>224</v>
      </c>
      <c r="L255" s="3" t="s">
        <v>22</v>
      </c>
      <c r="M255" s="3" t="s">
        <v>59</v>
      </c>
      <c r="P255" s="10">
        <f t="shared" si="6"/>
        <v>0.13331166419019316</v>
      </c>
      <c r="Q255" s="15">
        <f t="shared" si="7"/>
        <v>2871</v>
      </c>
    </row>
    <row r="256" spans="1:17" x14ac:dyDescent="0.3">
      <c r="A256" s="3" t="s">
        <v>483</v>
      </c>
      <c r="B256" s="3" t="s">
        <v>40</v>
      </c>
      <c r="C256" s="4" t="s">
        <v>19</v>
      </c>
      <c r="D256" s="3" t="s">
        <v>32</v>
      </c>
      <c r="E256" s="11" t="s">
        <v>68</v>
      </c>
      <c r="F256" s="5">
        <v>3767</v>
      </c>
      <c r="G256" s="5">
        <v>514</v>
      </c>
      <c r="H256" s="5">
        <v>238</v>
      </c>
      <c r="I256" s="5">
        <v>37670</v>
      </c>
      <c r="J256" s="5">
        <v>36807</v>
      </c>
      <c r="K256" s="5">
        <v>226</v>
      </c>
      <c r="L256" s="3" t="s">
        <v>35</v>
      </c>
      <c r="M256" s="3" t="s">
        <v>59</v>
      </c>
      <c r="P256" s="10">
        <f t="shared" si="6"/>
        <v>0.11996283514733209</v>
      </c>
      <c r="Q256" s="15">
        <f t="shared" si="7"/>
        <v>4519</v>
      </c>
    </row>
    <row r="257" spans="1:17" x14ac:dyDescent="0.3">
      <c r="A257" s="3" t="s">
        <v>484</v>
      </c>
      <c r="B257" s="3" t="s">
        <v>24</v>
      </c>
      <c r="C257" s="4" t="s">
        <v>245</v>
      </c>
      <c r="D257" s="3" t="s">
        <v>42</v>
      </c>
      <c r="E257" s="11" t="s">
        <v>65</v>
      </c>
      <c r="F257" s="5">
        <v>2143</v>
      </c>
      <c r="G257" s="5">
        <v>12</v>
      </c>
      <c r="H257" s="5">
        <v>204</v>
      </c>
      <c r="I257" s="5">
        <v>40717</v>
      </c>
      <c r="J257" s="5">
        <v>40125</v>
      </c>
      <c r="K257" s="5">
        <v>248</v>
      </c>
      <c r="L257" s="3" t="s">
        <v>22</v>
      </c>
      <c r="M257" s="3" t="s">
        <v>34</v>
      </c>
      <c r="P257" s="10">
        <f t="shared" si="6"/>
        <v>5.7936488444630008E-2</v>
      </c>
      <c r="Q257" s="15">
        <f t="shared" si="7"/>
        <v>2359</v>
      </c>
    </row>
    <row r="258" spans="1:17" x14ac:dyDescent="0.3">
      <c r="A258" s="3" t="s">
        <v>485</v>
      </c>
      <c r="B258" s="3" t="s">
        <v>40</v>
      </c>
      <c r="C258" s="4" t="s">
        <v>284</v>
      </c>
      <c r="D258" s="3" t="s">
        <v>49</v>
      </c>
      <c r="E258" s="11" t="s">
        <v>56</v>
      </c>
      <c r="F258" s="5">
        <v>3090</v>
      </c>
      <c r="G258" s="5">
        <v>697</v>
      </c>
      <c r="H258" s="5">
        <v>164</v>
      </c>
      <c r="I258" s="5">
        <v>49440</v>
      </c>
      <c r="J258" s="5">
        <v>48524</v>
      </c>
      <c r="K258" s="5">
        <v>25</v>
      </c>
      <c r="L258" s="3" t="s">
        <v>22</v>
      </c>
      <c r="M258" s="3" t="s">
        <v>34</v>
      </c>
      <c r="N258" t="s">
        <v>34</v>
      </c>
      <c r="O258" t="s">
        <v>601</v>
      </c>
      <c r="P258" s="10">
        <f t="shared" ref="P258:P301" si="8">(F258+G258+H258)/I258</f>
        <v>7.9915048543689318E-2</v>
      </c>
      <c r="Q258" s="15">
        <f t="shared" ref="Q258:Q301" si="9">F258+G258+H258</f>
        <v>3951</v>
      </c>
    </row>
    <row r="259" spans="1:17" x14ac:dyDescent="0.3">
      <c r="A259" s="3" t="s">
        <v>486</v>
      </c>
      <c r="B259" s="3" t="s">
        <v>30</v>
      </c>
      <c r="C259" s="4" t="s">
        <v>487</v>
      </c>
      <c r="D259" s="3" t="s">
        <v>32</v>
      </c>
      <c r="E259" s="11" t="s">
        <v>33</v>
      </c>
      <c r="F259" s="5">
        <v>3601</v>
      </c>
      <c r="G259" s="5">
        <v>695</v>
      </c>
      <c r="H259" s="5">
        <v>75</v>
      </c>
      <c r="I259" s="5">
        <v>21606</v>
      </c>
      <c r="J259" s="5">
        <v>21454</v>
      </c>
      <c r="K259" s="5">
        <v>172</v>
      </c>
      <c r="L259" s="3" t="s">
        <v>22</v>
      </c>
      <c r="M259" s="3" t="s">
        <v>34</v>
      </c>
      <c r="P259" s="10">
        <f t="shared" si="8"/>
        <v>0.2023049153013052</v>
      </c>
      <c r="Q259" s="15">
        <f t="shared" si="9"/>
        <v>4371</v>
      </c>
    </row>
    <row r="260" spans="1:17" x14ac:dyDescent="0.3">
      <c r="A260" s="3" t="s">
        <v>488</v>
      </c>
      <c r="B260" s="3" t="s">
        <v>40</v>
      </c>
      <c r="C260" s="4" t="s">
        <v>242</v>
      </c>
      <c r="D260" s="3" t="s">
        <v>20</v>
      </c>
      <c r="E260" s="11" t="s">
        <v>53</v>
      </c>
      <c r="F260" s="5">
        <v>562</v>
      </c>
      <c r="G260" s="5">
        <v>158</v>
      </c>
      <c r="H260" s="5">
        <v>149</v>
      </c>
      <c r="I260" s="5">
        <v>3372</v>
      </c>
      <c r="J260" s="5">
        <v>2940</v>
      </c>
      <c r="K260" s="5">
        <v>93</v>
      </c>
      <c r="L260" s="3" t="s">
        <v>17</v>
      </c>
      <c r="M260" s="3" t="s">
        <v>27</v>
      </c>
      <c r="P260" s="10">
        <f t="shared" si="8"/>
        <v>0.25771055753262156</v>
      </c>
      <c r="Q260" s="15">
        <f t="shared" si="9"/>
        <v>869</v>
      </c>
    </row>
    <row r="261" spans="1:17" x14ac:dyDescent="0.3">
      <c r="A261" s="3" t="s">
        <v>489</v>
      </c>
      <c r="B261" s="3" t="s">
        <v>30</v>
      </c>
      <c r="C261" s="4" t="s">
        <v>490</v>
      </c>
      <c r="D261" s="3" t="s">
        <v>32</v>
      </c>
      <c r="E261" s="11" t="s">
        <v>33</v>
      </c>
      <c r="F261" s="5">
        <v>4332</v>
      </c>
      <c r="G261" s="5">
        <v>771</v>
      </c>
      <c r="H261" s="5">
        <v>219</v>
      </c>
      <c r="I261" s="5">
        <v>60648</v>
      </c>
      <c r="J261" s="5">
        <v>60397</v>
      </c>
      <c r="K261" s="5">
        <v>10</v>
      </c>
      <c r="L261" s="3" t="s">
        <v>28</v>
      </c>
      <c r="M261" s="3" t="s">
        <v>27</v>
      </c>
      <c r="N261" t="s">
        <v>34</v>
      </c>
      <c r="O261" t="s">
        <v>601</v>
      </c>
      <c r="P261" s="10">
        <f t="shared" si="8"/>
        <v>8.7752275425405618E-2</v>
      </c>
      <c r="Q261" s="15">
        <f t="shared" si="9"/>
        <v>5322</v>
      </c>
    </row>
    <row r="262" spans="1:17" x14ac:dyDescent="0.3">
      <c r="A262" s="3" t="s">
        <v>491</v>
      </c>
      <c r="B262" s="3" t="s">
        <v>30</v>
      </c>
      <c r="C262" s="4" t="s">
        <v>492</v>
      </c>
      <c r="D262" s="3" t="s">
        <v>49</v>
      </c>
      <c r="E262" s="11" t="s">
        <v>209</v>
      </c>
      <c r="F262" s="5">
        <v>4853</v>
      </c>
      <c r="G262" s="5">
        <v>837</v>
      </c>
      <c r="H262" s="5">
        <v>340</v>
      </c>
      <c r="I262" s="5">
        <v>72795</v>
      </c>
      <c r="J262" s="5">
        <v>72237</v>
      </c>
      <c r="K262" s="5">
        <v>170</v>
      </c>
      <c r="L262" s="3" t="s">
        <v>17</v>
      </c>
      <c r="M262" s="3" t="s">
        <v>34</v>
      </c>
      <c r="P262" s="10">
        <f t="shared" si="8"/>
        <v>8.2835359571399134E-2</v>
      </c>
      <c r="Q262" s="15">
        <f t="shared" si="9"/>
        <v>6030</v>
      </c>
    </row>
    <row r="263" spans="1:17" x14ac:dyDescent="0.3">
      <c r="A263" s="3" t="s">
        <v>493</v>
      </c>
      <c r="B263" s="3" t="s">
        <v>24</v>
      </c>
      <c r="C263" s="4" t="s">
        <v>461</v>
      </c>
      <c r="D263" s="3" t="s">
        <v>49</v>
      </c>
      <c r="E263" s="11" t="s">
        <v>50</v>
      </c>
      <c r="F263" s="5">
        <v>1206</v>
      </c>
      <c r="G263" s="5">
        <v>238</v>
      </c>
      <c r="H263" s="5">
        <v>36</v>
      </c>
      <c r="I263" s="5">
        <v>9648</v>
      </c>
      <c r="J263" s="5">
        <v>9417</v>
      </c>
      <c r="K263" s="5">
        <v>237</v>
      </c>
      <c r="L263" s="6"/>
      <c r="M263" s="3" t="s">
        <v>27</v>
      </c>
      <c r="P263" s="10">
        <f t="shared" si="8"/>
        <v>0.15339966832504145</v>
      </c>
      <c r="Q263" s="15">
        <f t="shared" si="9"/>
        <v>1480</v>
      </c>
    </row>
    <row r="264" spans="1:17" x14ac:dyDescent="0.3">
      <c r="A264" s="3" t="s">
        <v>494</v>
      </c>
      <c r="B264" s="3" t="s">
        <v>30</v>
      </c>
      <c r="C264" s="4" t="s">
        <v>495</v>
      </c>
      <c r="D264" s="3" t="s">
        <v>15</v>
      </c>
      <c r="E264" s="11" t="s">
        <v>79</v>
      </c>
      <c r="F264" s="5">
        <v>2603</v>
      </c>
      <c r="G264" s="5">
        <v>690</v>
      </c>
      <c r="H264" s="5">
        <v>205</v>
      </c>
      <c r="I264" s="5">
        <v>13015</v>
      </c>
      <c r="J264" s="5">
        <v>12130</v>
      </c>
      <c r="K264" s="5">
        <v>20</v>
      </c>
      <c r="L264" s="3" t="s">
        <v>22</v>
      </c>
      <c r="M264" s="3" t="s">
        <v>59</v>
      </c>
      <c r="P264" s="10">
        <f t="shared" si="8"/>
        <v>0.26876680752977333</v>
      </c>
      <c r="Q264" s="15">
        <f t="shared" si="9"/>
        <v>3498</v>
      </c>
    </row>
    <row r="265" spans="1:17" x14ac:dyDescent="0.3">
      <c r="A265" s="3" t="s">
        <v>496</v>
      </c>
      <c r="B265" s="3" t="s">
        <v>13</v>
      </c>
      <c r="C265" s="4" t="s">
        <v>497</v>
      </c>
      <c r="D265" s="3" t="s">
        <v>49</v>
      </c>
      <c r="E265" s="11" t="s">
        <v>128</v>
      </c>
      <c r="F265" s="5">
        <v>59</v>
      </c>
      <c r="G265" s="5">
        <v>163</v>
      </c>
      <c r="H265" s="5">
        <v>93</v>
      </c>
      <c r="I265" s="5">
        <v>590</v>
      </c>
      <c r="J265" s="5">
        <v>475</v>
      </c>
      <c r="K265" s="5">
        <v>293</v>
      </c>
      <c r="L265" s="3" t="s">
        <v>22</v>
      </c>
      <c r="M265" s="3" t="s">
        <v>27</v>
      </c>
      <c r="P265" s="10">
        <f t="shared" si="8"/>
        <v>0.53389830508474578</v>
      </c>
      <c r="Q265" s="15">
        <f t="shared" si="9"/>
        <v>315</v>
      </c>
    </row>
    <row r="266" spans="1:17" x14ac:dyDescent="0.3">
      <c r="A266" s="3" t="s">
        <v>498</v>
      </c>
      <c r="B266" s="3" t="s">
        <v>13</v>
      </c>
      <c r="C266" s="4" t="s">
        <v>499</v>
      </c>
      <c r="D266" s="3" t="s">
        <v>42</v>
      </c>
      <c r="E266" s="11" t="s">
        <v>46</v>
      </c>
      <c r="F266" s="5">
        <v>1877</v>
      </c>
      <c r="G266" s="5">
        <v>745</v>
      </c>
      <c r="H266" s="5">
        <v>225</v>
      </c>
      <c r="I266" s="5">
        <v>11262</v>
      </c>
      <c r="J266" s="5">
        <v>10967</v>
      </c>
      <c r="K266" s="5">
        <v>41</v>
      </c>
      <c r="L266" s="3" t="s">
        <v>35</v>
      </c>
      <c r="M266" s="3" t="s">
        <v>34</v>
      </c>
      <c r="P266" s="10">
        <f t="shared" si="8"/>
        <v>0.25279701651571657</v>
      </c>
      <c r="Q266" s="15">
        <f t="shared" si="9"/>
        <v>2847</v>
      </c>
    </row>
    <row r="267" spans="1:17" x14ac:dyDescent="0.3">
      <c r="A267" s="3" t="s">
        <v>500</v>
      </c>
      <c r="B267" s="3" t="s">
        <v>40</v>
      </c>
      <c r="C267" s="4" t="s">
        <v>125</v>
      </c>
      <c r="D267" s="3" t="s">
        <v>32</v>
      </c>
      <c r="E267" s="11" t="s">
        <v>68</v>
      </c>
      <c r="F267" s="5">
        <v>4182</v>
      </c>
      <c r="G267" s="5">
        <v>640</v>
      </c>
      <c r="H267" s="5">
        <v>240</v>
      </c>
      <c r="I267" s="5">
        <v>50184</v>
      </c>
      <c r="J267" s="5">
        <v>49351</v>
      </c>
      <c r="K267" s="5">
        <v>10</v>
      </c>
      <c r="L267" s="3" t="s">
        <v>28</v>
      </c>
      <c r="M267" s="3" t="s">
        <v>27</v>
      </c>
      <c r="P267" s="10">
        <f t="shared" si="8"/>
        <v>0.10086880280567512</v>
      </c>
      <c r="Q267" s="15">
        <f t="shared" si="9"/>
        <v>5062</v>
      </c>
    </row>
    <row r="268" spans="1:17" x14ac:dyDescent="0.3">
      <c r="A268" s="3" t="s">
        <v>501</v>
      </c>
      <c r="B268" s="3" t="s">
        <v>13</v>
      </c>
      <c r="C268" s="4" t="s">
        <v>387</v>
      </c>
      <c r="D268" s="3" t="s">
        <v>15</v>
      </c>
      <c r="E268" s="11" t="s">
        <v>16</v>
      </c>
      <c r="F268" s="5">
        <v>4187</v>
      </c>
      <c r="G268" s="5">
        <v>66</v>
      </c>
      <c r="H268" s="5">
        <v>31</v>
      </c>
      <c r="I268" s="5">
        <v>66992</v>
      </c>
      <c r="J268" s="5">
        <v>66614</v>
      </c>
      <c r="K268" s="5">
        <v>62</v>
      </c>
      <c r="L268" s="6"/>
      <c r="M268" s="3" t="s">
        <v>59</v>
      </c>
      <c r="P268" s="10">
        <f t="shared" si="8"/>
        <v>6.3947934081681396E-2</v>
      </c>
      <c r="Q268" s="15">
        <f t="shared" si="9"/>
        <v>4284</v>
      </c>
    </row>
    <row r="269" spans="1:17" x14ac:dyDescent="0.3">
      <c r="A269" s="3" t="s">
        <v>502</v>
      </c>
      <c r="B269" s="3" t="s">
        <v>30</v>
      </c>
      <c r="C269" s="4" t="s">
        <v>503</v>
      </c>
      <c r="D269" s="3" t="s">
        <v>15</v>
      </c>
      <c r="E269" s="11" t="s">
        <v>79</v>
      </c>
      <c r="F269" s="5">
        <v>4579</v>
      </c>
      <c r="G269" s="5">
        <v>125</v>
      </c>
      <c r="H269" s="5">
        <v>300</v>
      </c>
      <c r="I269" s="5">
        <v>59527</v>
      </c>
      <c r="J269" s="5">
        <v>59400</v>
      </c>
      <c r="K269" s="5">
        <v>269</v>
      </c>
      <c r="L269" s="3" t="s">
        <v>17</v>
      </c>
      <c r="M269" s="3" t="s">
        <v>34</v>
      </c>
      <c r="P269" s="10">
        <f t="shared" si="8"/>
        <v>8.4062694239588759E-2</v>
      </c>
      <c r="Q269" s="15">
        <f t="shared" si="9"/>
        <v>5004</v>
      </c>
    </row>
    <row r="270" spans="1:17" x14ac:dyDescent="0.3">
      <c r="A270" s="3" t="s">
        <v>504</v>
      </c>
      <c r="B270" s="3" t="s">
        <v>30</v>
      </c>
      <c r="C270" s="4" t="s">
        <v>505</v>
      </c>
      <c r="D270" s="3" t="s">
        <v>71</v>
      </c>
      <c r="E270" s="11" t="s">
        <v>82</v>
      </c>
      <c r="F270" s="5">
        <v>4561</v>
      </c>
      <c r="G270" s="5">
        <v>51</v>
      </c>
      <c r="H270" s="5">
        <v>441</v>
      </c>
      <c r="I270" s="5">
        <v>22805</v>
      </c>
      <c r="J270" s="5">
        <v>21890</v>
      </c>
      <c r="K270" s="5">
        <v>45</v>
      </c>
      <c r="L270" s="3" t="s">
        <v>22</v>
      </c>
      <c r="M270" s="3" t="s">
        <v>27</v>
      </c>
      <c r="P270" s="10">
        <f t="shared" si="8"/>
        <v>0.22157421618066214</v>
      </c>
      <c r="Q270" s="15">
        <f t="shared" si="9"/>
        <v>5053</v>
      </c>
    </row>
    <row r="271" spans="1:17" x14ac:dyDescent="0.3">
      <c r="A271" s="3" t="s">
        <v>506</v>
      </c>
      <c r="B271" s="3" t="s">
        <v>24</v>
      </c>
      <c r="C271" s="4" t="s">
        <v>405</v>
      </c>
      <c r="D271" s="3" t="s">
        <v>15</v>
      </c>
      <c r="E271" s="11" t="s">
        <v>26</v>
      </c>
      <c r="F271" s="5">
        <v>3774</v>
      </c>
      <c r="G271" s="5">
        <v>239</v>
      </c>
      <c r="H271" s="5">
        <v>39</v>
      </c>
      <c r="I271" s="5">
        <v>60384</v>
      </c>
      <c r="J271" s="5">
        <v>59490</v>
      </c>
      <c r="K271" s="5">
        <v>241</v>
      </c>
      <c r="L271" s="3" t="s">
        <v>28</v>
      </c>
      <c r="M271" s="3" t="s">
        <v>27</v>
      </c>
      <c r="P271" s="10">
        <f t="shared" si="8"/>
        <v>6.7103868574456813E-2</v>
      </c>
      <c r="Q271" s="15">
        <f t="shared" si="9"/>
        <v>4052</v>
      </c>
    </row>
    <row r="272" spans="1:17" x14ac:dyDescent="0.3">
      <c r="A272" s="3" t="s">
        <v>507</v>
      </c>
      <c r="B272" s="3" t="s">
        <v>30</v>
      </c>
      <c r="C272" s="4" t="s">
        <v>508</v>
      </c>
      <c r="D272" s="3" t="s">
        <v>71</v>
      </c>
      <c r="E272" s="11" t="s">
        <v>82</v>
      </c>
      <c r="F272" s="5">
        <v>3575</v>
      </c>
      <c r="G272" s="5">
        <v>749</v>
      </c>
      <c r="H272" s="5">
        <v>111</v>
      </c>
      <c r="I272" s="5">
        <v>21450</v>
      </c>
      <c r="J272" s="5">
        <v>20785</v>
      </c>
      <c r="K272" s="5">
        <v>195</v>
      </c>
      <c r="L272" s="3" t="s">
        <v>22</v>
      </c>
      <c r="M272" s="3" t="s">
        <v>34</v>
      </c>
      <c r="P272" s="10">
        <f t="shared" si="8"/>
        <v>0.20675990675990677</v>
      </c>
      <c r="Q272" s="15">
        <f t="shared" si="9"/>
        <v>4435</v>
      </c>
    </row>
    <row r="273" spans="1:17" x14ac:dyDescent="0.3">
      <c r="A273" s="3" t="s">
        <v>509</v>
      </c>
      <c r="B273" s="3" t="s">
        <v>30</v>
      </c>
      <c r="C273" s="4" t="s">
        <v>477</v>
      </c>
      <c r="D273" s="3" t="s">
        <v>20</v>
      </c>
      <c r="E273" s="11" t="s">
        <v>109</v>
      </c>
      <c r="F273" s="5">
        <v>4941</v>
      </c>
      <c r="G273" s="5">
        <v>414</v>
      </c>
      <c r="H273" s="5">
        <v>266</v>
      </c>
      <c r="I273" s="5">
        <v>39528</v>
      </c>
      <c r="J273" s="5">
        <v>39154</v>
      </c>
      <c r="K273" s="5">
        <v>217</v>
      </c>
      <c r="L273" s="3" t="s">
        <v>28</v>
      </c>
      <c r="M273" s="3" t="s">
        <v>27</v>
      </c>
      <c r="P273" s="10">
        <f t="shared" si="8"/>
        <v>0.14220299534507186</v>
      </c>
      <c r="Q273" s="15">
        <f t="shared" si="9"/>
        <v>5621</v>
      </c>
    </row>
    <row r="274" spans="1:17" x14ac:dyDescent="0.3">
      <c r="A274" s="3" t="s">
        <v>510</v>
      </c>
      <c r="B274" s="3" t="s">
        <v>24</v>
      </c>
      <c r="C274" s="4" t="s">
        <v>511</v>
      </c>
      <c r="D274" s="3" t="s">
        <v>32</v>
      </c>
      <c r="E274" s="11" t="s">
        <v>150</v>
      </c>
      <c r="F274" s="5">
        <v>3641</v>
      </c>
      <c r="G274" s="5">
        <v>226</v>
      </c>
      <c r="H274" s="5">
        <v>46</v>
      </c>
      <c r="I274" s="5">
        <v>40051</v>
      </c>
      <c r="J274" s="5">
        <v>39319</v>
      </c>
      <c r="K274" s="5">
        <v>296</v>
      </c>
      <c r="L274" s="3" t="s">
        <v>35</v>
      </c>
      <c r="M274" s="3" t="s">
        <v>34</v>
      </c>
      <c r="P274" s="10">
        <f t="shared" si="8"/>
        <v>9.7700431949264685E-2</v>
      </c>
      <c r="Q274" s="15">
        <f t="shared" si="9"/>
        <v>3913</v>
      </c>
    </row>
    <row r="275" spans="1:17" x14ac:dyDescent="0.3">
      <c r="A275" s="3" t="s">
        <v>512</v>
      </c>
      <c r="B275" s="3" t="s">
        <v>13</v>
      </c>
      <c r="C275" s="4" t="s">
        <v>327</v>
      </c>
      <c r="D275" s="3" t="s">
        <v>42</v>
      </c>
      <c r="E275" s="11" t="s">
        <v>46</v>
      </c>
      <c r="F275" s="5">
        <v>3535</v>
      </c>
      <c r="G275" s="5">
        <v>494</v>
      </c>
      <c r="H275" s="5">
        <v>152</v>
      </c>
      <c r="I275" s="5">
        <v>53025</v>
      </c>
      <c r="J275" s="5">
        <v>52791</v>
      </c>
      <c r="K275" s="5">
        <v>44</v>
      </c>
      <c r="L275" s="3" t="s">
        <v>35</v>
      </c>
      <c r="M275" s="3" t="s">
        <v>27</v>
      </c>
      <c r="P275" s="10">
        <f t="shared" si="8"/>
        <v>7.8849599245638849E-2</v>
      </c>
      <c r="Q275" s="15">
        <f t="shared" si="9"/>
        <v>4181</v>
      </c>
    </row>
    <row r="276" spans="1:17" x14ac:dyDescent="0.3">
      <c r="A276" s="3" t="s">
        <v>513</v>
      </c>
      <c r="B276" s="3" t="s">
        <v>40</v>
      </c>
      <c r="C276" s="4" t="s">
        <v>487</v>
      </c>
      <c r="D276" s="3" t="s">
        <v>15</v>
      </c>
      <c r="E276" s="11" t="s">
        <v>62</v>
      </c>
      <c r="F276" s="5">
        <v>1741</v>
      </c>
      <c r="G276" s="5">
        <v>831</v>
      </c>
      <c r="H276" s="5">
        <v>345</v>
      </c>
      <c r="I276" s="5">
        <v>17410</v>
      </c>
      <c r="J276" s="5">
        <v>16844</v>
      </c>
      <c r="K276" s="5">
        <v>58</v>
      </c>
      <c r="L276" s="3" t="s">
        <v>28</v>
      </c>
      <c r="M276" s="3" t="s">
        <v>34</v>
      </c>
      <c r="P276" s="10">
        <f t="shared" si="8"/>
        <v>0.16754738655944859</v>
      </c>
      <c r="Q276" s="15">
        <f t="shared" si="9"/>
        <v>2917</v>
      </c>
    </row>
    <row r="277" spans="1:17" x14ac:dyDescent="0.3">
      <c r="A277" s="3" t="s">
        <v>514</v>
      </c>
      <c r="B277" s="3" t="s">
        <v>13</v>
      </c>
      <c r="C277" s="4" t="s">
        <v>515</v>
      </c>
      <c r="D277" s="3" t="s">
        <v>42</v>
      </c>
      <c r="E277" s="11" t="s">
        <v>46</v>
      </c>
      <c r="F277" s="5">
        <v>1556</v>
      </c>
      <c r="G277" s="5">
        <v>195</v>
      </c>
      <c r="H277" s="5">
        <v>131</v>
      </c>
      <c r="I277" s="5">
        <v>9336</v>
      </c>
      <c r="J277" s="5">
        <v>8875</v>
      </c>
      <c r="K277" s="5">
        <v>137</v>
      </c>
      <c r="L277" s="3" t="s">
        <v>22</v>
      </c>
      <c r="M277" s="3" t="s">
        <v>27</v>
      </c>
      <c r="P277" s="10">
        <f t="shared" si="8"/>
        <v>0.2015852613538989</v>
      </c>
      <c r="Q277" s="15">
        <f t="shared" si="9"/>
        <v>1882</v>
      </c>
    </row>
    <row r="278" spans="1:17" x14ac:dyDescent="0.3">
      <c r="A278" s="3" t="s">
        <v>516</v>
      </c>
      <c r="B278" s="3" t="s">
        <v>40</v>
      </c>
      <c r="C278" s="4" t="s">
        <v>284</v>
      </c>
      <c r="D278" s="3" t="s">
        <v>49</v>
      </c>
      <c r="E278" s="11" t="s">
        <v>56</v>
      </c>
      <c r="F278" s="5">
        <v>4236</v>
      </c>
      <c r="G278" s="5">
        <v>711</v>
      </c>
      <c r="H278" s="5">
        <v>298</v>
      </c>
      <c r="I278" s="5">
        <v>21180</v>
      </c>
      <c r="J278" s="5">
        <v>20516</v>
      </c>
      <c r="K278" s="5">
        <v>238</v>
      </c>
      <c r="L278" s="3" t="s">
        <v>17</v>
      </c>
      <c r="M278" s="3" t="s">
        <v>59</v>
      </c>
      <c r="P278" s="10">
        <f t="shared" si="8"/>
        <v>0.24763928234183191</v>
      </c>
      <c r="Q278" s="15">
        <f t="shared" si="9"/>
        <v>5245</v>
      </c>
    </row>
    <row r="279" spans="1:17" x14ac:dyDescent="0.3">
      <c r="A279" s="3" t="s">
        <v>517</v>
      </c>
      <c r="B279" s="3" t="s">
        <v>13</v>
      </c>
      <c r="C279" s="4" t="s">
        <v>518</v>
      </c>
      <c r="D279" s="3" t="s">
        <v>20</v>
      </c>
      <c r="E279" s="11" t="s">
        <v>21</v>
      </c>
      <c r="F279" s="5">
        <v>4516</v>
      </c>
      <c r="G279" s="5">
        <v>836</v>
      </c>
      <c r="H279" s="5">
        <v>169</v>
      </c>
      <c r="I279" s="5">
        <v>49676</v>
      </c>
      <c r="J279" s="5">
        <v>49257</v>
      </c>
      <c r="K279" s="5">
        <v>282</v>
      </c>
      <c r="L279" s="3" t="s">
        <v>35</v>
      </c>
      <c r="M279" s="3" t="s">
        <v>34</v>
      </c>
      <c r="P279" s="10">
        <f t="shared" si="8"/>
        <v>0.11114018842096787</v>
      </c>
      <c r="Q279" s="15">
        <f t="shared" si="9"/>
        <v>5521</v>
      </c>
    </row>
    <row r="280" spans="1:17" x14ac:dyDescent="0.3">
      <c r="A280" s="3" t="s">
        <v>519</v>
      </c>
      <c r="B280" s="3" t="s">
        <v>24</v>
      </c>
      <c r="C280" s="4" t="s">
        <v>189</v>
      </c>
      <c r="D280" s="3" t="s">
        <v>49</v>
      </c>
      <c r="E280" s="11" t="s">
        <v>50</v>
      </c>
      <c r="F280" s="5">
        <v>4905</v>
      </c>
      <c r="G280" s="5">
        <v>845</v>
      </c>
      <c r="H280" s="5">
        <v>129</v>
      </c>
      <c r="I280" s="5">
        <v>98100</v>
      </c>
      <c r="J280" s="5">
        <v>97772</v>
      </c>
      <c r="K280" s="5">
        <v>279</v>
      </c>
      <c r="L280" s="3" t="s">
        <v>22</v>
      </c>
      <c r="M280" s="3" t="s">
        <v>27</v>
      </c>
      <c r="P280" s="10">
        <f t="shared" si="8"/>
        <v>5.9928644240570844E-2</v>
      </c>
      <c r="Q280" s="15">
        <f t="shared" si="9"/>
        <v>5879</v>
      </c>
    </row>
    <row r="281" spans="1:17" x14ac:dyDescent="0.3">
      <c r="A281" s="3" t="s">
        <v>520</v>
      </c>
      <c r="B281" s="3" t="s">
        <v>24</v>
      </c>
      <c r="C281" s="4" t="s">
        <v>163</v>
      </c>
      <c r="D281" s="3" t="s">
        <v>71</v>
      </c>
      <c r="E281" s="11" t="s">
        <v>212</v>
      </c>
      <c r="F281" s="5">
        <v>4275</v>
      </c>
      <c r="G281" s="5">
        <v>680</v>
      </c>
      <c r="H281" s="5">
        <v>385</v>
      </c>
      <c r="I281" s="5">
        <v>64125</v>
      </c>
      <c r="J281" s="5">
        <v>63650</v>
      </c>
      <c r="K281" s="5">
        <v>104</v>
      </c>
      <c r="L281" s="3" t="s">
        <v>35</v>
      </c>
      <c r="M281" s="3" t="s">
        <v>34</v>
      </c>
      <c r="N281" t="s">
        <v>27</v>
      </c>
      <c r="O281" t="s">
        <v>600</v>
      </c>
      <c r="P281" s="10">
        <f t="shared" si="8"/>
        <v>8.3274853801169585E-2</v>
      </c>
      <c r="Q281" s="15">
        <f t="shared" si="9"/>
        <v>5340</v>
      </c>
    </row>
    <row r="282" spans="1:17" x14ac:dyDescent="0.3">
      <c r="A282" s="3" t="s">
        <v>521</v>
      </c>
      <c r="B282" s="3" t="s">
        <v>24</v>
      </c>
      <c r="C282" s="4" t="s">
        <v>522</v>
      </c>
      <c r="D282" s="3" t="s">
        <v>49</v>
      </c>
      <c r="E282" s="11" t="s">
        <v>50</v>
      </c>
      <c r="F282" s="5">
        <v>3166</v>
      </c>
      <c r="G282" s="5">
        <v>90</v>
      </c>
      <c r="H282" s="5">
        <v>341</v>
      </c>
      <c r="I282" s="5">
        <v>56988</v>
      </c>
      <c r="J282" s="5">
        <v>56125</v>
      </c>
      <c r="K282" s="5">
        <v>135</v>
      </c>
      <c r="L282" s="3" t="s">
        <v>22</v>
      </c>
      <c r="M282" s="3" t="s">
        <v>34</v>
      </c>
      <c r="P282" s="10">
        <f t="shared" si="8"/>
        <v>6.3118551273952411E-2</v>
      </c>
      <c r="Q282" s="15">
        <f t="shared" si="9"/>
        <v>3597</v>
      </c>
    </row>
    <row r="283" spans="1:17" x14ac:dyDescent="0.3">
      <c r="A283" s="3" t="s">
        <v>523</v>
      </c>
      <c r="B283" s="3" t="s">
        <v>30</v>
      </c>
      <c r="C283" s="4" t="s">
        <v>524</v>
      </c>
      <c r="D283" s="3" t="s">
        <v>71</v>
      </c>
      <c r="E283" s="11" t="s">
        <v>82</v>
      </c>
      <c r="F283" s="5">
        <v>1488</v>
      </c>
      <c r="G283" s="5">
        <v>417</v>
      </c>
      <c r="H283" s="5">
        <v>168</v>
      </c>
      <c r="I283" s="5">
        <v>19344</v>
      </c>
      <c r="J283" s="5">
        <v>18395</v>
      </c>
      <c r="K283" s="5">
        <v>30</v>
      </c>
      <c r="L283" s="3" t="s">
        <v>28</v>
      </c>
      <c r="M283" s="3" t="s">
        <v>59</v>
      </c>
      <c r="P283" s="10">
        <f t="shared" si="8"/>
        <v>0.1071650124069479</v>
      </c>
      <c r="Q283" s="15">
        <f t="shared" si="9"/>
        <v>2073</v>
      </c>
    </row>
    <row r="284" spans="1:17" x14ac:dyDescent="0.3">
      <c r="A284" s="3" t="s">
        <v>525</v>
      </c>
      <c r="B284" s="3" t="s">
        <v>13</v>
      </c>
      <c r="C284" s="4" t="s">
        <v>526</v>
      </c>
      <c r="D284" s="3" t="s">
        <v>15</v>
      </c>
      <c r="E284" s="11" t="s">
        <v>16</v>
      </c>
      <c r="F284" s="5">
        <v>3367</v>
      </c>
      <c r="G284" s="5">
        <v>302</v>
      </c>
      <c r="H284" s="5">
        <v>57</v>
      </c>
      <c r="I284" s="5">
        <v>63973</v>
      </c>
      <c r="J284" s="5">
        <v>63789</v>
      </c>
      <c r="K284" s="5">
        <v>157</v>
      </c>
      <c r="L284" s="3" t="s">
        <v>22</v>
      </c>
      <c r="M284" s="3" t="s">
        <v>59</v>
      </c>
      <c r="P284" s="10">
        <f t="shared" si="8"/>
        <v>5.8243321401216137E-2</v>
      </c>
      <c r="Q284" s="15">
        <f t="shared" si="9"/>
        <v>3726</v>
      </c>
    </row>
    <row r="285" spans="1:17" x14ac:dyDescent="0.3">
      <c r="A285" s="3" t="s">
        <v>527</v>
      </c>
      <c r="B285" s="3" t="s">
        <v>13</v>
      </c>
      <c r="C285" s="4" t="s">
        <v>99</v>
      </c>
      <c r="D285" s="3" t="s">
        <v>20</v>
      </c>
      <c r="E285" s="11" t="s">
        <v>21</v>
      </c>
      <c r="F285" s="5">
        <v>571</v>
      </c>
      <c r="G285" s="5">
        <v>190</v>
      </c>
      <c r="H285" s="5">
        <v>352</v>
      </c>
      <c r="I285" s="5">
        <v>9707</v>
      </c>
      <c r="J285" s="5">
        <v>9418</v>
      </c>
      <c r="K285" s="5">
        <v>231</v>
      </c>
      <c r="L285" s="3" t="s">
        <v>35</v>
      </c>
      <c r="M285" s="3" t="s">
        <v>27</v>
      </c>
      <c r="P285" s="10">
        <f t="shared" si="8"/>
        <v>0.11465952405480581</v>
      </c>
      <c r="Q285" s="15">
        <f t="shared" si="9"/>
        <v>1113</v>
      </c>
    </row>
    <row r="286" spans="1:17" x14ac:dyDescent="0.3">
      <c r="A286" s="3" t="s">
        <v>528</v>
      </c>
      <c r="B286" s="3" t="s">
        <v>24</v>
      </c>
      <c r="C286" s="4" t="s">
        <v>420</v>
      </c>
      <c r="D286" s="3" t="s">
        <v>20</v>
      </c>
      <c r="E286" s="11" t="s">
        <v>100</v>
      </c>
      <c r="F286" s="5">
        <v>4021</v>
      </c>
      <c r="G286" s="5">
        <v>794</v>
      </c>
      <c r="H286" s="5">
        <v>77</v>
      </c>
      <c r="I286" s="5">
        <v>36189</v>
      </c>
      <c r="J286" s="5">
        <v>35505</v>
      </c>
      <c r="K286" s="5">
        <v>174</v>
      </c>
      <c r="L286" s="6"/>
      <c r="M286" s="3" t="s">
        <v>34</v>
      </c>
      <c r="P286" s="10">
        <f t="shared" si="8"/>
        <v>0.13517919809886983</v>
      </c>
      <c r="Q286" s="15">
        <f t="shared" si="9"/>
        <v>4892</v>
      </c>
    </row>
    <row r="287" spans="1:17" x14ac:dyDescent="0.3">
      <c r="A287" s="3" t="s">
        <v>529</v>
      </c>
      <c r="B287" s="3" t="s">
        <v>24</v>
      </c>
      <c r="C287" s="4" t="s">
        <v>530</v>
      </c>
      <c r="D287" s="3" t="s">
        <v>71</v>
      </c>
      <c r="E287" s="11" t="s">
        <v>212</v>
      </c>
      <c r="F287" s="5">
        <v>3389</v>
      </c>
      <c r="G287" s="5">
        <v>344</v>
      </c>
      <c r="H287" s="5">
        <v>229</v>
      </c>
      <c r="I287" s="5">
        <v>20334</v>
      </c>
      <c r="J287" s="5">
        <v>19443</v>
      </c>
      <c r="K287" s="5">
        <v>228</v>
      </c>
      <c r="L287" s="3" t="s">
        <v>28</v>
      </c>
      <c r="M287" s="3" t="s">
        <v>59</v>
      </c>
      <c r="P287" s="10">
        <f t="shared" si="8"/>
        <v>0.19484607062063539</v>
      </c>
      <c r="Q287" s="15">
        <f t="shared" si="9"/>
        <v>3962</v>
      </c>
    </row>
    <row r="288" spans="1:17" x14ac:dyDescent="0.3">
      <c r="A288" s="3" t="s">
        <v>531</v>
      </c>
      <c r="B288" s="3" t="s">
        <v>30</v>
      </c>
      <c r="C288" s="4" t="s">
        <v>395</v>
      </c>
      <c r="D288" s="3" t="s">
        <v>15</v>
      </c>
      <c r="E288" s="11" t="s">
        <v>79</v>
      </c>
      <c r="F288" s="5">
        <v>1164</v>
      </c>
      <c r="G288" s="5">
        <v>616</v>
      </c>
      <c r="H288" s="5">
        <v>324</v>
      </c>
      <c r="I288" s="5">
        <v>6984</v>
      </c>
      <c r="J288" s="5">
        <v>6636</v>
      </c>
      <c r="K288" s="5">
        <v>82</v>
      </c>
      <c r="L288" s="3" t="s">
        <v>17</v>
      </c>
      <c r="M288" s="3" t="s">
        <v>34</v>
      </c>
      <c r="P288" s="10">
        <f t="shared" si="8"/>
        <v>0.30126002290950743</v>
      </c>
      <c r="Q288" s="15">
        <f t="shared" si="9"/>
        <v>2104</v>
      </c>
    </row>
    <row r="289" spans="1:17" x14ac:dyDescent="0.3">
      <c r="A289" s="3" t="s">
        <v>532</v>
      </c>
      <c r="B289" s="3" t="s">
        <v>24</v>
      </c>
      <c r="C289" s="4" t="s">
        <v>533</v>
      </c>
      <c r="D289" s="3" t="s">
        <v>42</v>
      </c>
      <c r="E289" s="11" t="s">
        <v>65</v>
      </c>
      <c r="F289" s="5">
        <v>4780</v>
      </c>
      <c r="G289" s="5">
        <v>691</v>
      </c>
      <c r="H289" s="5">
        <v>380</v>
      </c>
      <c r="I289" s="5">
        <v>86040</v>
      </c>
      <c r="J289" s="5">
        <v>85743</v>
      </c>
      <c r="K289" s="5">
        <v>262</v>
      </c>
      <c r="L289" s="3" t="s">
        <v>28</v>
      </c>
      <c r="M289" s="3" t="s">
        <v>59</v>
      </c>
      <c r="P289" s="10">
        <f t="shared" si="8"/>
        <v>6.800325430032543E-2</v>
      </c>
      <c r="Q289" s="15">
        <f t="shared" si="9"/>
        <v>5851</v>
      </c>
    </row>
    <row r="290" spans="1:17" x14ac:dyDescent="0.3">
      <c r="A290" s="3" t="s">
        <v>534</v>
      </c>
      <c r="B290" s="3" t="s">
        <v>40</v>
      </c>
      <c r="C290" s="4" t="s">
        <v>300</v>
      </c>
      <c r="D290" s="3" t="s">
        <v>42</v>
      </c>
      <c r="E290" s="11" t="s">
        <v>43</v>
      </c>
      <c r="F290" s="5">
        <v>2751</v>
      </c>
      <c r="G290" s="5">
        <v>33</v>
      </c>
      <c r="H290" s="5">
        <v>430</v>
      </c>
      <c r="I290" s="5">
        <v>44016</v>
      </c>
      <c r="J290" s="5">
        <v>43415</v>
      </c>
      <c r="K290" s="5">
        <v>129</v>
      </c>
      <c r="L290" s="6"/>
      <c r="M290" s="3" t="s">
        <v>59</v>
      </c>
      <c r="P290" s="10">
        <f t="shared" si="8"/>
        <v>7.3018902217375503E-2</v>
      </c>
      <c r="Q290" s="15">
        <f t="shared" si="9"/>
        <v>3214</v>
      </c>
    </row>
    <row r="291" spans="1:17" x14ac:dyDescent="0.3">
      <c r="A291" s="3" t="s">
        <v>535</v>
      </c>
      <c r="B291" s="3" t="s">
        <v>30</v>
      </c>
      <c r="C291" s="4" t="s">
        <v>536</v>
      </c>
      <c r="D291" s="3" t="s">
        <v>42</v>
      </c>
      <c r="E291" s="11" t="s">
        <v>85</v>
      </c>
      <c r="F291" s="5">
        <v>2107</v>
      </c>
      <c r="G291" s="5">
        <v>550</v>
      </c>
      <c r="H291" s="5">
        <v>349</v>
      </c>
      <c r="I291" s="5">
        <v>35819</v>
      </c>
      <c r="J291" s="5">
        <v>35340</v>
      </c>
      <c r="K291" s="5">
        <v>191</v>
      </c>
      <c r="L291" s="3" t="s">
        <v>35</v>
      </c>
      <c r="M291" s="3" t="s">
        <v>34</v>
      </c>
      <c r="P291" s="10">
        <f t="shared" si="8"/>
        <v>8.3921940869371006E-2</v>
      </c>
      <c r="Q291" s="15">
        <f t="shared" si="9"/>
        <v>3006</v>
      </c>
    </row>
    <row r="292" spans="1:17" x14ac:dyDescent="0.3">
      <c r="A292" s="3" t="s">
        <v>537</v>
      </c>
      <c r="B292" s="3" t="s">
        <v>40</v>
      </c>
      <c r="C292" s="4" t="s">
        <v>91</v>
      </c>
      <c r="D292" s="3" t="s">
        <v>71</v>
      </c>
      <c r="E292" s="11" t="s">
        <v>72</v>
      </c>
      <c r="F292" s="5">
        <v>4663</v>
      </c>
      <c r="G292" s="5">
        <v>145</v>
      </c>
      <c r="H292" s="5">
        <v>225</v>
      </c>
      <c r="I292" s="5">
        <v>69945</v>
      </c>
      <c r="J292" s="5">
        <v>69596</v>
      </c>
      <c r="K292" s="5">
        <v>35</v>
      </c>
      <c r="L292" s="3" t="s">
        <v>35</v>
      </c>
      <c r="M292" s="3" t="s">
        <v>34</v>
      </c>
      <c r="P292" s="10">
        <f t="shared" si="8"/>
        <v>7.1956537279290869E-2</v>
      </c>
      <c r="Q292" s="15">
        <f t="shared" si="9"/>
        <v>5033</v>
      </c>
    </row>
    <row r="293" spans="1:17" x14ac:dyDescent="0.3">
      <c r="A293" s="3" t="s">
        <v>538</v>
      </c>
      <c r="B293" s="3" t="s">
        <v>40</v>
      </c>
      <c r="C293" s="4" t="s">
        <v>539</v>
      </c>
      <c r="D293" s="3" t="s">
        <v>20</v>
      </c>
      <c r="E293" s="11" t="s">
        <v>53</v>
      </c>
      <c r="F293" s="5">
        <v>880</v>
      </c>
      <c r="G293" s="5">
        <v>297</v>
      </c>
      <c r="H293" s="5">
        <v>345</v>
      </c>
      <c r="I293" s="5">
        <v>12320</v>
      </c>
      <c r="J293" s="5">
        <v>11978</v>
      </c>
      <c r="K293" s="5">
        <v>238</v>
      </c>
      <c r="L293" s="6"/>
      <c r="M293" s="3" t="s">
        <v>27</v>
      </c>
      <c r="N293" t="s">
        <v>600</v>
      </c>
      <c r="P293" s="10">
        <f t="shared" si="8"/>
        <v>0.12353896103896105</v>
      </c>
      <c r="Q293" s="15">
        <f t="shared" si="9"/>
        <v>1522</v>
      </c>
    </row>
    <row r="294" spans="1:17" x14ac:dyDescent="0.3">
      <c r="A294" s="3" t="s">
        <v>540</v>
      </c>
      <c r="B294" s="3" t="s">
        <v>40</v>
      </c>
      <c r="C294" s="4" t="s">
        <v>541</v>
      </c>
      <c r="D294" s="3" t="s">
        <v>20</v>
      </c>
      <c r="E294" s="11" t="s">
        <v>53</v>
      </c>
      <c r="F294" s="5">
        <v>2634</v>
      </c>
      <c r="G294" s="5">
        <v>726</v>
      </c>
      <c r="H294" s="5">
        <v>241</v>
      </c>
      <c r="I294" s="5">
        <v>28974</v>
      </c>
      <c r="J294" s="5">
        <v>28102</v>
      </c>
      <c r="K294" s="5">
        <v>277</v>
      </c>
      <c r="L294" s="3" t="s">
        <v>17</v>
      </c>
      <c r="M294" s="3" t="s">
        <v>34</v>
      </c>
      <c r="P294" s="10">
        <f t="shared" si="8"/>
        <v>0.12428384068475185</v>
      </c>
      <c r="Q294" s="15">
        <f t="shared" si="9"/>
        <v>3601</v>
      </c>
    </row>
    <row r="295" spans="1:17" x14ac:dyDescent="0.3">
      <c r="A295" s="3" t="s">
        <v>542</v>
      </c>
      <c r="B295" s="3" t="s">
        <v>40</v>
      </c>
      <c r="C295" s="4" t="s">
        <v>543</v>
      </c>
      <c r="D295" s="3" t="s">
        <v>42</v>
      </c>
      <c r="E295" s="11" t="s">
        <v>43</v>
      </c>
      <c r="F295" s="5">
        <v>4731</v>
      </c>
      <c r="G295" s="5">
        <v>173</v>
      </c>
      <c r="H295" s="5">
        <v>276</v>
      </c>
      <c r="I295" s="5">
        <v>28386</v>
      </c>
      <c r="J295" s="5">
        <v>28185</v>
      </c>
      <c r="K295" s="5">
        <v>89</v>
      </c>
      <c r="L295" s="3" t="s">
        <v>28</v>
      </c>
      <c r="M295" s="3" t="s">
        <v>34</v>
      </c>
      <c r="P295" s="10">
        <f t="shared" si="8"/>
        <v>0.18248432325794406</v>
      </c>
      <c r="Q295" s="15">
        <f t="shared" si="9"/>
        <v>5180</v>
      </c>
    </row>
    <row r="296" spans="1:17" x14ac:dyDescent="0.3">
      <c r="A296" s="3" t="s">
        <v>544</v>
      </c>
      <c r="B296" s="3" t="s">
        <v>13</v>
      </c>
      <c r="C296" s="4" t="s">
        <v>426</v>
      </c>
      <c r="D296" s="3" t="s">
        <v>49</v>
      </c>
      <c r="E296" s="11" t="s">
        <v>128</v>
      </c>
      <c r="F296" s="5">
        <v>1952</v>
      </c>
      <c r="G296" s="5">
        <v>344</v>
      </c>
      <c r="H296" s="5">
        <v>287</v>
      </c>
      <c r="I296" s="5">
        <v>15616</v>
      </c>
      <c r="J296" s="5">
        <v>15403</v>
      </c>
      <c r="K296" s="5">
        <v>235</v>
      </c>
      <c r="L296" s="3" t="s">
        <v>22</v>
      </c>
      <c r="M296" s="3" t="s">
        <v>59</v>
      </c>
      <c r="N296" t="s">
        <v>27</v>
      </c>
      <c r="O296" t="s">
        <v>600</v>
      </c>
      <c r="P296" s="10">
        <f t="shared" si="8"/>
        <v>0.16540727459016394</v>
      </c>
      <c r="Q296" s="15">
        <f t="shared" si="9"/>
        <v>2583</v>
      </c>
    </row>
    <row r="297" spans="1:17" x14ac:dyDescent="0.3">
      <c r="A297" s="3" t="s">
        <v>545</v>
      </c>
      <c r="B297" s="3" t="s">
        <v>13</v>
      </c>
      <c r="C297" s="4" t="s">
        <v>546</v>
      </c>
      <c r="D297" s="3" t="s">
        <v>71</v>
      </c>
      <c r="E297" s="11" t="s">
        <v>141</v>
      </c>
      <c r="F297" s="5">
        <v>3440</v>
      </c>
      <c r="G297" s="5">
        <v>13</v>
      </c>
      <c r="H297" s="5">
        <v>20</v>
      </c>
      <c r="I297" s="5">
        <v>58480</v>
      </c>
      <c r="J297" s="5">
        <v>58146</v>
      </c>
      <c r="K297" s="5">
        <v>210</v>
      </c>
      <c r="L297" s="3" t="s">
        <v>35</v>
      </c>
      <c r="M297" s="3" t="s">
        <v>27</v>
      </c>
      <c r="N297" t="s">
        <v>592</v>
      </c>
      <c r="P297" s="10">
        <f t="shared" si="8"/>
        <v>5.9387824897400819E-2</v>
      </c>
      <c r="Q297" s="15">
        <f t="shared" si="9"/>
        <v>3473</v>
      </c>
    </row>
    <row r="298" spans="1:17" x14ac:dyDescent="0.3">
      <c r="A298" s="3" t="s">
        <v>547</v>
      </c>
      <c r="B298" s="3" t="s">
        <v>13</v>
      </c>
      <c r="C298" s="4" t="s">
        <v>548</v>
      </c>
      <c r="D298" s="3" t="s">
        <v>20</v>
      </c>
      <c r="E298" s="11" t="s">
        <v>21</v>
      </c>
      <c r="F298" s="5">
        <v>2166</v>
      </c>
      <c r="G298" s="5">
        <v>354</v>
      </c>
      <c r="H298" s="5">
        <v>117</v>
      </c>
      <c r="I298" s="5">
        <v>10830</v>
      </c>
      <c r="J298" s="5">
        <v>10245</v>
      </c>
      <c r="K298" s="5">
        <v>24</v>
      </c>
      <c r="L298" s="3" t="s">
        <v>35</v>
      </c>
      <c r="M298" s="3" t="s">
        <v>34</v>
      </c>
      <c r="P298" s="10">
        <f t="shared" si="8"/>
        <v>0.24349030470914126</v>
      </c>
      <c r="Q298" s="15">
        <f t="shared" si="9"/>
        <v>2637</v>
      </c>
    </row>
    <row r="299" spans="1:17" x14ac:dyDescent="0.3">
      <c r="A299" s="3" t="s">
        <v>549</v>
      </c>
      <c r="B299" s="3" t="s">
        <v>40</v>
      </c>
      <c r="C299" s="4" t="s">
        <v>70</v>
      </c>
      <c r="D299" s="3" t="s">
        <v>49</v>
      </c>
      <c r="E299" s="11" t="s">
        <v>56</v>
      </c>
      <c r="F299" s="5">
        <v>4303</v>
      </c>
      <c r="G299" s="5">
        <v>451</v>
      </c>
      <c r="H299" s="5">
        <v>286</v>
      </c>
      <c r="I299" s="5">
        <v>86060</v>
      </c>
      <c r="J299" s="5">
        <v>85823</v>
      </c>
      <c r="K299" s="5">
        <v>14</v>
      </c>
      <c r="L299" s="3" t="s">
        <v>28</v>
      </c>
      <c r="M299" s="3" t="s">
        <v>27</v>
      </c>
      <c r="P299" s="10">
        <f t="shared" si="8"/>
        <v>5.8563792702765516E-2</v>
      </c>
      <c r="Q299" s="15">
        <f t="shared" si="9"/>
        <v>5040</v>
      </c>
    </row>
    <row r="300" spans="1:17" x14ac:dyDescent="0.3">
      <c r="A300" s="3" t="s">
        <v>550</v>
      </c>
      <c r="B300" s="3" t="s">
        <v>40</v>
      </c>
      <c r="C300" s="4" t="s">
        <v>74</v>
      </c>
      <c r="D300" s="3" t="s">
        <v>49</v>
      </c>
      <c r="E300" s="11" t="s">
        <v>56</v>
      </c>
      <c r="F300" s="5">
        <v>2581</v>
      </c>
      <c r="G300" s="5">
        <v>517</v>
      </c>
      <c r="H300" s="5">
        <v>117</v>
      </c>
      <c r="I300" s="5">
        <v>23229</v>
      </c>
      <c r="J300" s="5">
        <v>22331</v>
      </c>
      <c r="K300" s="5">
        <v>70</v>
      </c>
      <c r="L300" s="3" t="s">
        <v>28</v>
      </c>
      <c r="M300" s="3" t="s">
        <v>59</v>
      </c>
      <c r="P300" s="10">
        <f t="shared" si="8"/>
        <v>0.13840458048129492</v>
      </c>
      <c r="Q300" s="15">
        <f t="shared" si="9"/>
        <v>3215</v>
      </c>
    </row>
    <row r="301" spans="1:17" x14ac:dyDescent="0.3">
      <c r="A301" s="3" t="s">
        <v>551</v>
      </c>
      <c r="B301" s="3" t="s">
        <v>13</v>
      </c>
      <c r="C301" s="4" t="s">
        <v>310</v>
      </c>
      <c r="D301" s="3" t="s">
        <v>42</v>
      </c>
      <c r="E301" s="11" t="s">
        <v>46</v>
      </c>
      <c r="F301" s="5">
        <v>4494</v>
      </c>
      <c r="G301" s="5">
        <v>717</v>
      </c>
      <c r="H301" s="5">
        <v>45</v>
      </c>
      <c r="I301" s="5">
        <v>62916</v>
      </c>
      <c r="J301" s="5">
        <v>62688</v>
      </c>
      <c r="K301" s="5">
        <v>191</v>
      </c>
      <c r="L301" s="3" t="s">
        <v>17</v>
      </c>
      <c r="M301" s="3" t="s">
        <v>27</v>
      </c>
      <c r="N301" t="s">
        <v>34</v>
      </c>
      <c r="O301" t="s">
        <v>601</v>
      </c>
      <c r="P301" s="10">
        <f t="shared" si="8"/>
        <v>8.3539958039290485E-2</v>
      </c>
      <c r="Q301" s="15">
        <f t="shared" si="9"/>
        <v>5256</v>
      </c>
    </row>
  </sheetData>
  <sortState xmlns:xlrd2="http://schemas.microsoft.com/office/spreadsheetml/2017/richdata2" ref="A2:Q301">
    <sortCondition ref="A2:A301"/>
  </sortState>
  <phoneticPr fontId="6" type="noConversion"/>
  <conditionalFormatting sqref="A2:A301">
    <cfRule type="duplicateValues" dxfId="4"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FC887-0015-423B-83C5-46FB64A79F90}">
  <dimension ref="A1:J201"/>
  <sheetViews>
    <sheetView topLeftCell="D1" zoomScaleNormal="100" workbookViewId="0">
      <selection activeCell="J2" sqref="J2"/>
    </sheetView>
  </sheetViews>
  <sheetFormatPr defaultColWidth="15.88671875" defaultRowHeight="14.4" x14ac:dyDescent="0.3"/>
  <cols>
    <col min="1" max="1" width="20.21875" bestFit="1" customWidth="1"/>
    <col min="2" max="2" width="18.21875" bestFit="1" customWidth="1"/>
    <col min="3" max="3" width="13.88671875" bestFit="1" customWidth="1"/>
    <col min="4" max="4" width="18.6640625" bestFit="1" customWidth="1"/>
    <col min="5" max="5" width="20.88671875" bestFit="1" customWidth="1"/>
    <col min="6" max="6" width="14.109375" bestFit="1" customWidth="1"/>
    <col min="7" max="7" width="24.109375" bestFit="1" customWidth="1"/>
    <col min="8" max="8" width="12.77734375" style="56" bestFit="1" customWidth="1"/>
  </cols>
  <sheetData>
    <row r="1" spans="1:10" x14ac:dyDescent="0.3">
      <c r="A1" s="1" t="s">
        <v>552</v>
      </c>
      <c r="D1" s="1" t="s">
        <v>1</v>
      </c>
      <c r="E1" s="1" t="s">
        <v>553</v>
      </c>
      <c r="F1" s="1" t="s">
        <v>554</v>
      </c>
      <c r="G1" s="1" t="s">
        <v>555</v>
      </c>
      <c r="H1" s="1" t="s">
        <v>556</v>
      </c>
      <c r="I1" s="1" t="s">
        <v>557</v>
      </c>
      <c r="J1" s="71" t="s">
        <v>615</v>
      </c>
    </row>
    <row r="2" spans="1:10" x14ac:dyDescent="0.3">
      <c r="A2" s="2" t="s">
        <v>561</v>
      </c>
      <c r="D2" s="2" t="s">
        <v>30</v>
      </c>
      <c r="E2" s="2">
        <v>817</v>
      </c>
      <c r="F2" s="2">
        <v>151</v>
      </c>
      <c r="G2" s="2">
        <v>422625</v>
      </c>
      <c r="H2" s="2">
        <v>2.36</v>
      </c>
      <c r="I2" s="5">
        <v>1083</v>
      </c>
      <c r="J2" s="55">
        <f t="shared" ref="J2:J33" si="0">(E2-F2)/G2</f>
        <v>1.5758651286601596E-3</v>
      </c>
    </row>
    <row r="3" spans="1:10" x14ac:dyDescent="0.3">
      <c r="A3" s="2" t="s">
        <v>562</v>
      </c>
      <c r="D3" s="2" t="s">
        <v>40</v>
      </c>
      <c r="E3" s="2">
        <v>250</v>
      </c>
      <c r="F3" s="2">
        <v>429</v>
      </c>
      <c r="G3" s="2">
        <v>453423</v>
      </c>
      <c r="H3" s="2">
        <v>1.77</v>
      </c>
      <c r="I3" s="5">
        <v>2315</v>
      </c>
      <c r="J3" s="55">
        <f t="shared" si="0"/>
        <v>-3.9477485703195471E-4</v>
      </c>
    </row>
    <row r="4" spans="1:10" x14ac:dyDescent="0.3">
      <c r="A4" s="2" t="s">
        <v>225</v>
      </c>
      <c r="D4" s="2" t="s">
        <v>13</v>
      </c>
      <c r="E4" s="2">
        <v>584</v>
      </c>
      <c r="F4" s="2">
        <v>169</v>
      </c>
      <c r="G4" s="2">
        <v>146834</v>
      </c>
      <c r="H4" s="2">
        <v>8.31</v>
      </c>
      <c r="I4" s="5">
        <v>26752</v>
      </c>
      <c r="J4" s="55">
        <f t="shared" si="0"/>
        <v>2.826320879360366E-3</v>
      </c>
    </row>
    <row r="5" spans="1:10" x14ac:dyDescent="0.3">
      <c r="A5" s="2" t="s">
        <v>225</v>
      </c>
      <c r="D5" s="2" t="s">
        <v>24</v>
      </c>
      <c r="E5" s="2">
        <v>1535</v>
      </c>
      <c r="F5" s="2">
        <v>445</v>
      </c>
      <c r="G5" s="2">
        <v>395536</v>
      </c>
      <c r="H5" s="2">
        <v>4.1100000000000003</v>
      </c>
      <c r="I5" s="5">
        <v>30671</v>
      </c>
      <c r="J5" s="55">
        <f t="shared" si="0"/>
        <v>2.7557542170624167E-3</v>
      </c>
    </row>
    <row r="6" spans="1:10" x14ac:dyDescent="0.3">
      <c r="A6" s="2" t="s">
        <v>125</v>
      </c>
      <c r="D6" s="2" t="s">
        <v>30</v>
      </c>
      <c r="E6" s="2">
        <v>1854</v>
      </c>
      <c r="F6" s="2">
        <v>161</v>
      </c>
      <c r="G6" s="2">
        <v>282466</v>
      </c>
      <c r="H6" s="2">
        <v>5.17</v>
      </c>
      <c r="I6" s="5">
        <v>1810</v>
      </c>
      <c r="J6" s="55">
        <f t="shared" si="0"/>
        <v>5.9936417126309005E-3</v>
      </c>
    </row>
    <row r="7" spans="1:10" x14ac:dyDescent="0.3">
      <c r="A7" s="2" t="s">
        <v>355</v>
      </c>
      <c r="D7" s="2" t="s">
        <v>40</v>
      </c>
      <c r="E7" s="2">
        <v>833</v>
      </c>
      <c r="F7" s="2">
        <v>380</v>
      </c>
      <c r="G7" s="2">
        <v>224830</v>
      </c>
      <c r="H7" s="2">
        <v>3.86</v>
      </c>
      <c r="I7" s="5">
        <v>3582</v>
      </c>
      <c r="J7" s="55">
        <f t="shared" si="0"/>
        <v>2.014855668727483E-3</v>
      </c>
    </row>
    <row r="8" spans="1:10" x14ac:dyDescent="0.3">
      <c r="A8" s="2" t="s">
        <v>147</v>
      </c>
      <c r="D8" s="2" t="s">
        <v>13</v>
      </c>
      <c r="E8" s="2">
        <v>436</v>
      </c>
      <c r="F8" s="2">
        <v>250</v>
      </c>
      <c r="G8" s="2">
        <v>254347</v>
      </c>
      <c r="H8" s="2">
        <v>4.01</v>
      </c>
      <c r="I8" s="5">
        <v>8912</v>
      </c>
      <c r="J8" s="55">
        <f t="shared" si="0"/>
        <v>7.3128442639386348E-4</v>
      </c>
    </row>
    <row r="9" spans="1:10" x14ac:dyDescent="0.3">
      <c r="A9" s="2" t="s">
        <v>147</v>
      </c>
      <c r="D9" s="2" t="s">
        <v>24</v>
      </c>
      <c r="E9" s="2">
        <v>1197</v>
      </c>
      <c r="F9" s="2">
        <v>203</v>
      </c>
      <c r="G9" s="2">
        <v>413878</v>
      </c>
      <c r="H9" s="2">
        <v>3.16</v>
      </c>
      <c r="I9" s="5">
        <v>21205</v>
      </c>
      <c r="J9" s="55">
        <f t="shared" si="0"/>
        <v>2.4016739232334168E-3</v>
      </c>
    </row>
    <row r="10" spans="1:10" x14ac:dyDescent="0.3">
      <c r="A10" s="2" t="s">
        <v>574</v>
      </c>
      <c r="D10" s="2" t="s">
        <v>30</v>
      </c>
      <c r="E10" s="2">
        <v>198</v>
      </c>
      <c r="F10" s="2">
        <v>358</v>
      </c>
      <c r="G10" s="2">
        <v>66682</v>
      </c>
      <c r="H10" s="2">
        <v>6.73</v>
      </c>
      <c r="I10" s="5">
        <v>2293</v>
      </c>
      <c r="J10" s="55">
        <f t="shared" si="0"/>
        <v>-2.3994481269308059E-3</v>
      </c>
    </row>
    <row r="11" spans="1:10" x14ac:dyDescent="0.3">
      <c r="A11" s="2" t="s">
        <v>261</v>
      </c>
      <c r="D11" s="2" t="s">
        <v>40</v>
      </c>
      <c r="E11" s="2">
        <v>160</v>
      </c>
      <c r="F11" s="2">
        <v>478</v>
      </c>
      <c r="G11" s="2">
        <v>435034</v>
      </c>
      <c r="H11" s="2">
        <v>7.73</v>
      </c>
      <c r="I11" s="5">
        <v>4839</v>
      </c>
      <c r="J11" s="55">
        <f t="shared" si="0"/>
        <v>-7.3097734889686784E-4</v>
      </c>
    </row>
    <row r="12" spans="1:10" x14ac:dyDescent="0.3">
      <c r="A12" s="2" t="s">
        <v>159</v>
      </c>
      <c r="D12" s="2" t="s">
        <v>13</v>
      </c>
      <c r="E12" s="2">
        <v>1335</v>
      </c>
      <c r="F12" s="2">
        <v>40</v>
      </c>
      <c r="G12" s="2">
        <v>122732</v>
      </c>
      <c r="H12" s="2">
        <v>8.19</v>
      </c>
      <c r="I12" s="5">
        <v>22482</v>
      </c>
      <c r="J12" s="55">
        <f t="shared" si="0"/>
        <v>1.0551445425805821E-2</v>
      </c>
    </row>
    <row r="13" spans="1:10" x14ac:dyDescent="0.3">
      <c r="A13" s="2" t="s">
        <v>159</v>
      </c>
      <c r="D13" s="2" t="s">
        <v>24</v>
      </c>
      <c r="E13" s="2">
        <v>403</v>
      </c>
      <c r="F13" s="2">
        <v>66</v>
      </c>
      <c r="G13" s="2">
        <v>382851</v>
      </c>
      <c r="H13" s="2">
        <v>3.49</v>
      </c>
      <c r="I13" s="5">
        <v>24313</v>
      </c>
      <c r="J13" s="55">
        <f t="shared" si="0"/>
        <v>8.80238003818718E-4</v>
      </c>
    </row>
    <row r="14" spans="1:10" x14ac:dyDescent="0.3">
      <c r="A14" s="2" t="s">
        <v>403</v>
      </c>
      <c r="D14" s="2" t="s">
        <v>30</v>
      </c>
      <c r="E14" s="2">
        <v>559</v>
      </c>
      <c r="F14" s="2">
        <v>392</v>
      </c>
      <c r="G14" s="2">
        <v>78789</v>
      </c>
      <c r="H14" s="2">
        <v>3.19</v>
      </c>
      <c r="I14" s="5">
        <v>2436</v>
      </c>
      <c r="J14" s="55">
        <f t="shared" si="0"/>
        <v>2.1195852212872357E-3</v>
      </c>
    </row>
    <row r="15" spans="1:10" x14ac:dyDescent="0.3">
      <c r="A15" s="2" t="s">
        <v>275</v>
      </c>
      <c r="D15" s="2" t="s">
        <v>40</v>
      </c>
      <c r="E15" s="2">
        <v>947</v>
      </c>
      <c r="F15" s="2">
        <v>407</v>
      </c>
      <c r="G15" s="2">
        <v>319186</v>
      </c>
      <c r="H15" s="2">
        <v>3.32</v>
      </c>
      <c r="I15" s="5">
        <v>4996</v>
      </c>
      <c r="J15" s="55">
        <f t="shared" si="0"/>
        <v>1.6918035252172713E-3</v>
      </c>
    </row>
    <row r="16" spans="1:10" x14ac:dyDescent="0.3">
      <c r="A16" s="2" t="s">
        <v>45</v>
      </c>
      <c r="D16" s="2" t="s">
        <v>13</v>
      </c>
      <c r="E16" s="2">
        <v>1238</v>
      </c>
      <c r="F16" s="2">
        <v>403</v>
      </c>
      <c r="G16" s="2">
        <v>298421</v>
      </c>
      <c r="H16" s="2">
        <v>3.5</v>
      </c>
      <c r="I16" s="5">
        <v>31280</v>
      </c>
      <c r="J16" s="55">
        <f t="shared" si="0"/>
        <v>2.798060458211721E-3</v>
      </c>
    </row>
    <row r="17" spans="1:10" x14ac:dyDescent="0.3">
      <c r="A17" s="2" t="s">
        <v>45</v>
      </c>
      <c r="D17" s="2" t="s">
        <v>24</v>
      </c>
      <c r="E17" s="2">
        <v>308</v>
      </c>
      <c r="F17" s="2">
        <v>431</v>
      </c>
      <c r="G17" s="2">
        <v>426184</v>
      </c>
      <c r="H17" s="2">
        <v>2.62</v>
      </c>
      <c r="I17" s="5">
        <v>1783</v>
      </c>
      <c r="J17" s="55">
        <f t="shared" si="0"/>
        <v>-2.8860773750305035E-4</v>
      </c>
    </row>
    <row r="18" spans="1:10" x14ac:dyDescent="0.3">
      <c r="A18" s="2" t="s">
        <v>242</v>
      </c>
      <c r="D18" s="2" t="s">
        <v>30</v>
      </c>
      <c r="E18" s="2">
        <v>1957</v>
      </c>
      <c r="F18" s="2">
        <v>234</v>
      </c>
      <c r="G18" s="2">
        <v>222126</v>
      </c>
      <c r="H18" s="2">
        <v>4.6100000000000003</v>
      </c>
      <c r="I18" s="5">
        <v>3314</v>
      </c>
      <c r="J18" s="55">
        <f t="shared" si="0"/>
        <v>7.7568587198256845E-3</v>
      </c>
    </row>
    <row r="19" spans="1:10" x14ac:dyDescent="0.3">
      <c r="A19" s="2" t="s">
        <v>564</v>
      </c>
      <c r="D19" s="2" t="s">
        <v>40</v>
      </c>
      <c r="E19" s="2">
        <v>643</v>
      </c>
      <c r="F19" s="2">
        <v>358</v>
      </c>
      <c r="G19" s="2">
        <v>157599</v>
      </c>
      <c r="H19" s="2">
        <v>3.88</v>
      </c>
      <c r="I19" s="5">
        <v>7285</v>
      </c>
      <c r="J19" s="55">
        <f t="shared" si="0"/>
        <v>1.8083871090552605E-3</v>
      </c>
    </row>
    <row r="20" spans="1:10" x14ac:dyDescent="0.3">
      <c r="A20" s="2" t="s">
        <v>444</v>
      </c>
      <c r="D20" s="2" t="s">
        <v>13</v>
      </c>
      <c r="E20" s="2">
        <v>1420</v>
      </c>
      <c r="F20" s="2">
        <v>63</v>
      </c>
      <c r="G20" s="2">
        <v>315305</v>
      </c>
      <c r="H20" s="2">
        <v>6.19</v>
      </c>
      <c r="I20" s="5">
        <v>5914</v>
      </c>
      <c r="J20" s="55">
        <f t="shared" si="0"/>
        <v>4.3037693661692649E-3</v>
      </c>
    </row>
    <row r="21" spans="1:10" x14ac:dyDescent="0.3">
      <c r="A21" s="2" t="s">
        <v>444</v>
      </c>
      <c r="D21" s="2" t="s">
        <v>24</v>
      </c>
      <c r="E21" s="2">
        <v>144</v>
      </c>
      <c r="F21" s="2">
        <v>53</v>
      </c>
      <c r="G21" s="2">
        <v>113678</v>
      </c>
      <c r="H21" s="2">
        <v>8.7200000000000006</v>
      </c>
      <c r="I21" s="5">
        <v>30060</v>
      </c>
      <c r="J21" s="55">
        <f t="shared" si="0"/>
        <v>8.0050669434719116E-4</v>
      </c>
    </row>
    <row r="22" spans="1:10" x14ac:dyDescent="0.3">
      <c r="A22" s="2" t="s">
        <v>567</v>
      </c>
      <c r="D22" s="2" t="s">
        <v>30</v>
      </c>
      <c r="E22" s="2">
        <v>1814</v>
      </c>
      <c r="F22" s="2">
        <v>49</v>
      </c>
      <c r="G22" s="2">
        <v>140804</v>
      </c>
      <c r="H22" s="2">
        <v>1.76</v>
      </c>
      <c r="I22" s="5">
        <v>4313</v>
      </c>
      <c r="J22" s="55">
        <f t="shared" si="0"/>
        <v>1.253515525127127E-2</v>
      </c>
    </row>
    <row r="23" spans="1:10" x14ac:dyDescent="0.3">
      <c r="A23" s="2" t="s">
        <v>575</v>
      </c>
      <c r="D23" s="2" t="s">
        <v>40</v>
      </c>
      <c r="E23" s="2">
        <v>1375</v>
      </c>
      <c r="F23" s="2">
        <v>330</v>
      </c>
      <c r="G23" s="2">
        <v>377382</v>
      </c>
      <c r="H23" s="2">
        <v>2.6</v>
      </c>
      <c r="I23" s="5">
        <v>7875</v>
      </c>
      <c r="J23" s="55">
        <f t="shared" si="0"/>
        <v>2.7690774864725927E-3</v>
      </c>
    </row>
    <row r="24" spans="1:10" x14ac:dyDescent="0.3">
      <c r="A24" s="2" t="s">
        <v>558</v>
      </c>
      <c r="D24" s="2" t="s">
        <v>13</v>
      </c>
      <c r="E24" s="2">
        <v>987</v>
      </c>
      <c r="F24" s="2">
        <v>440</v>
      </c>
      <c r="G24" s="2">
        <v>389810</v>
      </c>
      <c r="H24" s="2">
        <v>4.66</v>
      </c>
      <c r="I24" s="5">
        <v>2932</v>
      </c>
      <c r="J24" s="55">
        <f t="shared" si="0"/>
        <v>1.40324773607655E-3</v>
      </c>
    </row>
    <row r="25" spans="1:10" x14ac:dyDescent="0.3">
      <c r="A25" s="2" t="s">
        <v>558</v>
      </c>
      <c r="D25" s="2" t="s">
        <v>24</v>
      </c>
      <c r="E25" s="2">
        <v>883</v>
      </c>
      <c r="F25" s="2">
        <v>369</v>
      </c>
      <c r="G25" s="2">
        <v>233694</v>
      </c>
      <c r="H25" s="2">
        <v>2.88</v>
      </c>
      <c r="I25" s="5">
        <v>15071</v>
      </c>
      <c r="J25" s="55">
        <f t="shared" si="0"/>
        <v>2.1994574101175039E-3</v>
      </c>
    </row>
    <row r="26" spans="1:10" x14ac:dyDescent="0.3">
      <c r="A26" s="2" t="s">
        <v>14</v>
      </c>
      <c r="D26" s="2" t="s">
        <v>30</v>
      </c>
      <c r="E26" s="2">
        <v>1092</v>
      </c>
      <c r="F26" s="2">
        <v>408</v>
      </c>
      <c r="G26" s="2">
        <v>280795</v>
      </c>
      <c r="H26" s="2">
        <v>8.44</v>
      </c>
      <c r="I26" s="5">
        <v>4683</v>
      </c>
      <c r="J26" s="55">
        <f t="shared" si="0"/>
        <v>2.4359408109118751E-3</v>
      </c>
    </row>
    <row r="27" spans="1:10" x14ac:dyDescent="0.3">
      <c r="A27" s="2" t="s">
        <v>147</v>
      </c>
      <c r="D27" s="2" t="s">
        <v>40</v>
      </c>
      <c r="E27" s="2">
        <v>1697</v>
      </c>
      <c r="F27" s="2">
        <v>414</v>
      </c>
      <c r="G27" s="2">
        <v>316555</v>
      </c>
      <c r="H27" s="2">
        <v>2.37</v>
      </c>
      <c r="I27" s="5">
        <v>7924</v>
      </c>
      <c r="J27" s="55">
        <f t="shared" si="0"/>
        <v>4.0530081660374974E-3</v>
      </c>
    </row>
    <row r="28" spans="1:10" x14ac:dyDescent="0.3">
      <c r="A28" s="2" t="s">
        <v>308</v>
      </c>
      <c r="D28" s="2" t="s">
        <v>13</v>
      </c>
      <c r="E28" s="2">
        <v>704</v>
      </c>
      <c r="F28" s="2">
        <v>275</v>
      </c>
      <c r="G28" s="2">
        <v>226002</v>
      </c>
      <c r="H28" s="2">
        <v>8.56</v>
      </c>
      <c r="I28" s="5">
        <v>32393</v>
      </c>
      <c r="J28" s="55">
        <f t="shared" si="0"/>
        <v>1.8982132901478749E-3</v>
      </c>
    </row>
    <row r="29" spans="1:10" x14ac:dyDescent="0.3">
      <c r="A29" s="2" t="s">
        <v>308</v>
      </c>
      <c r="D29" s="2" t="s">
        <v>24</v>
      </c>
      <c r="E29" s="2">
        <v>224</v>
      </c>
      <c r="F29" s="2">
        <v>64</v>
      </c>
      <c r="G29" s="2">
        <v>156683</v>
      </c>
      <c r="H29" s="2">
        <v>4.5599999999999996</v>
      </c>
      <c r="I29" s="5">
        <v>28474</v>
      </c>
      <c r="J29" s="55">
        <f t="shared" si="0"/>
        <v>1.0211701333265254E-3</v>
      </c>
    </row>
    <row r="30" spans="1:10" x14ac:dyDescent="0.3">
      <c r="A30" s="2" t="s">
        <v>225</v>
      </c>
      <c r="D30" s="2" t="s">
        <v>30</v>
      </c>
      <c r="E30" s="2">
        <v>1135</v>
      </c>
      <c r="F30" s="2">
        <v>88</v>
      </c>
      <c r="G30" s="2">
        <v>344084</v>
      </c>
      <c r="H30" s="2">
        <v>8.06</v>
      </c>
      <c r="I30" s="5">
        <v>5904</v>
      </c>
      <c r="J30" s="55">
        <f t="shared" si="0"/>
        <v>3.0428616268120576E-3</v>
      </c>
    </row>
    <row r="31" spans="1:10" x14ac:dyDescent="0.3">
      <c r="A31" s="2" t="s">
        <v>225</v>
      </c>
      <c r="D31" s="2" t="s">
        <v>40</v>
      </c>
      <c r="E31" s="2">
        <v>1312</v>
      </c>
      <c r="F31" s="2">
        <v>310</v>
      </c>
      <c r="G31" s="2">
        <v>42654</v>
      </c>
      <c r="H31" s="2">
        <v>4.9800000000000004</v>
      </c>
      <c r="I31" s="5">
        <v>9566</v>
      </c>
      <c r="J31" s="55">
        <f t="shared" si="0"/>
        <v>2.3491348994232664E-2</v>
      </c>
    </row>
    <row r="32" spans="1:10" x14ac:dyDescent="0.3">
      <c r="A32" s="2" t="s">
        <v>559</v>
      </c>
      <c r="D32" s="2" t="s">
        <v>13</v>
      </c>
      <c r="E32" s="2">
        <v>1701</v>
      </c>
      <c r="F32" s="2">
        <v>385</v>
      </c>
      <c r="G32" s="2">
        <v>198278</v>
      </c>
      <c r="H32" s="2">
        <v>5.34</v>
      </c>
      <c r="I32" s="5">
        <v>32763</v>
      </c>
      <c r="J32" s="55">
        <f t="shared" si="0"/>
        <v>6.6371458255580548E-3</v>
      </c>
    </row>
    <row r="33" spans="1:10" x14ac:dyDescent="0.3">
      <c r="A33" s="2" t="s">
        <v>559</v>
      </c>
      <c r="D33" s="2" t="s">
        <v>24</v>
      </c>
      <c r="E33" s="2">
        <v>804</v>
      </c>
      <c r="F33" s="2">
        <v>487</v>
      </c>
      <c r="G33" s="2">
        <v>306564</v>
      </c>
      <c r="H33" s="2">
        <v>5.52</v>
      </c>
      <c r="I33" s="5">
        <v>26452</v>
      </c>
      <c r="J33" s="55">
        <f t="shared" si="0"/>
        <v>1.0340418313957282E-3</v>
      </c>
    </row>
    <row r="34" spans="1:10" x14ac:dyDescent="0.3">
      <c r="A34" s="2" t="s">
        <v>571</v>
      </c>
      <c r="D34" s="2" t="s">
        <v>30</v>
      </c>
      <c r="E34" s="2">
        <v>393</v>
      </c>
      <c r="F34" s="2">
        <v>181</v>
      </c>
      <c r="G34" s="2">
        <v>462142</v>
      </c>
      <c r="H34" s="2">
        <v>7.23</v>
      </c>
      <c r="I34" s="5">
        <v>6296</v>
      </c>
      <c r="J34" s="55">
        <f t="shared" ref="J34:J65" si="1">(E34-F34)/G34</f>
        <v>4.5873346287504706E-4</v>
      </c>
    </row>
    <row r="35" spans="1:10" x14ac:dyDescent="0.3">
      <c r="A35" s="2" t="s">
        <v>561</v>
      </c>
      <c r="D35" s="2" t="s">
        <v>40</v>
      </c>
      <c r="E35" s="2">
        <v>198</v>
      </c>
      <c r="F35" s="2">
        <v>217</v>
      </c>
      <c r="G35" s="2">
        <v>239753</v>
      </c>
      <c r="H35" s="2">
        <v>7.36</v>
      </c>
      <c r="I35" s="5">
        <v>11901</v>
      </c>
      <c r="J35" s="55">
        <f t="shared" si="1"/>
        <v>-7.9248226299566635E-5</v>
      </c>
    </row>
    <row r="36" spans="1:10" x14ac:dyDescent="0.3">
      <c r="A36" s="2" t="s">
        <v>261</v>
      </c>
      <c r="D36" s="2" t="s">
        <v>13</v>
      </c>
      <c r="E36" s="2">
        <v>1756</v>
      </c>
      <c r="F36" s="2">
        <v>261</v>
      </c>
      <c r="G36" s="2">
        <v>287574</v>
      </c>
      <c r="H36" s="2">
        <v>4.3600000000000003</v>
      </c>
      <c r="I36" s="5">
        <v>39272</v>
      </c>
      <c r="J36" s="55">
        <f t="shared" si="1"/>
        <v>5.1986619096302169E-3</v>
      </c>
    </row>
    <row r="37" spans="1:10" x14ac:dyDescent="0.3">
      <c r="A37" s="2" t="s">
        <v>261</v>
      </c>
      <c r="D37" s="2" t="s">
        <v>24</v>
      </c>
      <c r="E37" s="2">
        <v>576</v>
      </c>
      <c r="F37" s="2">
        <v>101</v>
      </c>
      <c r="G37" s="2">
        <v>62499</v>
      </c>
      <c r="H37" s="2">
        <v>3.48</v>
      </c>
      <c r="I37" s="5">
        <v>16804</v>
      </c>
      <c r="J37" s="55">
        <f t="shared" si="1"/>
        <v>7.600121601945631E-3</v>
      </c>
    </row>
    <row r="38" spans="1:10" x14ac:dyDescent="0.3">
      <c r="A38" s="2" t="s">
        <v>572</v>
      </c>
      <c r="D38" s="2" t="s">
        <v>30</v>
      </c>
      <c r="E38" s="2">
        <v>1102</v>
      </c>
      <c r="F38" s="2">
        <v>422</v>
      </c>
      <c r="G38" s="2">
        <v>410330</v>
      </c>
      <c r="H38" s="2">
        <v>7.74</v>
      </c>
      <c r="I38" s="5">
        <v>9480</v>
      </c>
      <c r="J38" s="55">
        <f t="shared" si="1"/>
        <v>1.6572027392586454E-3</v>
      </c>
    </row>
    <row r="39" spans="1:10" x14ac:dyDescent="0.3">
      <c r="A39" s="2" t="s">
        <v>78</v>
      </c>
      <c r="D39" s="2" t="s">
        <v>40</v>
      </c>
      <c r="E39" s="2">
        <v>1078</v>
      </c>
      <c r="F39" s="2">
        <v>20</v>
      </c>
      <c r="G39" s="2">
        <v>183924</v>
      </c>
      <c r="H39" s="2">
        <v>8.84</v>
      </c>
      <c r="I39" s="5">
        <v>14203</v>
      </c>
      <c r="J39" s="55">
        <f t="shared" si="1"/>
        <v>5.7523759813836147E-3</v>
      </c>
    </row>
    <row r="40" spans="1:10" x14ac:dyDescent="0.3">
      <c r="A40" s="2" t="s">
        <v>487</v>
      </c>
      <c r="D40" s="2" t="s">
        <v>13</v>
      </c>
      <c r="E40" s="2">
        <v>826</v>
      </c>
      <c r="F40" s="2">
        <v>498</v>
      </c>
      <c r="G40" s="2">
        <v>449994</v>
      </c>
      <c r="H40" s="2">
        <v>9.43</v>
      </c>
      <c r="I40" s="5">
        <v>12384</v>
      </c>
      <c r="J40" s="55">
        <f t="shared" si="1"/>
        <v>7.2889860753698943E-4</v>
      </c>
    </row>
    <row r="41" spans="1:10" x14ac:dyDescent="0.3">
      <c r="A41" s="2" t="s">
        <v>487</v>
      </c>
      <c r="D41" s="2" t="s">
        <v>24</v>
      </c>
      <c r="E41" s="2">
        <v>460</v>
      </c>
      <c r="F41" s="2">
        <v>141</v>
      </c>
      <c r="G41" s="2">
        <v>320650</v>
      </c>
      <c r="H41" s="2">
        <v>4.04</v>
      </c>
      <c r="I41" s="5">
        <v>49372</v>
      </c>
      <c r="J41" s="55">
        <f t="shared" si="1"/>
        <v>9.9485420240137223E-4</v>
      </c>
    </row>
    <row r="42" spans="1:10" x14ac:dyDescent="0.3">
      <c r="A42" s="2" t="s">
        <v>444</v>
      </c>
      <c r="D42" s="2" t="s">
        <v>30</v>
      </c>
      <c r="E42" s="2">
        <v>226</v>
      </c>
      <c r="F42" s="2">
        <v>445</v>
      </c>
      <c r="G42" s="2">
        <v>419447</v>
      </c>
      <c r="H42" s="2">
        <v>9.36</v>
      </c>
      <c r="I42" s="5">
        <v>9566</v>
      </c>
      <c r="J42" s="55">
        <f t="shared" si="1"/>
        <v>-5.2211602419375983E-4</v>
      </c>
    </row>
    <row r="43" spans="1:10" x14ac:dyDescent="0.3">
      <c r="A43" s="2" t="s">
        <v>121</v>
      </c>
      <c r="D43" s="2" t="s">
        <v>40</v>
      </c>
      <c r="E43" s="2">
        <v>816</v>
      </c>
      <c r="F43" s="2">
        <v>196</v>
      </c>
      <c r="G43" s="2">
        <v>95728</v>
      </c>
      <c r="H43" s="2">
        <v>8.1999999999999993</v>
      </c>
      <c r="I43" s="5">
        <v>17951</v>
      </c>
      <c r="J43" s="55">
        <f t="shared" si="1"/>
        <v>6.4766839378238338E-3</v>
      </c>
    </row>
    <row r="44" spans="1:10" x14ac:dyDescent="0.3">
      <c r="A44" s="2" t="s">
        <v>31</v>
      </c>
      <c r="D44" s="2" t="s">
        <v>13</v>
      </c>
      <c r="E44" s="2">
        <v>485</v>
      </c>
      <c r="F44" s="2">
        <v>448</v>
      </c>
      <c r="G44" s="2">
        <v>434883</v>
      </c>
      <c r="H44" s="2">
        <v>8.5500000000000007</v>
      </c>
      <c r="I44" s="5">
        <v>33258</v>
      </c>
      <c r="J44" s="55">
        <f t="shared" si="1"/>
        <v>8.5080354946042954E-5</v>
      </c>
    </row>
    <row r="45" spans="1:10" x14ac:dyDescent="0.3">
      <c r="A45" s="2" t="s">
        <v>31</v>
      </c>
      <c r="D45" s="2" t="s">
        <v>24</v>
      </c>
      <c r="E45" s="2">
        <v>1210</v>
      </c>
      <c r="F45" s="2">
        <v>178</v>
      </c>
      <c r="G45" s="2">
        <v>102042</v>
      </c>
      <c r="H45" s="2">
        <v>5.42</v>
      </c>
      <c r="I45" s="5">
        <v>6915</v>
      </c>
      <c r="J45" s="55">
        <f t="shared" si="1"/>
        <v>1.011348268360087E-2</v>
      </c>
    </row>
    <row r="46" spans="1:10" x14ac:dyDescent="0.3">
      <c r="A46" s="2" t="s">
        <v>147</v>
      </c>
      <c r="D46" s="2" t="s">
        <v>30</v>
      </c>
      <c r="E46" s="2">
        <v>656</v>
      </c>
      <c r="F46" s="2">
        <v>139</v>
      </c>
      <c r="G46" s="2">
        <v>49157</v>
      </c>
      <c r="H46" s="2">
        <v>9.0500000000000007</v>
      </c>
      <c r="I46" s="5">
        <v>9920</v>
      </c>
      <c r="J46" s="55">
        <f t="shared" si="1"/>
        <v>1.0517322049758936E-2</v>
      </c>
    </row>
    <row r="47" spans="1:10" x14ac:dyDescent="0.3">
      <c r="A47" s="2" t="s">
        <v>214</v>
      </c>
      <c r="D47" s="2" t="s">
        <v>40</v>
      </c>
      <c r="E47" s="2">
        <v>1514</v>
      </c>
      <c r="F47" s="2">
        <v>141</v>
      </c>
      <c r="G47" s="2">
        <v>35842</v>
      </c>
      <c r="H47" s="2">
        <v>7.47</v>
      </c>
      <c r="I47" s="5">
        <v>18601</v>
      </c>
      <c r="J47" s="55">
        <f t="shared" si="1"/>
        <v>3.8307014117515761E-2</v>
      </c>
    </row>
    <row r="48" spans="1:10" x14ac:dyDescent="0.3">
      <c r="A48" s="2" t="s">
        <v>78</v>
      </c>
      <c r="D48" s="2" t="s">
        <v>13</v>
      </c>
      <c r="E48" s="2">
        <v>1751</v>
      </c>
      <c r="F48" s="2">
        <v>86</v>
      </c>
      <c r="G48" s="2">
        <v>188655</v>
      </c>
      <c r="H48" s="2">
        <v>7.24</v>
      </c>
      <c r="I48" s="5">
        <v>22206</v>
      </c>
      <c r="J48" s="55">
        <f t="shared" si="1"/>
        <v>8.825634093981077E-3</v>
      </c>
    </row>
    <row r="49" spans="1:10" x14ac:dyDescent="0.3">
      <c r="A49" s="2" t="s">
        <v>78</v>
      </c>
      <c r="D49" s="2" t="s">
        <v>24</v>
      </c>
      <c r="E49" s="2">
        <v>221</v>
      </c>
      <c r="F49" s="2">
        <v>31</v>
      </c>
      <c r="G49" s="2">
        <v>87443</v>
      </c>
      <c r="H49" s="2">
        <v>6.19</v>
      </c>
      <c r="I49" s="5">
        <v>10283</v>
      </c>
      <c r="J49" s="55">
        <f t="shared" si="1"/>
        <v>2.1728440241071327E-3</v>
      </c>
    </row>
    <row r="50" spans="1:10" x14ac:dyDescent="0.3">
      <c r="A50" s="2" t="s">
        <v>308</v>
      </c>
      <c r="D50" s="2" t="s">
        <v>30</v>
      </c>
      <c r="E50" s="2">
        <v>1960</v>
      </c>
      <c r="F50" s="2">
        <v>115</v>
      </c>
      <c r="G50" s="2">
        <v>154169</v>
      </c>
      <c r="H50" s="2">
        <v>3.74</v>
      </c>
      <c r="I50" s="5">
        <v>10740</v>
      </c>
      <c r="J50" s="55">
        <f t="shared" si="1"/>
        <v>1.1967386439556591E-2</v>
      </c>
    </row>
    <row r="51" spans="1:10" x14ac:dyDescent="0.3">
      <c r="A51" s="2" t="s">
        <v>108</v>
      </c>
      <c r="D51" s="2" t="s">
        <v>40</v>
      </c>
      <c r="E51" s="2">
        <v>1623</v>
      </c>
      <c r="F51" s="2">
        <v>246</v>
      </c>
      <c r="G51" s="2">
        <v>415815</v>
      </c>
      <c r="H51" s="2">
        <v>8.11</v>
      </c>
      <c r="I51" s="5">
        <v>18656</v>
      </c>
      <c r="J51" s="55">
        <f t="shared" si="1"/>
        <v>3.311568846722701E-3</v>
      </c>
    </row>
    <row r="52" spans="1:10" x14ac:dyDescent="0.3">
      <c r="A52" s="2" t="s">
        <v>74</v>
      </c>
      <c r="D52" s="2" t="s">
        <v>13</v>
      </c>
      <c r="E52" s="2">
        <v>1300</v>
      </c>
      <c r="F52" s="2">
        <v>71</v>
      </c>
      <c r="G52" s="2">
        <v>186454</v>
      </c>
      <c r="H52" s="2">
        <v>3.91</v>
      </c>
      <c r="I52" s="5">
        <v>9942</v>
      </c>
      <c r="J52" s="55">
        <f t="shared" si="1"/>
        <v>6.5914381026955706E-3</v>
      </c>
    </row>
    <row r="53" spans="1:10" x14ac:dyDescent="0.3">
      <c r="A53" s="2" t="s">
        <v>74</v>
      </c>
      <c r="D53" s="2" t="s">
        <v>24</v>
      </c>
      <c r="E53" s="2">
        <v>422</v>
      </c>
      <c r="F53" s="2">
        <v>394</v>
      </c>
      <c r="G53" s="2">
        <v>239044</v>
      </c>
      <c r="H53" s="2">
        <v>7.83</v>
      </c>
      <c r="I53" s="5">
        <v>32929</v>
      </c>
      <c r="J53" s="55">
        <f t="shared" si="1"/>
        <v>1.1713324743561855E-4</v>
      </c>
    </row>
    <row r="54" spans="1:10" x14ac:dyDescent="0.3">
      <c r="A54" s="2" t="s">
        <v>570</v>
      </c>
      <c r="D54" s="2" t="s">
        <v>30</v>
      </c>
      <c r="E54" s="2">
        <v>1556</v>
      </c>
      <c r="F54" s="2">
        <v>476</v>
      </c>
      <c r="G54" s="2">
        <v>351556</v>
      </c>
      <c r="H54" s="2">
        <v>3.89</v>
      </c>
      <c r="I54" s="5">
        <v>10825</v>
      </c>
      <c r="J54" s="55">
        <f t="shared" si="1"/>
        <v>3.0720567989168156E-3</v>
      </c>
    </row>
    <row r="55" spans="1:10" x14ac:dyDescent="0.3">
      <c r="A55" s="2" t="s">
        <v>191</v>
      </c>
      <c r="D55" s="2" t="s">
        <v>40</v>
      </c>
      <c r="E55" s="2">
        <v>345</v>
      </c>
      <c r="F55" s="2">
        <v>464</v>
      </c>
      <c r="G55" s="2">
        <v>366881</v>
      </c>
      <c r="H55" s="2">
        <v>4.55</v>
      </c>
      <c r="I55" s="5">
        <v>20553</v>
      </c>
      <c r="J55" s="55">
        <f t="shared" si="1"/>
        <v>-3.2435585380545735E-4</v>
      </c>
    </row>
    <row r="56" spans="1:10" x14ac:dyDescent="0.3">
      <c r="A56" s="2" t="s">
        <v>189</v>
      </c>
      <c r="D56" s="2" t="s">
        <v>13</v>
      </c>
      <c r="E56" s="2">
        <v>557</v>
      </c>
      <c r="F56" s="2">
        <v>360</v>
      </c>
      <c r="G56" s="2">
        <v>318779</v>
      </c>
      <c r="H56" s="2">
        <v>8.02</v>
      </c>
      <c r="I56" s="5">
        <v>25797</v>
      </c>
      <c r="J56" s="55">
        <f t="shared" si="1"/>
        <v>6.1798299135137512E-4</v>
      </c>
    </row>
    <row r="57" spans="1:10" x14ac:dyDescent="0.3">
      <c r="A57" s="2" t="s">
        <v>189</v>
      </c>
      <c r="D57" s="2" t="s">
        <v>24</v>
      </c>
      <c r="E57" s="2">
        <v>728</v>
      </c>
      <c r="F57" s="2">
        <v>395</v>
      </c>
      <c r="G57" s="2">
        <v>370971</v>
      </c>
      <c r="H57" s="2">
        <v>3.86</v>
      </c>
      <c r="I57" s="5">
        <v>12646</v>
      </c>
      <c r="J57" s="55">
        <f t="shared" si="1"/>
        <v>8.9764429025449434E-4</v>
      </c>
    </row>
    <row r="58" spans="1:10" x14ac:dyDescent="0.3">
      <c r="A58" s="2" t="s">
        <v>159</v>
      </c>
      <c r="D58" s="2" t="s">
        <v>30</v>
      </c>
      <c r="E58" s="2">
        <v>1048</v>
      </c>
      <c r="F58" s="2">
        <v>155</v>
      </c>
      <c r="G58" s="2">
        <v>456946</v>
      </c>
      <c r="H58" s="2">
        <v>2.46</v>
      </c>
      <c r="I58" s="5">
        <v>11329</v>
      </c>
      <c r="J58" s="55">
        <f t="shared" si="1"/>
        <v>1.9542790614208243E-3</v>
      </c>
    </row>
    <row r="59" spans="1:10" x14ac:dyDescent="0.3">
      <c r="A59" s="2" t="s">
        <v>217</v>
      </c>
      <c r="D59" s="2" t="s">
        <v>40</v>
      </c>
      <c r="E59" s="2">
        <v>1249</v>
      </c>
      <c r="F59" s="2">
        <v>351</v>
      </c>
      <c r="G59" s="2">
        <v>321307</v>
      </c>
      <c r="H59" s="2">
        <v>6.37</v>
      </c>
      <c r="I59" s="5">
        <v>20560</v>
      </c>
      <c r="J59" s="55">
        <f t="shared" si="1"/>
        <v>2.7948348464241365E-3</v>
      </c>
    </row>
    <row r="60" spans="1:10" x14ac:dyDescent="0.3">
      <c r="A60" s="2" t="s">
        <v>84</v>
      </c>
      <c r="D60" s="2" t="s">
        <v>13</v>
      </c>
      <c r="E60" s="2">
        <v>751</v>
      </c>
      <c r="F60" s="2">
        <v>491</v>
      </c>
      <c r="G60" s="2">
        <v>434047</v>
      </c>
      <c r="H60" s="2">
        <v>9.24</v>
      </c>
      <c r="I60" s="5">
        <v>15476</v>
      </c>
      <c r="J60" s="55">
        <f t="shared" si="1"/>
        <v>5.990134708914012E-4</v>
      </c>
    </row>
    <row r="61" spans="1:10" x14ac:dyDescent="0.3">
      <c r="A61" s="2" t="s">
        <v>84</v>
      </c>
      <c r="D61" s="2" t="s">
        <v>24</v>
      </c>
      <c r="E61" s="2">
        <v>1409</v>
      </c>
      <c r="F61" s="2">
        <v>309</v>
      </c>
      <c r="G61" s="2">
        <v>64583</v>
      </c>
      <c r="H61" s="2">
        <v>8.99</v>
      </c>
      <c r="I61" s="5">
        <v>10217</v>
      </c>
      <c r="J61" s="55">
        <f t="shared" si="1"/>
        <v>1.7032345973398571E-2</v>
      </c>
    </row>
    <row r="62" spans="1:10" x14ac:dyDescent="0.3">
      <c r="A62" s="2" t="s">
        <v>195</v>
      </c>
      <c r="D62" s="2" t="s">
        <v>30</v>
      </c>
      <c r="E62" s="2">
        <v>642</v>
      </c>
      <c r="F62" s="2">
        <v>66</v>
      </c>
      <c r="G62" s="2">
        <v>346522</v>
      </c>
      <c r="H62" s="2">
        <v>5.85</v>
      </c>
      <c r="I62" s="5">
        <v>13116</v>
      </c>
      <c r="J62" s="55">
        <f t="shared" si="1"/>
        <v>1.6622321237901201E-3</v>
      </c>
    </row>
    <row r="63" spans="1:10" x14ac:dyDescent="0.3">
      <c r="A63" s="2" t="s">
        <v>227</v>
      </c>
      <c r="D63" s="2" t="s">
        <v>40</v>
      </c>
      <c r="E63" s="2">
        <v>609</v>
      </c>
      <c r="F63" s="2">
        <v>135</v>
      </c>
      <c r="G63" s="2">
        <v>373606</v>
      </c>
      <c r="H63" s="2">
        <v>8.52</v>
      </c>
      <c r="I63" s="5">
        <v>21453</v>
      </c>
      <c r="J63" s="55">
        <f t="shared" si="1"/>
        <v>1.268716241173857E-3</v>
      </c>
    </row>
    <row r="64" spans="1:10" x14ac:dyDescent="0.3">
      <c r="A64" s="2" t="s">
        <v>560</v>
      </c>
      <c r="D64" s="2" t="s">
        <v>13</v>
      </c>
      <c r="E64" s="2">
        <v>1472</v>
      </c>
      <c r="F64" s="2">
        <v>347</v>
      </c>
      <c r="G64" s="2">
        <v>392355</v>
      </c>
      <c r="H64" s="2">
        <v>8.59</v>
      </c>
      <c r="I64" s="5">
        <v>30270</v>
      </c>
      <c r="J64" s="55">
        <f t="shared" si="1"/>
        <v>2.8673012960201858E-3</v>
      </c>
    </row>
    <row r="65" spans="1:10" x14ac:dyDescent="0.3">
      <c r="A65" s="2" t="s">
        <v>560</v>
      </c>
      <c r="D65" s="2" t="s">
        <v>24</v>
      </c>
      <c r="E65" s="2">
        <v>123</v>
      </c>
      <c r="F65" s="2">
        <v>155</v>
      </c>
      <c r="G65" s="2">
        <v>119934</v>
      </c>
      <c r="H65" s="2">
        <v>3.5</v>
      </c>
      <c r="I65" s="5">
        <v>5442</v>
      </c>
      <c r="J65" s="55">
        <f t="shared" si="1"/>
        <v>-2.6681341404439108E-4</v>
      </c>
    </row>
    <row r="66" spans="1:10" x14ac:dyDescent="0.3">
      <c r="A66" s="2" t="s">
        <v>355</v>
      </c>
      <c r="D66" s="2" t="s">
        <v>30</v>
      </c>
      <c r="E66" s="2">
        <v>1693</v>
      </c>
      <c r="F66" s="2">
        <v>154</v>
      </c>
      <c r="G66" s="2">
        <v>445944</v>
      </c>
      <c r="H66" s="2">
        <v>5.69</v>
      </c>
      <c r="I66" s="5">
        <v>14216</v>
      </c>
      <c r="J66" s="55">
        <f t="shared" ref="J66:J97" si="2">(E66-F66)/G66</f>
        <v>3.4511059684624078E-3</v>
      </c>
    </row>
    <row r="67" spans="1:10" x14ac:dyDescent="0.3">
      <c r="A67" s="2" t="s">
        <v>571</v>
      </c>
      <c r="D67" s="2" t="s">
        <v>40</v>
      </c>
      <c r="E67" s="2">
        <v>1098</v>
      </c>
      <c r="F67" s="2">
        <v>190</v>
      </c>
      <c r="G67" s="2">
        <v>340842</v>
      </c>
      <c r="H67" s="2">
        <v>9.39</v>
      </c>
      <c r="I67" s="5">
        <v>21539</v>
      </c>
      <c r="J67" s="55">
        <f t="shared" si="2"/>
        <v>2.6639909400836752E-3</v>
      </c>
    </row>
    <row r="68" spans="1:10" x14ac:dyDescent="0.3">
      <c r="A68" s="2" t="s">
        <v>561</v>
      </c>
      <c r="D68" s="2" t="s">
        <v>13</v>
      </c>
      <c r="E68" s="2">
        <v>1911</v>
      </c>
      <c r="F68" s="2">
        <v>231</v>
      </c>
      <c r="G68" s="2">
        <v>268516</v>
      </c>
      <c r="H68" s="2">
        <v>8.5500000000000007</v>
      </c>
      <c r="I68" s="5">
        <v>24018</v>
      </c>
      <c r="J68" s="55">
        <f t="shared" si="2"/>
        <v>6.2566104068286429E-3</v>
      </c>
    </row>
    <row r="69" spans="1:10" x14ac:dyDescent="0.3">
      <c r="A69" s="2" t="s">
        <v>561</v>
      </c>
      <c r="D69" s="2" t="s">
        <v>24</v>
      </c>
      <c r="E69" s="2">
        <v>1218</v>
      </c>
      <c r="F69" s="2">
        <v>212</v>
      </c>
      <c r="G69" s="2">
        <v>63177</v>
      </c>
      <c r="H69" s="2">
        <v>8.1300000000000008</v>
      </c>
      <c r="I69" s="5">
        <v>38883</v>
      </c>
      <c r="J69" s="55">
        <f t="shared" si="2"/>
        <v>1.592351646960128E-2</v>
      </c>
    </row>
    <row r="70" spans="1:10" x14ac:dyDescent="0.3">
      <c r="A70" s="2" t="s">
        <v>568</v>
      </c>
      <c r="D70" s="2" t="s">
        <v>30</v>
      </c>
      <c r="E70" s="2">
        <v>1855</v>
      </c>
      <c r="F70" s="2">
        <v>133</v>
      </c>
      <c r="G70" s="2">
        <v>349413</v>
      </c>
      <c r="H70" s="2">
        <v>3.3</v>
      </c>
      <c r="I70" s="5">
        <v>14548</v>
      </c>
      <c r="J70" s="55">
        <f t="shared" si="2"/>
        <v>4.9282654051223049E-3</v>
      </c>
    </row>
    <row r="71" spans="1:10" x14ac:dyDescent="0.3">
      <c r="A71" s="2" t="s">
        <v>143</v>
      </c>
      <c r="D71" s="2" t="s">
        <v>40</v>
      </c>
      <c r="E71" s="2">
        <v>1884</v>
      </c>
      <c r="F71" s="2">
        <v>177</v>
      </c>
      <c r="G71" s="2">
        <v>230448</v>
      </c>
      <c r="H71" s="2">
        <v>7.8</v>
      </c>
      <c r="I71" s="5">
        <v>22713</v>
      </c>
      <c r="J71" s="55">
        <f t="shared" si="2"/>
        <v>7.4073109768798169E-3</v>
      </c>
    </row>
    <row r="72" spans="1:10" x14ac:dyDescent="0.3">
      <c r="A72" s="2" t="s">
        <v>562</v>
      </c>
      <c r="D72" s="2" t="s">
        <v>13</v>
      </c>
      <c r="E72" s="2">
        <v>752</v>
      </c>
      <c r="F72" s="2">
        <v>153</v>
      </c>
      <c r="G72" s="2">
        <v>64906</v>
      </c>
      <c r="H72" s="2">
        <v>2.09</v>
      </c>
      <c r="I72" s="5">
        <v>12148</v>
      </c>
      <c r="J72" s="55">
        <f t="shared" si="2"/>
        <v>9.2287307798970819E-3</v>
      </c>
    </row>
    <row r="73" spans="1:10" x14ac:dyDescent="0.3">
      <c r="A73" s="2" t="s">
        <v>562</v>
      </c>
      <c r="D73" s="2" t="s">
        <v>24</v>
      </c>
      <c r="E73" s="2">
        <v>1918</v>
      </c>
      <c r="F73" s="2">
        <v>212</v>
      </c>
      <c r="G73" s="2">
        <v>94360</v>
      </c>
      <c r="H73" s="2">
        <v>7.36</v>
      </c>
      <c r="I73" s="5">
        <v>36851</v>
      </c>
      <c r="J73" s="55">
        <f t="shared" si="2"/>
        <v>1.8079694785926241E-2</v>
      </c>
    </row>
    <row r="74" spans="1:10" x14ac:dyDescent="0.3">
      <c r="A74" s="2" t="s">
        <v>261</v>
      </c>
      <c r="D74" s="2" t="s">
        <v>30</v>
      </c>
      <c r="E74" s="2">
        <v>653</v>
      </c>
      <c r="F74" s="2">
        <v>112</v>
      </c>
      <c r="G74" s="2">
        <v>23664</v>
      </c>
      <c r="H74" s="2">
        <v>4.05</v>
      </c>
      <c r="I74" s="5">
        <v>15353</v>
      </c>
      <c r="J74" s="55">
        <f t="shared" si="2"/>
        <v>2.2861730899256253E-2</v>
      </c>
    </row>
    <row r="75" spans="1:10" x14ac:dyDescent="0.3">
      <c r="A75" s="2" t="s">
        <v>573</v>
      </c>
      <c r="D75" s="2" t="s">
        <v>40</v>
      </c>
      <c r="E75" s="2">
        <v>988</v>
      </c>
      <c r="F75" s="2">
        <v>474</v>
      </c>
      <c r="G75" s="2">
        <v>370070</v>
      </c>
      <c r="H75" s="2">
        <v>9.4600000000000009</v>
      </c>
      <c r="I75" s="5">
        <v>23461</v>
      </c>
      <c r="J75" s="55">
        <f t="shared" si="2"/>
        <v>1.3889264193260734E-3</v>
      </c>
    </row>
    <row r="76" spans="1:10" x14ac:dyDescent="0.3">
      <c r="A76" s="2" t="s">
        <v>563</v>
      </c>
      <c r="D76" s="2" t="s">
        <v>13</v>
      </c>
      <c r="E76" s="2">
        <v>437</v>
      </c>
      <c r="F76" s="2">
        <v>330</v>
      </c>
      <c r="G76" s="2">
        <v>476486</v>
      </c>
      <c r="H76" s="2">
        <v>4.97</v>
      </c>
      <c r="I76" s="5">
        <v>4509</v>
      </c>
      <c r="J76" s="55">
        <f t="shared" si="2"/>
        <v>2.2456063766826309E-4</v>
      </c>
    </row>
    <row r="77" spans="1:10" x14ac:dyDescent="0.3">
      <c r="A77" s="2" t="s">
        <v>563</v>
      </c>
      <c r="D77" s="2" t="s">
        <v>24</v>
      </c>
      <c r="E77" s="2">
        <v>307</v>
      </c>
      <c r="F77" s="2">
        <v>189</v>
      </c>
      <c r="G77" s="2">
        <v>117767</v>
      </c>
      <c r="H77" s="2">
        <v>9.3000000000000007</v>
      </c>
      <c r="I77" s="5">
        <v>27822</v>
      </c>
      <c r="J77" s="55">
        <f t="shared" si="2"/>
        <v>1.0019784829366461E-3</v>
      </c>
    </row>
    <row r="78" spans="1:10" x14ac:dyDescent="0.3">
      <c r="A78" s="2" t="s">
        <v>559</v>
      </c>
      <c r="D78" s="2" t="s">
        <v>30</v>
      </c>
      <c r="E78" s="2">
        <v>508</v>
      </c>
      <c r="F78" s="2">
        <v>349</v>
      </c>
      <c r="G78" s="2">
        <v>473812</v>
      </c>
      <c r="H78" s="2">
        <v>7.88</v>
      </c>
      <c r="I78" s="5">
        <v>17328</v>
      </c>
      <c r="J78" s="55">
        <f t="shared" si="2"/>
        <v>3.3557613568250698E-4</v>
      </c>
    </row>
    <row r="79" spans="1:10" x14ac:dyDescent="0.3">
      <c r="A79" s="2" t="s">
        <v>242</v>
      </c>
      <c r="D79" s="2" t="s">
        <v>40</v>
      </c>
      <c r="E79" s="2">
        <v>1294</v>
      </c>
      <c r="F79" s="2">
        <v>382</v>
      </c>
      <c r="G79" s="2">
        <v>309914</v>
      </c>
      <c r="H79" s="2">
        <v>8.0299999999999994</v>
      </c>
      <c r="I79" s="5">
        <v>23489</v>
      </c>
      <c r="J79" s="55">
        <f t="shared" si="2"/>
        <v>2.9427518601934728E-3</v>
      </c>
    </row>
    <row r="80" spans="1:10" x14ac:dyDescent="0.3">
      <c r="A80" s="2" t="s">
        <v>564</v>
      </c>
      <c r="D80" s="2" t="s">
        <v>13</v>
      </c>
      <c r="E80" s="2">
        <v>201</v>
      </c>
      <c r="F80" s="2">
        <v>221</v>
      </c>
      <c r="G80" s="2">
        <v>309772</v>
      </c>
      <c r="H80" s="2">
        <v>5.9</v>
      </c>
      <c r="I80" s="5">
        <v>33174</v>
      </c>
      <c r="J80" s="55">
        <f t="shared" si="2"/>
        <v>-6.456361452939582E-5</v>
      </c>
    </row>
    <row r="81" spans="1:10" x14ac:dyDescent="0.3">
      <c r="A81" s="2" t="s">
        <v>564</v>
      </c>
      <c r="D81" s="2" t="s">
        <v>24</v>
      </c>
      <c r="E81" s="2">
        <v>414</v>
      </c>
      <c r="F81" s="2">
        <v>47</v>
      </c>
      <c r="G81" s="2">
        <v>199178</v>
      </c>
      <c r="H81" s="2">
        <v>1.53</v>
      </c>
      <c r="I81" s="5">
        <v>6742</v>
      </c>
      <c r="J81" s="55">
        <f t="shared" si="2"/>
        <v>1.8425729749269497E-3</v>
      </c>
    </row>
    <row r="82" spans="1:10" x14ac:dyDescent="0.3">
      <c r="A82" s="2" t="s">
        <v>45</v>
      </c>
      <c r="D82" s="2" t="s">
        <v>30</v>
      </c>
      <c r="E82" s="2">
        <v>911</v>
      </c>
      <c r="F82" s="2">
        <v>282</v>
      </c>
      <c r="G82" s="2">
        <v>35664</v>
      </c>
      <c r="H82" s="2">
        <v>6.92</v>
      </c>
      <c r="I82" s="5">
        <v>18050</v>
      </c>
      <c r="J82" s="55">
        <f t="shared" si="2"/>
        <v>1.7636832660385824E-2</v>
      </c>
    </row>
    <row r="83" spans="1:10" x14ac:dyDescent="0.3">
      <c r="A83" s="2" t="s">
        <v>569</v>
      </c>
      <c r="D83" s="2" t="s">
        <v>40</v>
      </c>
      <c r="E83" s="2">
        <v>663</v>
      </c>
      <c r="F83" s="2">
        <v>236</v>
      </c>
      <c r="G83" s="2">
        <v>479490</v>
      </c>
      <c r="H83" s="2">
        <v>4.51</v>
      </c>
      <c r="I83" s="5">
        <v>23853</v>
      </c>
      <c r="J83" s="55">
        <f t="shared" si="2"/>
        <v>8.9052952094934197E-4</v>
      </c>
    </row>
    <row r="84" spans="1:10" x14ac:dyDescent="0.3">
      <c r="A84" s="2" t="s">
        <v>163</v>
      </c>
      <c r="D84" s="2" t="s">
        <v>13</v>
      </c>
      <c r="E84" s="2">
        <v>697</v>
      </c>
      <c r="F84" s="2">
        <v>61</v>
      </c>
      <c r="G84" s="2">
        <v>258287</v>
      </c>
      <c r="H84" s="2">
        <v>8.25</v>
      </c>
      <c r="I84" s="5">
        <v>21208</v>
      </c>
      <c r="J84" s="55">
        <f t="shared" si="2"/>
        <v>2.4623771231227277E-3</v>
      </c>
    </row>
    <row r="85" spans="1:10" x14ac:dyDescent="0.3">
      <c r="A85" s="2" t="s">
        <v>163</v>
      </c>
      <c r="D85" s="2" t="s">
        <v>24</v>
      </c>
      <c r="E85" s="2">
        <v>1707</v>
      </c>
      <c r="F85" s="2">
        <v>223</v>
      </c>
      <c r="G85" s="2">
        <v>256910</v>
      </c>
      <c r="H85" s="2">
        <v>5.41</v>
      </c>
      <c r="I85" s="5">
        <v>44321</v>
      </c>
      <c r="J85" s="55">
        <f t="shared" si="2"/>
        <v>5.7763419096181542E-3</v>
      </c>
    </row>
    <row r="86" spans="1:10" x14ac:dyDescent="0.3">
      <c r="A86" s="2" t="s">
        <v>575</v>
      </c>
      <c r="D86" s="2" t="s">
        <v>30</v>
      </c>
      <c r="E86" s="2">
        <v>961</v>
      </c>
      <c r="F86" s="2">
        <v>358</v>
      </c>
      <c r="G86" s="2">
        <v>62942</v>
      </c>
      <c r="H86" s="2">
        <v>6.8</v>
      </c>
      <c r="I86" s="5">
        <v>18693</v>
      </c>
      <c r="J86" s="55">
        <f t="shared" si="2"/>
        <v>9.5802484827301332E-3</v>
      </c>
    </row>
    <row r="87" spans="1:10" x14ac:dyDescent="0.3">
      <c r="A87" s="2" t="s">
        <v>189</v>
      </c>
      <c r="D87" s="2" t="s">
        <v>40</v>
      </c>
      <c r="E87" s="2">
        <v>1520</v>
      </c>
      <c r="F87" s="2">
        <v>475</v>
      </c>
      <c r="G87" s="2">
        <v>496982</v>
      </c>
      <c r="H87" s="2">
        <v>6.41</v>
      </c>
      <c r="I87" s="5">
        <v>24384</v>
      </c>
      <c r="J87" s="55">
        <f t="shared" si="2"/>
        <v>2.1026918479944948E-3</v>
      </c>
    </row>
    <row r="88" spans="1:10" x14ac:dyDescent="0.3">
      <c r="A88" s="2" t="s">
        <v>195</v>
      </c>
      <c r="D88" s="2" t="s">
        <v>13</v>
      </c>
      <c r="E88" s="2">
        <v>191</v>
      </c>
      <c r="F88" s="2">
        <v>154</v>
      </c>
      <c r="G88" s="2">
        <v>240550</v>
      </c>
      <c r="H88" s="2">
        <v>5.22</v>
      </c>
      <c r="I88" s="5">
        <v>15827</v>
      </c>
      <c r="J88" s="55">
        <f t="shared" si="2"/>
        <v>1.5381417584701726E-4</v>
      </c>
    </row>
    <row r="89" spans="1:10" x14ac:dyDescent="0.3">
      <c r="A89" s="2" t="s">
        <v>195</v>
      </c>
      <c r="D89" s="2" t="s">
        <v>24</v>
      </c>
      <c r="E89" s="2">
        <v>1814</v>
      </c>
      <c r="F89" s="2">
        <v>157</v>
      </c>
      <c r="G89" s="2">
        <v>305827</v>
      </c>
      <c r="H89" s="2">
        <v>1.99</v>
      </c>
      <c r="I89" s="5">
        <v>46643</v>
      </c>
      <c r="J89" s="55">
        <f t="shared" si="2"/>
        <v>5.4180958515762179E-3</v>
      </c>
    </row>
    <row r="90" spans="1:10" x14ac:dyDescent="0.3">
      <c r="A90" s="2" t="s">
        <v>25</v>
      </c>
      <c r="D90" s="2" t="s">
        <v>30</v>
      </c>
      <c r="E90" s="2">
        <v>1765</v>
      </c>
      <c r="F90" s="2">
        <v>109</v>
      </c>
      <c r="G90" s="2">
        <v>468301</v>
      </c>
      <c r="H90" s="2">
        <v>1.82</v>
      </c>
      <c r="I90" s="5">
        <v>20042</v>
      </c>
      <c r="J90" s="55">
        <f t="shared" si="2"/>
        <v>3.5361871958419907E-3</v>
      </c>
    </row>
    <row r="91" spans="1:10" x14ac:dyDescent="0.3">
      <c r="A91" s="2" t="s">
        <v>567</v>
      </c>
      <c r="D91" s="2" t="s">
        <v>40</v>
      </c>
      <c r="E91" s="2">
        <v>1980</v>
      </c>
      <c r="F91" s="2">
        <v>204</v>
      </c>
      <c r="G91" s="2">
        <v>379431</v>
      </c>
      <c r="H91" s="2">
        <v>3.09</v>
      </c>
      <c r="I91" s="5">
        <v>25140</v>
      </c>
      <c r="J91" s="55">
        <f t="shared" si="2"/>
        <v>4.6806929323118035E-3</v>
      </c>
    </row>
    <row r="92" spans="1:10" x14ac:dyDescent="0.3">
      <c r="A92" s="2" t="s">
        <v>275</v>
      </c>
      <c r="D92" s="2" t="s">
        <v>13</v>
      </c>
      <c r="E92" s="2">
        <v>1821</v>
      </c>
      <c r="F92" s="2">
        <v>218</v>
      </c>
      <c r="G92" s="2">
        <v>439080</v>
      </c>
      <c r="H92" s="2">
        <v>5.68</v>
      </c>
      <c r="I92" s="5">
        <v>36095</v>
      </c>
      <c r="J92" s="55">
        <f t="shared" si="2"/>
        <v>3.6508153411678964E-3</v>
      </c>
    </row>
    <row r="93" spans="1:10" x14ac:dyDescent="0.3">
      <c r="A93" s="2" t="s">
        <v>275</v>
      </c>
      <c r="D93" s="2" t="s">
        <v>24</v>
      </c>
      <c r="E93" s="2">
        <v>1507</v>
      </c>
      <c r="F93" s="2">
        <v>463</v>
      </c>
      <c r="G93" s="2">
        <v>258944</v>
      </c>
      <c r="H93" s="2">
        <v>6.08</v>
      </c>
      <c r="I93" s="5">
        <v>16443</v>
      </c>
      <c r="J93" s="55">
        <f t="shared" si="2"/>
        <v>4.0317597627286209E-3</v>
      </c>
    </row>
    <row r="94" spans="1:10" x14ac:dyDescent="0.3">
      <c r="A94" s="2" t="s">
        <v>108</v>
      </c>
      <c r="D94" s="2" t="s">
        <v>30</v>
      </c>
      <c r="E94" s="2">
        <v>1502</v>
      </c>
      <c r="F94" s="2">
        <v>70</v>
      </c>
      <c r="G94" s="2">
        <v>465553</v>
      </c>
      <c r="H94" s="2">
        <v>3.32</v>
      </c>
      <c r="I94" s="5">
        <v>20692</v>
      </c>
      <c r="J94" s="55">
        <f t="shared" si="2"/>
        <v>3.0759118725472716E-3</v>
      </c>
    </row>
    <row r="95" spans="1:10" x14ac:dyDescent="0.3">
      <c r="A95" s="2" t="s">
        <v>574</v>
      </c>
      <c r="D95" s="2" t="s">
        <v>40</v>
      </c>
      <c r="E95" s="2">
        <v>198</v>
      </c>
      <c r="F95" s="2">
        <v>373</v>
      </c>
      <c r="G95" s="2">
        <v>70707</v>
      </c>
      <c r="H95" s="2">
        <v>4.83</v>
      </c>
      <c r="I95" s="5">
        <v>25920</v>
      </c>
      <c r="J95" s="55">
        <f t="shared" si="2"/>
        <v>-2.4750024750024749E-3</v>
      </c>
    </row>
    <row r="96" spans="1:10" x14ac:dyDescent="0.3">
      <c r="A96" s="2" t="s">
        <v>565</v>
      </c>
      <c r="D96" s="2" t="s">
        <v>13</v>
      </c>
      <c r="E96" s="2">
        <v>1487</v>
      </c>
      <c r="F96" s="2">
        <v>337</v>
      </c>
      <c r="G96" s="2">
        <v>87305</v>
      </c>
      <c r="H96" s="2">
        <v>2.46</v>
      </c>
      <c r="I96" s="5">
        <v>30428</v>
      </c>
      <c r="J96" s="55">
        <f t="shared" si="2"/>
        <v>1.3172212358971423E-2</v>
      </c>
    </row>
    <row r="97" spans="1:10" x14ac:dyDescent="0.3">
      <c r="A97" s="2" t="s">
        <v>565</v>
      </c>
      <c r="D97" s="2" t="s">
        <v>24</v>
      </c>
      <c r="E97" s="2">
        <v>454</v>
      </c>
      <c r="F97" s="2">
        <v>105</v>
      </c>
      <c r="G97" s="2">
        <v>121091</v>
      </c>
      <c r="H97" s="2">
        <v>7.97</v>
      </c>
      <c r="I97" s="5">
        <v>9269</v>
      </c>
      <c r="J97" s="55">
        <f t="shared" si="2"/>
        <v>2.8821299683708945E-3</v>
      </c>
    </row>
    <row r="98" spans="1:10" x14ac:dyDescent="0.3">
      <c r="A98" s="2" t="s">
        <v>560</v>
      </c>
      <c r="D98" s="2" t="s">
        <v>30</v>
      </c>
      <c r="E98" s="2">
        <v>778</v>
      </c>
      <c r="F98" s="2">
        <v>401</v>
      </c>
      <c r="G98" s="2">
        <v>50793</v>
      </c>
      <c r="H98" s="2">
        <v>3.4</v>
      </c>
      <c r="I98" s="5">
        <v>21939</v>
      </c>
      <c r="J98" s="55">
        <f t="shared" ref="J98:J129" si="3">(E98-F98)/G98</f>
        <v>7.4222825979957871E-3</v>
      </c>
    </row>
    <row r="99" spans="1:10" x14ac:dyDescent="0.3">
      <c r="A99" s="2" t="s">
        <v>559</v>
      </c>
      <c r="D99" s="2" t="s">
        <v>40</v>
      </c>
      <c r="E99" s="2">
        <v>1391</v>
      </c>
      <c r="F99" s="2">
        <v>430</v>
      </c>
      <c r="G99" s="2">
        <v>295032</v>
      </c>
      <c r="H99" s="2">
        <v>7.86</v>
      </c>
      <c r="I99" s="5">
        <v>26067</v>
      </c>
      <c r="J99" s="55">
        <f t="shared" si="3"/>
        <v>3.2572737872501967E-3</v>
      </c>
    </row>
    <row r="100" spans="1:10" x14ac:dyDescent="0.3">
      <c r="A100" s="2" t="s">
        <v>64</v>
      </c>
      <c r="D100" s="2" t="s">
        <v>13</v>
      </c>
      <c r="E100" s="2">
        <v>628</v>
      </c>
      <c r="F100" s="2">
        <v>183</v>
      </c>
      <c r="G100" s="2">
        <v>487523</v>
      </c>
      <c r="H100" s="2">
        <v>7.32</v>
      </c>
      <c r="I100" s="5">
        <v>5391</v>
      </c>
      <c r="J100" s="55">
        <f t="shared" si="3"/>
        <v>9.1277744844858602E-4</v>
      </c>
    </row>
    <row r="101" spans="1:10" x14ac:dyDescent="0.3">
      <c r="A101" s="2" t="s">
        <v>64</v>
      </c>
      <c r="D101" s="2" t="s">
        <v>24</v>
      </c>
      <c r="E101" s="2">
        <v>278</v>
      </c>
      <c r="F101" s="2">
        <v>218</v>
      </c>
      <c r="G101" s="2">
        <v>301695</v>
      </c>
      <c r="H101" s="2">
        <v>4.68</v>
      </c>
      <c r="I101" s="5">
        <v>22373</v>
      </c>
      <c r="J101" s="55">
        <f t="shared" si="3"/>
        <v>1.9887634863023914E-4</v>
      </c>
    </row>
    <row r="102" spans="1:10" x14ac:dyDescent="0.3">
      <c r="A102" s="2" t="s">
        <v>214</v>
      </c>
      <c r="D102" s="2" t="s">
        <v>30</v>
      </c>
      <c r="E102" s="2">
        <v>1494</v>
      </c>
      <c r="F102" s="2">
        <v>375</v>
      </c>
      <c r="G102" s="2">
        <v>220616</v>
      </c>
      <c r="H102" s="2">
        <v>1.81</v>
      </c>
      <c r="I102" s="5">
        <v>22724</v>
      </c>
      <c r="J102" s="55">
        <f t="shared" si="3"/>
        <v>5.0721615839286359E-3</v>
      </c>
    </row>
    <row r="103" spans="1:10" x14ac:dyDescent="0.3">
      <c r="A103" s="2" t="s">
        <v>566</v>
      </c>
      <c r="D103" s="2" t="s">
        <v>40</v>
      </c>
      <c r="E103" s="2">
        <v>1902</v>
      </c>
      <c r="F103" s="2">
        <v>196</v>
      </c>
      <c r="G103" s="2">
        <v>470269</v>
      </c>
      <c r="H103" s="2">
        <v>4.79</v>
      </c>
      <c r="I103" s="5">
        <v>26103</v>
      </c>
      <c r="J103" s="55">
        <f t="shared" si="3"/>
        <v>3.6277109484146308E-3</v>
      </c>
    </row>
    <row r="104" spans="1:10" x14ac:dyDescent="0.3">
      <c r="A104" s="2" t="s">
        <v>125</v>
      </c>
      <c r="D104" s="2" t="s">
        <v>13</v>
      </c>
      <c r="E104" s="2">
        <v>330</v>
      </c>
      <c r="F104" s="2">
        <v>232</v>
      </c>
      <c r="G104" s="2">
        <v>88455</v>
      </c>
      <c r="H104" s="2">
        <v>2.69</v>
      </c>
      <c r="I104" s="5">
        <v>39530</v>
      </c>
      <c r="J104" s="55">
        <f t="shared" si="3"/>
        <v>1.1079079758069075E-3</v>
      </c>
    </row>
    <row r="105" spans="1:10" x14ac:dyDescent="0.3">
      <c r="A105" s="2" t="s">
        <v>125</v>
      </c>
      <c r="D105" s="2" t="s">
        <v>24</v>
      </c>
      <c r="E105" s="2">
        <v>1293</v>
      </c>
      <c r="F105" s="2">
        <v>408</v>
      </c>
      <c r="G105" s="2">
        <v>62535</v>
      </c>
      <c r="H105" s="2">
        <v>8.9</v>
      </c>
      <c r="I105" s="5">
        <v>37876</v>
      </c>
      <c r="J105" s="55">
        <f t="shared" si="3"/>
        <v>1.4152074838090669E-2</v>
      </c>
    </row>
    <row r="106" spans="1:10" x14ac:dyDescent="0.3">
      <c r="A106" s="2" t="s">
        <v>558</v>
      </c>
      <c r="D106" s="2" t="s">
        <v>30</v>
      </c>
      <c r="E106" s="2">
        <v>1757</v>
      </c>
      <c r="F106" s="2">
        <v>85</v>
      </c>
      <c r="G106" s="2">
        <v>58223</v>
      </c>
      <c r="H106" s="2">
        <v>8.74</v>
      </c>
      <c r="I106" s="5">
        <v>22728</v>
      </c>
      <c r="J106" s="55">
        <f t="shared" si="3"/>
        <v>2.8717173625543171E-2</v>
      </c>
    </row>
    <row r="107" spans="1:10" x14ac:dyDescent="0.3">
      <c r="A107" s="2" t="s">
        <v>487</v>
      </c>
      <c r="D107" s="2" t="s">
        <v>40</v>
      </c>
      <c r="E107" s="2">
        <v>214</v>
      </c>
      <c r="F107" s="2">
        <v>411</v>
      </c>
      <c r="G107" s="2">
        <v>125034</v>
      </c>
      <c r="H107" s="2">
        <v>6.11</v>
      </c>
      <c r="I107" s="5">
        <v>26455</v>
      </c>
      <c r="J107" s="55">
        <f t="shared" si="3"/>
        <v>-1.5755714445670778E-3</v>
      </c>
    </row>
    <row r="108" spans="1:10" x14ac:dyDescent="0.3">
      <c r="A108" s="2" t="s">
        <v>566</v>
      </c>
      <c r="D108" s="2" t="s">
        <v>13</v>
      </c>
      <c r="E108" s="2">
        <v>1441</v>
      </c>
      <c r="F108" s="2">
        <v>268</v>
      </c>
      <c r="G108" s="2">
        <v>309904</v>
      </c>
      <c r="H108" s="2">
        <v>6.37</v>
      </c>
      <c r="I108" s="5">
        <v>3455</v>
      </c>
      <c r="J108" s="55">
        <f t="shared" si="3"/>
        <v>3.7850431101244257E-3</v>
      </c>
    </row>
    <row r="109" spans="1:10" x14ac:dyDescent="0.3">
      <c r="A109" s="2" t="s">
        <v>566</v>
      </c>
      <c r="D109" s="2" t="s">
        <v>24</v>
      </c>
      <c r="E109" s="2">
        <v>452</v>
      </c>
      <c r="F109" s="2">
        <v>161</v>
      </c>
      <c r="G109" s="2">
        <v>221274</v>
      </c>
      <c r="H109" s="2">
        <v>2.65</v>
      </c>
      <c r="I109" s="5">
        <v>40888</v>
      </c>
      <c r="J109" s="55">
        <f t="shared" si="3"/>
        <v>1.3151115811166245E-3</v>
      </c>
    </row>
    <row r="110" spans="1:10" x14ac:dyDescent="0.3">
      <c r="A110" s="2" t="s">
        <v>573</v>
      </c>
      <c r="D110" s="2" t="s">
        <v>30</v>
      </c>
      <c r="E110" s="2">
        <v>1033</v>
      </c>
      <c r="F110" s="2">
        <v>392</v>
      </c>
      <c r="G110" s="2">
        <v>282780</v>
      </c>
      <c r="H110" s="2">
        <v>6.27</v>
      </c>
      <c r="I110" s="5">
        <v>23140</v>
      </c>
      <c r="J110" s="55">
        <f t="shared" si="3"/>
        <v>2.2667798288422093E-3</v>
      </c>
    </row>
    <row r="111" spans="1:10" x14ac:dyDescent="0.3">
      <c r="A111" s="2" t="s">
        <v>74</v>
      </c>
      <c r="D111" s="2" t="s">
        <v>40</v>
      </c>
      <c r="E111" s="2">
        <v>248</v>
      </c>
      <c r="F111" s="2">
        <v>211</v>
      </c>
      <c r="G111" s="2">
        <v>379380</v>
      </c>
      <c r="H111" s="2">
        <v>9.0399999999999991</v>
      </c>
      <c r="I111" s="5">
        <v>26925</v>
      </c>
      <c r="J111" s="55">
        <f t="shared" si="3"/>
        <v>9.7527544941747058E-5</v>
      </c>
    </row>
    <row r="112" spans="1:10" x14ac:dyDescent="0.3">
      <c r="A112" s="2" t="s">
        <v>214</v>
      </c>
      <c r="D112" s="2" t="s">
        <v>13</v>
      </c>
      <c r="E112" s="2">
        <v>1937</v>
      </c>
      <c r="F112" s="2">
        <v>210</v>
      </c>
      <c r="G112" s="2">
        <v>20607</v>
      </c>
      <c r="H112" s="2">
        <v>4.2</v>
      </c>
      <c r="I112" s="5">
        <v>20861</v>
      </c>
      <c r="J112" s="55">
        <f t="shared" si="3"/>
        <v>8.3806473528412681E-2</v>
      </c>
    </row>
    <row r="113" spans="1:10" x14ac:dyDescent="0.3">
      <c r="A113" s="2" t="s">
        <v>214</v>
      </c>
      <c r="D113" s="2" t="s">
        <v>24</v>
      </c>
      <c r="E113" s="2">
        <v>736</v>
      </c>
      <c r="F113" s="2">
        <v>163</v>
      </c>
      <c r="G113" s="2">
        <v>451894</v>
      </c>
      <c r="H113" s="2">
        <v>5.43</v>
      </c>
      <c r="I113" s="5">
        <v>46625</v>
      </c>
      <c r="J113" s="55">
        <f t="shared" si="3"/>
        <v>1.2679964770499277E-3</v>
      </c>
    </row>
    <row r="114" spans="1:10" x14ac:dyDescent="0.3">
      <c r="A114" s="2" t="s">
        <v>74</v>
      </c>
      <c r="D114" s="2" t="s">
        <v>30</v>
      </c>
      <c r="E114" s="2">
        <v>1685</v>
      </c>
      <c r="F114" s="2">
        <v>76</v>
      </c>
      <c r="G114" s="2">
        <v>453799</v>
      </c>
      <c r="H114" s="2">
        <v>5.71</v>
      </c>
      <c r="I114" s="5">
        <v>24913</v>
      </c>
      <c r="J114" s="55">
        <f t="shared" si="3"/>
        <v>3.5456226214689766E-3</v>
      </c>
    </row>
    <row r="115" spans="1:10" x14ac:dyDescent="0.3">
      <c r="A115" s="2" t="s">
        <v>125</v>
      </c>
      <c r="D115" s="2" t="s">
        <v>40</v>
      </c>
      <c r="E115" s="2">
        <v>1710</v>
      </c>
      <c r="F115" s="2">
        <v>378</v>
      </c>
      <c r="G115" s="2">
        <v>336661</v>
      </c>
      <c r="H115" s="2">
        <v>6.2</v>
      </c>
      <c r="I115" s="5">
        <v>28498</v>
      </c>
      <c r="J115" s="55">
        <f t="shared" si="3"/>
        <v>3.9565022381564839E-3</v>
      </c>
    </row>
    <row r="116" spans="1:10" x14ac:dyDescent="0.3">
      <c r="A116" s="2" t="s">
        <v>108</v>
      </c>
      <c r="D116" s="2" t="s">
        <v>13</v>
      </c>
      <c r="E116" s="2">
        <v>1592</v>
      </c>
      <c r="F116" s="2">
        <v>233</v>
      </c>
      <c r="G116" s="2">
        <v>327183</v>
      </c>
      <c r="H116" s="2">
        <v>6.66</v>
      </c>
      <c r="I116" s="5">
        <v>13316</v>
      </c>
      <c r="J116" s="55">
        <f t="shared" si="3"/>
        <v>4.1536387893013997E-3</v>
      </c>
    </row>
    <row r="117" spans="1:10" x14ac:dyDescent="0.3">
      <c r="A117" s="2" t="s">
        <v>108</v>
      </c>
      <c r="D117" s="2" t="s">
        <v>24</v>
      </c>
      <c r="E117" s="2">
        <v>1004</v>
      </c>
      <c r="F117" s="2">
        <v>128</v>
      </c>
      <c r="G117" s="2">
        <v>488901</v>
      </c>
      <c r="H117" s="2">
        <v>8.09</v>
      </c>
      <c r="I117" s="5">
        <v>49558</v>
      </c>
      <c r="J117" s="55">
        <f t="shared" si="3"/>
        <v>1.7917737946946315E-3</v>
      </c>
    </row>
    <row r="118" spans="1:10" x14ac:dyDescent="0.3">
      <c r="A118" s="2" t="s">
        <v>217</v>
      </c>
      <c r="D118" s="2" t="s">
        <v>30</v>
      </c>
      <c r="E118" s="2">
        <v>115</v>
      </c>
      <c r="F118" s="2">
        <v>281</v>
      </c>
      <c r="G118" s="2">
        <v>357265</v>
      </c>
      <c r="H118" s="2">
        <v>9.23</v>
      </c>
      <c r="I118" s="5">
        <v>25525</v>
      </c>
      <c r="J118" s="55">
        <f t="shared" si="3"/>
        <v>-4.6464109274628077E-4</v>
      </c>
    </row>
    <row r="119" spans="1:10" x14ac:dyDescent="0.3">
      <c r="A119" s="2" t="s">
        <v>572</v>
      </c>
      <c r="D119" s="2" t="s">
        <v>40</v>
      </c>
      <c r="E119" s="2">
        <v>1358</v>
      </c>
      <c r="F119" s="2">
        <v>242</v>
      </c>
      <c r="G119" s="2">
        <v>342129</v>
      </c>
      <c r="H119" s="2">
        <v>4.9400000000000004</v>
      </c>
      <c r="I119" s="5">
        <v>29116</v>
      </c>
      <c r="J119" s="55">
        <f t="shared" si="3"/>
        <v>3.2619275185675578E-3</v>
      </c>
    </row>
    <row r="120" spans="1:10" x14ac:dyDescent="0.3">
      <c r="A120" s="2" t="s">
        <v>14</v>
      </c>
      <c r="D120" s="2" t="s">
        <v>13</v>
      </c>
      <c r="E120" s="2">
        <v>1137</v>
      </c>
      <c r="F120" s="2">
        <v>226</v>
      </c>
      <c r="G120" s="2">
        <v>81119</v>
      </c>
      <c r="H120" s="2">
        <v>7.74</v>
      </c>
      <c r="I120" s="5">
        <v>35359</v>
      </c>
      <c r="J120" s="55">
        <f t="shared" si="3"/>
        <v>1.1230414576116569E-2</v>
      </c>
    </row>
    <row r="121" spans="1:10" x14ac:dyDescent="0.3">
      <c r="A121" s="2" t="s">
        <v>14</v>
      </c>
      <c r="D121" s="2" t="s">
        <v>24</v>
      </c>
      <c r="E121" s="2">
        <v>1900</v>
      </c>
      <c r="F121" s="2">
        <v>311</v>
      </c>
      <c r="G121" s="2">
        <v>25177</v>
      </c>
      <c r="H121" s="2">
        <v>2.89</v>
      </c>
      <c r="I121" s="5">
        <v>14154</v>
      </c>
      <c r="J121" s="55">
        <f t="shared" si="3"/>
        <v>6.3113158835445049E-2</v>
      </c>
    </row>
    <row r="122" spans="1:10" x14ac:dyDescent="0.3">
      <c r="A122" s="2" t="s">
        <v>84</v>
      </c>
      <c r="D122" s="2" t="s">
        <v>30</v>
      </c>
      <c r="E122" s="2">
        <v>1592</v>
      </c>
      <c r="F122" s="2">
        <v>20</v>
      </c>
      <c r="G122" s="2">
        <v>378054</v>
      </c>
      <c r="H122" s="2">
        <v>9.09</v>
      </c>
      <c r="I122" s="5">
        <v>26663</v>
      </c>
      <c r="J122" s="55">
        <f t="shared" si="3"/>
        <v>4.1581361392816901E-3</v>
      </c>
    </row>
    <row r="123" spans="1:10" x14ac:dyDescent="0.3">
      <c r="A123" s="2" t="s">
        <v>195</v>
      </c>
      <c r="D123" s="2" t="s">
        <v>40</v>
      </c>
      <c r="E123" s="2">
        <v>859</v>
      </c>
      <c r="F123" s="2">
        <v>473</v>
      </c>
      <c r="G123" s="2">
        <v>209987</v>
      </c>
      <c r="H123" s="2">
        <v>4.46</v>
      </c>
      <c r="I123" s="5">
        <v>30214</v>
      </c>
      <c r="J123" s="55">
        <f t="shared" si="3"/>
        <v>1.8382090319876945E-3</v>
      </c>
    </row>
    <row r="124" spans="1:10" x14ac:dyDescent="0.3">
      <c r="A124" s="2" t="s">
        <v>567</v>
      </c>
      <c r="D124" s="2" t="s">
        <v>13</v>
      </c>
      <c r="E124" s="2">
        <v>1786</v>
      </c>
      <c r="F124" s="2">
        <v>257</v>
      </c>
      <c r="G124" s="2">
        <v>274831</v>
      </c>
      <c r="H124" s="2">
        <v>4.68</v>
      </c>
      <c r="I124" s="5">
        <v>9118</v>
      </c>
      <c r="J124" s="55">
        <f t="shared" si="3"/>
        <v>5.5634189738421064E-3</v>
      </c>
    </row>
    <row r="125" spans="1:10" x14ac:dyDescent="0.3">
      <c r="A125" s="2" t="s">
        <v>567</v>
      </c>
      <c r="D125" s="2" t="s">
        <v>24</v>
      </c>
      <c r="E125" s="2">
        <v>1495</v>
      </c>
      <c r="F125" s="2">
        <v>35</v>
      </c>
      <c r="G125" s="2">
        <v>136845</v>
      </c>
      <c r="H125" s="2">
        <v>4.4800000000000004</v>
      </c>
      <c r="I125" s="5">
        <v>39931</v>
      </c>
      <c r="J125" s="55">
        <f t="shared" si="3"/>
        <v>1.0669005078738719E-2</v>
      </c>
    </row>
    <row r="126" spans="1:10" x14ac:dyDescent="0.3">
      <c r="A126" s="2" t="s">
        <v>64</v>
      </c>
      <c r="D126" s="2" t="s">
        <v>30</v>
      </c>
      <c r="E126" s="2">
        <v>187</v>
      </c>
      <c r="F126" s="2">
        <v>236</v>
      </c>
      <c r="G126" s="2">
        <v>51087</v>
      </c>
      <c r="H126" s="2">
        <v>9.41</v>
      </c>
      <c r="I126" s="5">
        <v>29533</v>
      </c>
      <c r="J126" s="55">
        <f t="shared" si="3"/>
        <v>-9.5914811987394058E-4</v>
      </c>
    </row>
    <row r="127" spans="1:10" x14ac:dyDescent="0.3">
      <c r="A127" s="2" t="s">
        <v>45</v>
      </c>
      <c r="D127" s="2" t="s">
        <v>40</v>
      </c>
      <c r="E127" s="2">
        <v>1779</v>
      </c>
      <c r="F127" s="2">
        <v>109</v>
      </c>
      <c r="G127" s="2">
        <v>26295</v>
      </c>
      <c r="H127" s="2">
        <v>9.1199999999999992</v>
      </c>
      <c r="I127" s="5">
        <v>30635</v>
      </c>
      <c r="J127" s="55">
        <f t="shared" si="3"/>
        <v>6.3510173036698994E-2</v>
      </c>
    </row>
    <row r="128" spans="1:10" x14ac:dyDescent="0.3">
      <c r="A128" s="2" t="s">
        <v>121</v>
      </c>
      <c r="D128" s="2" t="s">
        <v>13</v>
      </c>
      <c r="E128" s="2">
        <v>1633</v>
      </c>
      <c r="F128" s="2">
        <v>445</v>
      </c>
      <c r="G128" s="2">
        <v>371156</v>
      </c>
      <c r="H128" s="2">
        <v>2.2200000000000002</v>
      </c>
      <c r="I128" s="5">
        <v>2798</v>
      </c>
      <c r="J128" s="55">
        <f t="shared" si="3"/>
        <v>3.2008104408927781E-3</v>
      </c>
    </row>
    <row r="129" spans="1:10" x14ac:dyDescent="0.3">
      <c r="A129" s="2" t="s">
        <v>121</v>
      </c>
      <c r="D129" s="2" t="s">
        <v>24</v>
      </c>
      <c r="E129" s="2">
        <v>891</v>
      </c>
      <c r="F129" s="2">
        <v>45</v>
      </c>
      <c r="G129" s="2">
        <v>95410</v>
      </c>
      <c r="H129" s="2">
        <v>8.33</v>
      </c>
      <c r="I129" s="5">
        <v>15045</v>
      </c>
      <c r="J129" s="55">
        <f t="shared" si="3"/>
        <v>8.8669950738916262E-3</v>
      </c>
    </row>
    <row r="130" spans="1:10" x14ac:dyDescent="0.3">
      <c r="A130" s="2" t="s">
        <v>562</v>
      </c>
      <c r="D130" s="2" t="s">
        <v>30</v>
      </c>
      <c r="E130" s="2">
        <v>1433</v>
      </c>
      <c r="F130" s="2">
        <v>408</v>
      </c>
      <c r="G130" s="2">
        <v>370269</v>
      </c>
      <c r="H130" s="2">
        <v>3.3</v>
      </c>
      <c r="I130" s="5">
        <v>30575</v>
      </c>
      <c r="J130" s="55">
        <f t="shared" ref="J130:J161" si="4">(E130-F130)/G130</f>
        <v>2.7682576721248606E-3</v>
      </c>
    </row>
    <row r="131" spans="1:10" x14ac:dyDescent="0.3">
      <c r="A131" s="2" t="s">
        <v>123</v>
      </c>
      <c r="D131" s="2" t="s">
        <v>40</v>
      </c>
      <c r="E131" s="2">
        <v>1895</v>
      </c>
      <c r="F131" s="2">
        <v>305</v>
      </c>
      <c r="G131" s="2">
        <v>104967</v>
      </c>
      <c r="H131" s="2">
        <v>3.85</v>
      </c>
      <c r="I131" s="5">
        <v>31853</v>
      </c>
      <c r="J131" s="55">
        <f t="shared" si="4"/>
        <v>1.5147617822744291E-2</v>
      </c>
    </row>
    <row r="132" spans="1:10" x14ac:dyDescent="0.3">
      <c r="A132" s="2" t="s">
        <v>568</v>
      </c>
      <c r="D132" s="2" t="s">
        <v>13</v>
      </c>
      <c r="E132" s="2">
        <v>118</v>
      </c>
      <c r="F132" s="2">
        <v>262</v>
      </c>
      <c r="G132" s="2">
        <v>487896</v>
      </c>
      <c r="H132" s="2">
        <v>2.56</v>
      </c>
      <c r="I132" s="5">
        <v>12350</v>
      </c>
      <c r="J132" s="55">
        <f t="shared" si="4"/>
        <v>-2.9514486693885583E-4</v>
      </c>
    </row>
    <row r="133" spans="1:10" x14ac:dyDescent="0.3">
      <c r="A133" s="2" t="s">
        <v>568</v>
      </c>
      <c r="D133" s="2" t="s">
        <v>24</v>
      </c>
      <c r="E133" s="2">
        <v>1331</v>
      </c>
      <c r="F133" s="2">
        <v>430</v>
      </c>
      <c r="G133" s="2">
        <v>14437</v>
      </c>
      <c r="H133" s="2">
        <v>3.29</v>
      </c>
      <c r="I133" s="5">
        <v>40868</v>
      </c>
      <c r="J133" s="55">
        <f t="shared" si="4"/>
        <v>6.2409087760615087E-2</v>
      </c>
    </row>
    <row r="134" spans="1:10" x14ac:dyDescent="0.3">
      <c r="A134" s="2" t="s">
        <v>163</v>
      </c>
      <c r="D134" s="2" t="s">
        <v>30</v>
      </c>
      <c r="E134" s="2">
        <v>703</v>
      </c>
      <c r="F134" s="2">
        <v>441</v>
      </c>
      <c r="G134" s="2">
        <v>357089</v>
      </c>
      <c r="H134" s="2">
        <v>6.5</v>
      </c>
      <c r="I134" s="5">
        <v>32478</v>
      </c>
      <c r="J134" s="55">
        <f t="shared" si="4"/>
        <v>7.3371064356504961E-4</v>
      </c>
    </row>
    <row r="135" spans="1:10" x14ac:dyDescent="0.3">
      <c r="A135" s="2" t="s">
        <v>31</v>
      </c>
      <c r="D135" s="2" t="s">
        <v>40</v>
      </c>
      <c r="E135" s="2">
        <v>1534</v>
      </c>
      <c r="F135" s="2">
        <v>200</v>
      </c>
      <c r="G135" s="2">
        <v>307612</v>
      </c>
      <c r="H135" s="2">
        <v>6.01</v>
      </c>
      <c r="I135" s="5">
        <v>37903</v>
      </c>
      <c r="J135" s="55">
        <f t="shared" si="4"/>
        <v>4.3366318609156986E-3</v>
      </c>
    </row>
    <row r="136" spans="1:10" x14ac:dyDescent="0.3">
      <c r="A136" s="2" t="s">
        <v>569</v>
      </c>
      <c r="D136" s="2" t="s">
        <v>13</v>
      </c>
      <c r="E136" s="2">
        <v>1040</v>
      </c>
      <c r="F136" s="2">
        <v>149</v>
      </c>
      <c r="G136" s="2">
        <v>124404</v>
      </c>
      <c r="H136" s="2">
        <v>5.23</v>
      </c>
      <c r="I136" s="5">
        <v>45380</v>
      </c>
      <c r="J136" s="55">
        <f t="shared" si="4"/>
        <v>7.1621491270377159E-3</v>
      </c>
    </row>
    <row r="137" spans="1:10" x14ac:dyDescent="0.3">
      <c r="A137" s="2" t="s">
        <v>569</v>
      </c>
      <c r="D137" s="2" t="s">
        <v>24</v>
      </c>
      <c r="E137" s="2">
        <v>1166</v>
      </c>
      <c r="F137" s="2">
        <v>442</v>
      </c>
      <c r="G137" s="2">
        <v>336949</v>
      </c>
      <c r="H137" s="2">
        <v>4.68</v>
      </c>
      <c r="I137" s="5">
        <v>7705</v>
      </c>
      <c r="J137" s="55">
        <f t="shared" si="4"/>
        <v>2.1486931256659019E-3</v>
      </c>
    </row>
    <row r="138" spans="1:10" x14ac:dyDescent="0.3">
      <c r="A138" s="2" t="s">
        <v>76</v>
      </c>
      <c r="D138" s="2" t="s">
        <v>30</v>
      </c>
      <c r="E138" s="2">
        <v>1957</v>
      </c>
      <c r="F138" s="2">
        <v>76</v>
      </c>
      <c r="G138" s="2">
        <v>447902</v>
      </c>
      <c r="H138" s="2">
        <v>6.09</v>
      </c>
      <c r="I138" s="5">
        <v>33381</v>
      </c>
      <c r="J138" s="55">
        <f t="shared" si="4"/>
        <v>4.1995793722733989E-3</v>
      </c>
    </row>
    <row r="139" spans="1:10" x14ac:dyDescent="0.3">
      <c r="A139" s="2" t="s">
        <v>565</v>
      </c>
      <c r="D139" s="2" t="s">
        <v>40</v>
      </c>
      <c r="E139" s="2">
        <v>171</v>
      </c>
      <c r="F139" s="2">
        <v>277</v>
      </c>
      <c r="G139" s="2">
        <v>309483</v>
      </c>
      <c r="H139" s="2">
        <v>8.6999999999999993</v>
      </c>
      <c r="I139" s="5">
        <v>38452</v>
      </c>
      <c r="J139" s="55">
        <f t="shared" si="4"/>
        <v>-3.4250669665215861E-4</v>
      </c>
    </row>
    <row r="140" spans="1:10" x14ac:dyDescent="0.3">
      <c r="A140" s="2" t="s">
        <v>217</v>
      </c>
      <c r="D140" s="2" t="s">
        <v>13</v>
      </c>
      <c r="E140" s="2">
        <v>1501</v>
      </c>
      <c r="F140" s="2">
        <v>75</v>
      </c>
      <c r="G140" s="2">
        <v>262569</v>
      </c>
      <c r="H140" s="2">
        <v>2.0099999999999998</v>
      </c>
      <c r="I140" s="5">
        <v>19119</v>
      </c>
      <c r="J140" s="55">
        <f t="shared" si="4"/>
        <v>5.4309533874905263E-3</v>
      </c>
    </row>
    <row r="141" spans="1:10" x14ac:dyDescent="0.3">
      <c r="A141" s="2" t="s">
        <v>217</v>
      </c>
      <c r="D141" s="2" t="s">
        <v>24</v>
      </c>
      <c r="E141" s="2">
        <v>1411</v>
      </c>
      <c r="F141" s="2">
        <v>186</v>
      </c>
      <c r="G141" s="2">
        <v>461669</v>
      </c>
      <c r="H141" s="2">
        <v>3.72</v>
      </c>
      <c r="I141" s="5">
        <v>43999</v>
      </c>
      <c r="J141" s="55">
        <f t="shared" si="4"/>
        <v>2.6534161921203288E-3</v>
      </c>
    </row>
    <row r="142" spans="1:10" x14ac:dyDescent="0.3">
      <c r="A142" s="2" t="s">
        <v>191</v>
      </c>
      <c r="D142" s="2" t="s">
        <v>30</v>
      </c>
      <c r="E142" s="2">
        <v>1371</v>
      </c>
      <c r="F142" s="2">
        <v>56</v>
      </c>
      <c r="G142" s="2">
        <v>257579</v>
      </c>
      <c r="H142" s="2">
        <v>8.6199999999999992</v>
      </c>
      <c r="I142" s="5">
        <v>33799</v>
      </c>
      <c r="J142" s="55">
        <f t="shared" si="4"/>
        <v>5.1052298518124532E-3</v>
      </c>
    </row>
    <row r="143" spans="1:10" x14ac:dyDescent="0.3">
      <c r="A143" s="2" t="s">
        <v>558</v>
      </c>
      <c r="D143" s="2" t="s">
        <v>40</v>
      </c>
      <c r="E143" s="2">
        <v>350</v>
      </c>
      <c r="F143" s="2">
        <v>41</v>
      </c>
      <c r="G143" s="2">
        <v>251694</v>
      </c>
      <c r="H143" s="2">
        <v>1.91</v>
      </c>
      <c r="I143" s="5">
        <v>38610</v>
      </c>
      <c r="J143" s="55">
        <f t="shared" si="4"/>
        <v>1.2276812319721568E-3</v>
      </c>
    </row>
    <row r="144" spans="1:10" x14ac:dyDescent="0.3">
      <c r="A144" s="2" t="s">
        <v>570</v>
      </c>
      <c r="D144" s="2" t="s">
        <v>13</v>
      </c>
      <c r="E144" s="2">
        <v>927</v>
      </c>
      <c r="F144" s="2">
        <v>358</v>
      </c>
      <c r="G144" s="2">
        <v>177554</v>
      </c>
      <c r="H144" s="2">
        <v>6.95</v>
      </c>
      <c r="I144" s="5">
        <v>48270</v>
      </c>
      <c r="J144" s="55">
        <f t="shared" si="4"/>
        <v>3.2046588643454949E-3</v>
      </c>
    </row>
    <row r="145" spans="1:10" x14ac:dyDescent="0.3">
      <c r="A145" s="2" t="s">
        <v>570</v>
      </c>
      <c r="D145" s="2" t="s">
        <v>24</v>
      </c>
      <c r="E145" s="2">
        <v>152</v>
      </c>
      <c r="F145" s="2">
        <v>355</v>
      </c>
      <c r="G145" s="2">
        <v>270766</v>
      </c>
      <c r="H145" s="2">
        <v>9.48</v>
      </c>
      <c r="I145" s="5">
        <v>18001</v>
      </c>
      <c r="J145" s="55">
        <f t="shared" si="4"/>
        <v>-7.4972485467156139E-4</v>
      </c>
    </row>
    <row r="146" spans="1:10" x14ac:dyDescent="0.3">
      <c r="A146" s="2" t="s">
        <v>78</v>
      </c>
      <c r="D146" s="2" t="s">
        <v>30</v>
      </c>
      <c r="E146" s="2">
        <v>215</v>
      </c>
      <c r="F146" s="2">
        <v>139</v>
      </c>
      <c r="G146" s="2">
        <v>325444</v>
      </c>
      <c r="H146" s="2">
        <v>3.25</v>
      </c>
      <c r="I146" s="5">
        <v>35501</v>
      </c>
      <c r="J146" s="55">
        <f t="shared" si="4"/>
        <v>2.335271198731579E-4</v>
      </c>
    </row>
    <row r="147" spans="1:10" x14ac:dyDescent="0.3">
      <c r="A147" s="2" t="s">
        <v>64</v>
      </c>
      <c r="D147" s="2" t="s">
        <v>40</v>
      </c>
      <c r="E147" s="2">
        <v>513</v>
      </c>
      <c r="F147" s="2">
        <v>441</v>
      </c>
      <c r="G147" s="2">
        <v>338847</v>
      </c>
      <c r="H147" s="2">
        <v>2.68</v>
      </c>
      <c r="I147" s="5">
        <v>39997</v>
      </c>
      <c r="J147" s="55">
        <f t="shared" si="4"/>
        <v>2.1248528096751631E-4</v>
      </c>
    </row>
    <row r="148" spans="1:10" x14ac:dyDescent="0.3">
      <c r="A148" s="2" t="s">
        <v>242</v>
      </c>
      <c r="D148" s="2" t="s">
        <v>13</v>
      </c>
      <c r="E148" s="2">
        <v>1587</v>
      </c>
      <c r="F148" s="2">
        <v>385</v>
      </c>
      <c r="G148" s="2">
        <v>126582</v>
      </c>
      <c r="H148" s="2">
        <v>6.99</v>
      </c>
      <c r="I148" s="5">
        <v>42832</v>
      </c>
      <c r="J148" s="55">
        <f t="shared" si="4"/>
        <v>9.4958208908059605E-3</v>
      </c>
    </row>
    <row r="149" spans="1:10" x14ac:dyDescent="0.3">
      <c r="A149" s="2" t="s">
        <v>242</v>
      </c>
      <c r="D149" s="2" t="s">
        <v>24</v>
      </c>
      <c r="E149" s="2">
        <v>1707</v>
      </c>
      <c r="F149" s="2">
        <v>263</v>
      </c>
      <c r="G149" s="2">
        <v>485280</v>
      </c>
      <c r="H149" s="2">
        <v>9.0299999999999994</v>
      </c>
      <c r="I149" s="5">
        <v>24494</v>
      </c>
      <c r="J149" s="55">
        <f t="shared" si="4"/>
        <v>2.9756017144741179E-3</v>
      </c>
    </row>
    <row r="150" spans="1:10" x14ac:dyDescent="0.3">
      <c r="A150" s="2" t="s">
        <v>566</v>
      </c>
      <c r="D150" s="2" t="s">
        <v>30</v>
      </c>
      <c r="E150" s="2">
        <v>1696</v>
      </c>
      <c r="F150" s="2">
        <v>71</v>
      </c>
      <c r="G150" s="2">
        <v>421957</v>
      </c>
      <c r="H150" s="2">
        <v>3.79</v>
      </c>
      <c r="I150" s="5">
        <v>36103</v>
      </c>
      <c r="J150" s="55">
        <f t="shared" si="4"/>
        <v>3.8511033114748661E-3</v>
      </c>
    </row>
    <row r="151" spans="1:10" x14ac:dyDescent="0.3">
      <c r="A151" s="2" t="s">
        <v>570</v>
      </c>
      <c r="D151" s="2" t="s">
        <v>40</v>
      </c>
      <c r="E151" s="2">
        <v>1159</v>
      </c>
      <c r="F151" s="2">
        <v>411</v>
      </c>
      <c r="G151" s="2">
        <v>135987</v>
      </c>
      <c r="H151" s="2">
        <v>8.6999999999999993</v>
      </c>
      <c r="I151" s="5">
        <v>40323</v>
      </c>
      <c r="J151" s="55">
        <f t="shared" si="4"/>
        <v>5.5005257855530306E-3</v>
      </c>
    </row>
    <row r="152" spans="1:10" x14ac:dyDescent="0.3">
      <c r="A152" s="2" t="s">
        <v>123</v>
      </c>
      <c r="D152" s="2" t="s">
        <v>13</v>
      </c>
      <c r="E152" s="2">
        <v>362</v>
      </c>
      <c r="F152" s="2">
        <v>399</v>
      </c>
      <c r="G152" s="2">
        <v>145608</v>
      </c>
      <c r="H152" s="2">
        <v>7.3</v>
      </c>
      <c r="I152" s="5">
        <v>37636</v>
      </c>
      <c r="J152" s="55">
        <f t="shared" si="4"/>
        <v>-2.5410691720235154E-4</v>
      </c>
    </row>
    <row r="153" spans="1:10" x14ac:dyDescent="0.3">
      <c r="A153" s="2" t="s">
        <v>123</v>
      </c>
      <c r="D153" s="2" t="s">
        <v>24</v>
      </c>
      <c r="E153" s="2">
        <v>1662</v>
      </c>
      <c r="F153" s="2">
        <v>487</v>
      </c>
      <c r="G153" s="2">
        <v>105980</v>
      </c>
      <c r="H153" s="2">
        <v>9.08</v>
      </c>
      <c r="I153" s="5">
        <v>22996</v>
      </c>
      <c r="J153" s="55">
        <f t="shared" si="4"/>
        <v>1.1086997546706926E-2</v>
      </c>
    </row>
    <row r="154" spans="1:10" x14ac:dyDescent="0.3">
      <c r="A154" s="2" t="s">
        <v>564</v>
      </c>
      <c r="D154" s="2" t="s">
        <v>30</v>
      </c>
      <c r="E154" s="2">
        <v>1527</v>
      </c>
      <c r="F154" s="2">
        <v>303</v>
      </c>
      <c r="G154" s="2">
        <v>388555</v>
      </c>
      <c r="H154" s="2">
        <v>8.9</v>
      </c>
      <c r="I154" s="5">
        <v>36397</v>
      </c>
      <c r="J154" s="55">
        <f t="shared" si="4"/>
        <v>3.1501331857780751E-3</v>
      </c>
    </row>
    <row r="155" spans="1:10" x14ac:dyDescent="0.3">
      <c r="A155" s="2" t="s">
        <v>84</v>
      </c>
      <c r="D155" s="2" t="s">
        <v>40</v>
      </c>
      <c r="E155" s="2">
        <v>1842</v>
      </c>
      <c r="F155" s="2">
        <v>414</v>
      </c>
      <c r="G155" s="2">
        <v>307524</v>
      </c>
      <c r="H155" s="2">
        <v>1.76</v>
      </c>
      <c r="I155" s="5">
        <v>40478</v>
      </c>
      <c r="J155" s="55">
        <f t="shared" si="4"/>
        <v>4.6435400163889647E-3</v>
      </c>
    </row>
    <row r="156" spans="1:10" x14ac:dyDescent="0.3">
      <c r="A156" s="2" t="s">
        <v>143</v>
      </c>
      <c r="D156" s="2" t="s">
        <v>13</v>
      </c>
      <c r="E156" s="2">
        <v>861</v>
      </c>
      <c r="F156" s="2">
        <v>153</v>
      </c>
      <c r="G156" s="2">
        <v>317007</v>
      </c>
      <c r="H156" s="2">
        <v>3.85</v>
      </c>
      <c r="I156" s="5">
        <v>8718</v>
      </c>
      <c r="J156" s="55">
        <f t="shared" si="4"/>
        <v>2.2333891680625349E-3</v>
      </c>
    </row>
    <row r="157" spans="1:10" x14ac:dyDescent="0.3">
      <c r="A157" s="2" t="s">
        <v>143</v>
      </c>
      <c r="D157" s="2" t="s">
        <v>24</v>
      </c>
      <c r="E157" s="2">
        <v>1063</v>
      </c>
      <c r="F157" s="2">
        <v>47</v>
      </c>
      <c r="G157" s="2">
        <v>464239</v>
      </c>
      <c r="H157" s="2">
        <v>6.58</v>
      </c>
      <c r="I157" s="5">
        <v>39031</v>
      </c>
      <c r="J157" s="55">
        <f t="shared" si="4"/>
        <v>2.1885278918832756E-3</v>
      </c>
    </row>
    <row r="158" spans="1:10" x14ac:dyDescent="0.3">
      <c r="A158" s="2" t="s">
        <v>275</v>
      </c>
      <c r="D158" s="2" t="s">
        <v>30</v>
      </c>
      <c r="E158" s="2">
        <v>1466</v>
      </c>
      <c r="F158" s="2">
        <v>69</v>
      </c>
      <c r="G158" s="2">
        <v>54935</v>
      </c>
      <c r="H158" s="2">
        <v>6.85</v>
      </c>
      <c r="I158" s="5">
        <v>36484</v>
      </c>
      <c r="J158" s="55">
        <f t="shared" si="4"/>
        <v>2.5430053699827069E-2</v>
      </c>
    </row>
    <row r="159" spans="1:10" x14ac:dyDescent="0.3">
      <c r="A159" s="2" t="s">
        <v>444</v>
      </c>
      <c r="D159" s="2" t="s">
        <v>40</v>
      </c>
      <c r="E159" s="2">
        <v>505</v>
      </c>
      <c r="F159" s="2">
        <v>441</v>
      </c>
      <c r="G159" s="2">
        <v>220020</v>
      </c>
      <c r="H159" s="2">
        <v>4.4800000000000004</v>
      </c>
      <c r="I159" s="5">
        <v>42307</v>
      </c>
      <c r="J159" s="55">
        <f t="shared" si="4"/>
        <v>2.9088264703208797E-4</v>
      </c>
    </row>
    <row r="160" spans="1:10" x14ac:dyDescent="0.3">
      <c r="A160" s="2" t="s">
        <v>191</v>
      </c>
      <c r="D160" s="2" t="s">
        <v>13</v>
      </c>
      <c r="E160" s="2">
        <v>946</v>
      </c>
      <c r="F160" s="2">
        <v>47</v>
      </c>
      <c r="G160" s="2">
        <v>466575</v>
      </c>
      <c r="H160" s="2">
        <v>8.33</v>
      </c>
      <c r="I160" s="5">
        <v>10002</v>
      </c>
      <c r="J160" s="55">
        <f t="shared" si="4"/>
        <v>1.9268070513850934E-3</v>
      </c>
    </row>
    <row r="161" spans="1:10" x14ac:dyDescent="0.3">
      <c r="A161" s="2" t="s">
        <v>191</v>
      </c>
      <c r="D161" s="2" t="s">
        <v>24</v>
      </c>
      <c r="E161" s="2">
        <v>510</v>
      </c>
      <c r="F161" s="2">
        <v>195</v>
      </c>
      <c r="G161" s="2">
        <v>224534</v>
      </c>
      <c r="H161" s="2">
        <v>9.4</v>
      </c>
      <c r="I161" s="5">
        <v>30987</v>
      </c>
      <c r="J161" s="55">
        <f t="shared" si="4"/>
        <v>1.4029055733207443E-3</v>
      </c>
    </row>
    <row r="162" spans="1:10" x14ac:dyDescent="0.3">
      <c r="A162" s="2" t="s">
        <v>121</v>
      </c>
      <c r="D162" s="2" t="s">
        <v>30</v>
      </c>
      <c r="E162" s="2">
        <v>1013</v>
      </c>
      <c r="F162" s="2">
        <v>110</v>
      </c>
      <c r="G162" s="2">
        <v>466382</v>
      </c>
      <c r="H162" s="2">
        <v>5.3</v>
      </c>
      <c r="I162" s="5">
        <v>37132</v>
      </c>
      <c r="J162" s="55">
        <f t="shared" ref="J162:J193" si="5">(E162-F162)/G162</f>
        <v>1.9361810704529763E-3</v>
      </c>
    </row>
    <row r="163" spans="1:10" x14ac:dyDescent="0.3">
      <c r="A163" s="2" t="s">
        <v>163</v>
      </c>
      <c r="D163" s="2" t="s">
        <v>40</v>
      </c>
      <c r="E163" s="2">
        <v>508</v>
      </c>
      <c r="F163" s="2">
        <v>69</v>
      </c>
      <c r="G163" s="2">
        <v>23492</v>
      </c>
      <c r="H163" s="2">
        <v>3.16</v>
      </c>
      <c r="I163" s="5">
        <v>42824</v>
      </c>
      <c r="J163" s="55">
        <f t="shared" si="5"/>
        <v>1.8687212668142345E-2</v>
      </c>
    </row>
    <row r="164" spans="1:10" x14ac:dyDescent="0.3">
      <c r="A164" s="2" t="s">
        <v>571</v>
      </c>
      <c r="D164" s="2" t="s">
        <v>13</v>
      </c>
      <c r="E164" s="2">
        <v>1399</v>
      </c>
      <c r="F164" s="2">
        <v>49</v>
      </c>
      <c r="G164" s="2">
        <v>12471</v>
      </c>
      <c r="H164" s="2">
        <v>5.12</v>
      </c>
      <c r="I164" s="5">
        <v>14722</v>
      </c>
      <c r="J164" s="55">
        <f t="shared" si="5"/>
        <v>0.10825114265095021</v>
      </c>
    </row>
    <row r="165" spans="1:10" x14ac:dyDescent="0.3">
      <c r="A165" s="2" t="s">
        <v>571</v>
      </c>
      <c r="D165" s="2" t="s">
        <v>24</v>
      </c>
      <c r="E165" s="2">
        <v>1658</v>
      </c>
      <c r="F165" s="2">
        <v>416</v>
      </c>
      <c r="G165" s="2">
        <v>98397</v>
      </c>
      <c r="H165" s="2">
        <v>6.11</v>
      </c>
      <c r="I165" s="5">
        <v>11383</v>
      </c>
      <c r="J165" s="55">
        <f t="shared" si="5"/>
        <v>1.2622336046830695E-2</v>
      </c>
    </row>
    <row r="166" spans="1:10" x14ac:dyDescent="0.3">
      <c r="A166" s="2" t="s">
        <v>189</v>
      </c>
      <c r="D166" s="2" t="s">
        <v>30</v>
      </c>
      <c r="E166" s="2">
        <v>1429</v>
      </c>
      <c r="F166" s="2">
        <v>182</v>
      </c>
      <c r="G166" s="2">
        <v>101332</v>
      </c>
      <c r="H166" s="2">
        <v>7.16</v>
      </c>
      <c r="I166" s="5">
        <v>37829</v>
      </c>
      <c r="J166" s="55">
        <f t="shared" si="5"/>
        <v>1.2306082974775983E-2</v>
      </c>
    </row>
    <row r="167" spans="1:10" x14ac:dyDescent="0.3">
      <c r="A167" s="2" t="s">
        <v>308</v>
      </c>
      <c r="D167" s="2" t="s">
        <v>40</v>
      </c>
      <c r="E167" s="2">
        <v>170</v>
      </c>
      <c r="F167" s="2">
        <v>334</v>
      </c>
      <c r="G167" s="2">
        <v>334626</v>
      </c>
      <c r="H167" s="2">
        <v>6.44</v>
      </c>
      <c r="I167" s="5">
        <v>43420</v>
      </c>
      <c r="J167" s="55">
        <f t="shared" si="5"/>
        <v>-4.9009939454794306E-4</v>
      </c>
    </row>
    <row r="168" spans="1:10" x14ac:dyDescent="0.3">
      <c r="A168" s="2" t="s">
        <v>572</v>
      </c>
      <c r="D168" s="2" t="s">
        <v>13</v>
      </c>
      <c r="E168" s="2">
        <v>1077</v>
      </c>
      <c r="F168" s="2">
        <v>216</v>
      </c>
      <c r="G168" s="2">
        <v>12447</v>
      </c>
      <c r="H168" s="2">
        <v>1.8</v>
      </c>
      <c r="I168" s="5">
        <v>14068</v>
      </c>
      <c r="J168" s="55">
        <f t="shared" si="5"/>
        <v>6.9173294769824048E-2</v>
      </c>
    </row>
    <row r="169" spans="1:10" x14ac:dyDescent="0.3">
      <c r="A169" s="2" t="s">
        <v>572</v>
      </c>
      <c r="D169" s="2" t="s">
        <v>24</v>
      </c>
      <c r="E169" s="2">
        <v>1596</v>
      </c>
      <c r="F169" s="2">
        <v>211</v>
      </c>
      <c r="G169" s="2">
        <v>17380</v>
      </c>
      <c r="H169" s="2">
        <v>8.64</v>
      </c>
      <c r="I169" s="5">
        <v>35801</v>
      </c>
      <c r="J169" s="55">
        <f t="shared" si="5"/>
        <v>7.9689298043728429E-2</v>
      </c>
    </row>
    <row r="170" spans="1:10" x14ac:dyDescent="0.3">
      <c r="A170" s="2" t="s">
        <v>563</v>
      </c>
      <c r="D170" s="2" t="s">
        <v>30</v>
      </c>
      <c r="E170" s="2">
        <v>1939</v>
      </c>
      <c r="F170" s="2">
        <v>67</v>
      </c>
      <c r="G170" s="2">
        <v>187183</v>
      </c>
      <c r="H170" s="2">
        <v>6.25</v>
      </c>
      <c r="I170" s="5">
        <v>41215</v>
      </c>
      <c r="J170" s="55">
        <f t="shared" si="5"/>
        <v>1.0000908202133741E-2</v>
      </c>
    </row>
    <row r="171" spans="1:10" x14ac:dyDescent="0.3">
      <c r="A171" s="2" t="s">
        <v>563</v>
      </c>
      <c r="D171" s="2" t="s">
        <v>40</v>
      </c>
      <c r="E171" s="2">
        <v>1929</v>
      </c>
      <c r="F171" s="2">
        <v>267</v>
      </c>
      <c r="G171" s="2">
        <v>379363</v>
      </c>
      <c r="H171" s="2">
        <v>1.75</v>
      </c>
      <c r="I171" s="5">
        <v>43836</v>
      </c>
      <c r="J171" s="55">
        <f t="shared" si="5"/>
        <v>4.3810281972675247E-3</v>
      </c>
    </row>
    <row r="172" spans="1:10" x14ac:dyDescent="0.3">
      <c r="A172" s="2" t="s">
        <v>227</v>
      </c>
      <c r="D172" s="2" t="s">
        <v>13</v>
      </c>
      <c r="E172" s="2">
        <v>364</v>
      </c>
      <c r="F172" s="2">
        <v>72</v>
      </c>
      <c r="G172" s="2">
        <v>211090</v>
      </c>
      <c r="H172" s="2">
        <v>5.53</v>
      </c>
      <c r="I172" s="5">
        <v>21061</v>
      </c>
      <c r="J172" s="55">
        <f t="shared" si="5"/>
        <v>1.3832962243592781E-3</v>
      </c>
    </row>
    <row r="173" spans="1:10" x14ac:dyDescent="0.3">
      <c r="A173" s="2" t="s">
        <v>227</v>
      </c>
      <c r="D173" s="2" t="s">
        <v>24</v>
      </c>
      <c r="E173" s="2">
        <v>442</v>
      </c>
      <c r="F173" s="2">
        <v>53</v>
      </c>
      <c r="G173" s="2">
        <v>441931</v>
      </c>
      <c r="H173" s="2">
        <v>1.87</v>
      </c>
      <c r="I173" s="5">
        <v>20059</v>
      </c>
      <c r="J173" s="55">
        <f t="shared" si="5"/>
        <v>8.8022790888170322E-4</v>
      </c>
    </row>
    <row r="174" spans="1:10" x14ac:dyDescent="0.3">
      <c r="A174" s="2" t="s">
        <v>569</v>
      </c>
      <c r="D174" s="2" t="s">
        <v>30</v>
      </c>
      <c r="E174" s="2">
        <v>1748</v>
      </c>
      <c r="F174" s="2">
        <v>176</v>
      </c>
      <c r="G174" s="2">
        <v>383681</v>
      </c>
      <c r="H174" s="2">
        <v>9.24</v>
      </c>
      <c r="I174" s="5">
        <v>43122</v>
      </c>
      <c r="J174" s="55">
        <f t="shared" si="5"/>
        <v>4.0971536250166149E-3</v>
      </c>
    </row>
    <row r="175" spans="1:10" x14ac:dyDescent="0.3">
      <c r="A175" s="2" t="s">
        <v>568</v>
      </c>
      <c r="D175" s="2" t="s">
        <v>40</v>
      </c>
      <c r="E175" s="2">
        <v>651</v>
      </c>
      <c r="F175" s="2">
        <v>353</v>
      </c>
      <c r="G175" s="2">
        <v>224699</v>
      </c>
      <c r="H175" s="2">
        <v>5.61</v>
      </c>
      <c r="I175" s="5">
        <v>45708</v>
      </c>
      <c r="J175" s="55">
        <f t="shared" si="5"/>
        <v>1.3262186302564765E-3</v>
      </c>
    </row>
    <row r="176" spans="1:10" x14ac:dyDescent="0.3">
      <c r="A176" s="2" t="s">
        <v>573</v>
      </c>
      <c r="D176" s="2" t="s">
        <v>13</v>
      </c>
      <c r="E176" s="2">
        <v>1946</v>
      </c>
      <c r="F176" s="2">
        <v>270</v>
      </c>
      <c r="G176" s="2">
        <v>198350</v>
      </c>
      <c r="H176" s="2">
        <v>7.5</v>
      </c>
      <c r="I176" s="5">
        <v>11805</v>
      </c>
      <c r="J176" s="55">
        <f t="shared" si="5"/>
        <v>8.4497101083942528E-3</v>
      </c>
    </row>
    <row r="177" spans="1:10" x14ac:dyDescent="0.3">
      <c r="A177" s="2" t="s">
        <v>573</v>
      </c>
      <c r="D177" s="2" t="s">
        <v>24</v>
      </c>
      <c r="E177" s="2">
        <v>1957</v>
      </c>
      <c r="F177" s="2">
        <v>490</v>
      </c>
      <c r="G177" s="2">
        <v>435726</v>
      </c>
      <c r="H177" s="2">
        <v>4.7300000000000004</v>
      </c>
      <c r="I177" s="5">
        <v>15969</v>
      </c>
      <c r="J177" s="55">
        <f t="shared" si="5"/>
        <v>3.3667947287974553E-3</v>
      </c>
    </row>
    <row r="178" spans="1:10" x14ac:dyDescent="0.3">
      <c r="A178" s="2" t="s">
        <v>123</v>
      </c>
      <c r="D178" s="2" t="s">
        <v>30</v>
      </c>
      <c r="E178" s="2">
        <v>1138</v>
      </c>
      <c r="F178" s="2">
        <v>173</v>
      </c>
      <c r="G178" s="2">
        <v>453243</v>
      </c>
      <c r="H178" s="2">
        <v>2.86</v>
      </c>
      <c r="I178" s="5">
        <v>44097</v>
      </c>
      <c r="J178" s="55">
        <f t="shared" si="5"/>
        <v>2.1291007252180398E-3</v>
      </c>
    </row>
    <row r="179" spans="1:10" x14ac:dyDescent="0.3">
      <c r="A179" s="2" t="s">
        <v>159</v>
      </c>
      <c r="D179" s="2" t="s">
        <v>40</v>
      </c>
      <c r="E179" s="2">
        <v>1753</v>
      </c>
      <c r="F179" s="2">
        <v>371</v>
      </c>
      <c r="G179" s="2">
        <v>169496</v>
      </c>
      <c r="H179" s="2">
        <v>8.11</v>
      </c>
      <c r="I179" s="5">
        <v>46670</v>
      </c>
      <c r="J179" s="55">
        <f t="shared" si="5"/>
        <v>8.1535847453627231E-3</v>
      </c>
    </row>
    <row r="180" spans="1:10" x14ac:dyDescent="0.3">
      <c r="A180" s="2" t="s">
        <v>403</v>
      </c>
      <c r="D180" s="2" t="s">
        <v>13</v>
      </c>
      <c r="E180" s="2">
        <v>1432</v>
      </c>
      <c r="F180" s="2">
        <v>425</v>
      </c>
      <c r="G180" s="2">
        <v>29589</v>
      </c>
      <c r="H180" s="2">
        <v>4.5</v>
      </c>
      <c r="I180" s="5">
        <v>42964</v>
      </c>
      <c r="J180" s="55">
        <f t="shared" si="5"/>
        <v>3.4032917638311531E-2</v>
      </c>
    </row>
    <row r="181" spans="1:10" x14ac:dyDescent="0.3">
      <c r="A181" s="2" t="s">
        <v>403</v>
      </c>
      <c r="D181" s="2" t="s">
        <v>24</v>
      </c>
      <c r="E181" s="2">
        <v>623</v>
      </c>
      <c r="F181" s="2">
        <v>414</v>
      </c>
      <c r="G181" s="2">
        <v>290354</v>
      </c>
      <c r="H181" s="2">
        <v>6.49</v>
      </c>
      <c r="I181" s="5">
        <v>39923</v>
      </c>
      <c r="J181" s="55">
        <f t="shared" si="5"/>
        <v>7.1981098934404211E-4</v>
      </c>
    </row>
    <row r="182" spans="1:10" x14ac:dyDescent="0.3">
      <c r="A182" s="2" t="s">
        <v>31</v>
      </c>
      <c r="D182" s="2" t="s">
        <v>30</v>
      </c>
      <c r="E182" s="2">
        <v>1528</v>
      </c>
      <c r="F182" s="2">
        <v>203</v>
      </c>
      <c r="G182" s="2">
        <v>489188</v>
      </c>
      <c r="H182" s="2">
        <v>6.23</v>
      </c>
      <c r="I182" s="5">
        <v>47101</v>
      </c>
      <c r="J182" s="55">
        <f t="shared" si="5"/>
        <v>2.7085701202809553E-3</v>
      </c>
    </row>
    <row r="183" spans="1:10" x14ac:dyDescent="0.3">
      <c r="A183" s="2" t="s">
        <v>560</v>
      </c>
      <c r="D183" s="2" t="s">
        <v>40</v>
      </c>
      <c r="E183" s="2">
        <v>443</v>
      </c>
      <c r="F183" s="2">
        <v>345</v>
      </c>
      <c r="G183" s="2">
        <v>474162</v>
      </c>
      <c r="H183" s="2">
        <v>9.1999999999999993</v>
      </c>
      <c r="I183" s="5">
        <v>47462</v>
      </c>
      <c r="J183" s="55">
        <f t="shared" si="5"/>
        <v>2.0668041724136477E-4</v>
      </c>
    </row>
    <row r="184" spans="1:10" x14ac:dyDescent="0.3">
      <c r="A184" s="2" t="s">
        <v>574</v>
      </c>
      <c r="D184" s="2" t="s">
        <v>13</v>
      </c>
      <c r="E184" s="2">
        <v>353</v>
      </c>
      <c r="F184" s="2">
        <v>300</v>
      </c>
      <c r="G184" s="2">
        <v>142507</v>
      </c>
      <c r="H184" s="2">
        <v>5.3</v>
      </c>
      <c r="I184" s="5">
        <v>11035</v>
      </c>
      <c r="J184" s="55">
        <f t="shared" si="5"/>
        <v>3.7191155522184875E-4</v>
      </c>
    </row>
    <row r="185" spans="1:10" x14ac:dyDescent="0.3">
      <c r="A185" s="2" t="s">
        <v>574</v>
      </c>
      <c r="D185" s="2" t="s">
        <v>24</v>
      </c>
      <c r="E185" s="2">
        <v>520</v>
      </c>
      <c r="F185" s="2">
        <v>375</v>
      </c>
      <c r="G185" s="2">
        <v>369525</v>
      </c>
      <c r="H185" s="2">
        <v>6.54</v>
      </c>
      <c r="I185" s="5">
        <v>20733</v>
      </c>
      <c r="J185" s="55">
        <f t="shared" si="5"/>
        <v>3.9239564305527366E-4</v>
      </c>
    </row>
    <row r="186" spans="1:10" x14ac:dyDescent="0.3">
      <c r="A186" s="2" t="s">
        <v>565</v>
      </c>
      <c r="D186" s="2" t="s">
        <v>30</v>
      </c>
      <c r="E186" s="2">
        <v>1075</v>
      </c>
      <c r="F186" s="2">
        <v>173</v>
      </c>
      <c r="G186" s="2">
        <v>51395</v>
      </c>
      <c r="H186" s="2">
        <v>4.66</v>
      </c>
      <c r="I186" s="5">
        <v>47812</v>
      </c>
      <c r="J186" s="55">
        <f t="shared" si="5"/>
        <v>1.7550345364335054E-2</v>
      </c>
    </row>
    <row r="187" spans="1:10" x14ac:dyDescent="0.3">
      <c r="A187" s="2" t="s">
        <v>14</v>
      </c>
      <c r="D187" s="2" t="s">
        <v>40</v>
      </c>
      <c r="E187" s="2">
        <v>1155</v>
      </c>
      <c r="F187" s="2">
        <v>425</v>
      </c>
      <c r="G187" s="2">
        <v>93347</v>
      </c>
      <c r="H187" s="2">
        <v>2.02</v>
      </c>
      <c r="I187" s="5">
        <v>47502</v>
      </c>
      <c r="J187" s="55">
        <f t="shared" si="5"/>
        <v>7.8202834584935772E-3</v>
      </c>
    </row>
    <row r="188" spans="1:10" x14ac:dyDescent="0.3">
      <c r="A188" s="2" t="s">
        <v>575</v>
      </c>
      <c r="D188" s="2" t="s">
        <v>13</v>
      </c>
      <c r="E188" s="2">
        <v>1147</v>
      </c>
      <c r="F188" s="2">
        <v>388</v>
      </c>
      <c r="G188" s="2">
        <v>333851</v>
      </c>
      <c r="H188" s="2">
        <v>2.44</v>
      </c>
      <c r="I188" s="5">
        <v>8471</v>
      </c>
      <c r="J188" s="55">
        <f t="shared" si="5"/>
        <v>2.2734693021737242E-3</v>
      </c>
    </row>
    <row r="189" spans="1:10" x14ac:dyDescent="0.3">
      <c r="A189" s="2" t="s">
        <v>575</v>
      </c>
      <c r="D189" s="2" t="s">
        <v>24</v>
      </c>
      <c r="E189" s="2">
        <v>1707</v>
      </c>
      <c r="F189" s="2">
        <v>74</v>
      </c>
      <c r="G189" s="2">
        <v>270958</v>
      </c>
      <c r="H189" s="2">
        <v>3.09</v>
      </c>
      <c r="I189" s="5">
        <v>14090</v>
      </c>
      <c r="J189" s="55">
        <f t="shared" si="5"/>
        <v>6.0267642955734836E-3</v>
      </c>
    </row>
    <row r="190" spans="1:10" x14ac:dyDescent="0.3">
      <c r="A190" s="2" t="s">
        <v>227</v>
      </c>
      <c r="D190" s="2" t="s">
        <v>30</v>
      </c>
      <c r="E190" s="2">
        <v>490</v>
      </c>
      <c r="F190" s="2">
        <v>29</v>
      </c>
      <c r="G190" s="2">
        <v>364810</v>
      </c>
      <c r="H190" s="2">
        <v>1.53</v>
      </c>
      <c r="I190" s="5">
        <v>49077</v>
      </c>
      <c r="J190" s="55">
        <f t="shared" si="5"/>
        <v>1.2636715002329981E-3</v>
      </c>
    </row>
    <row r="191" spans="1:10" x14ac:dyDescent="0.3">
      <c r="A191" s="2" t="s">
        <v>403</v>
      </c>
      <c r="D191" s="2" t="s">
        <v>40</v>
      </c>
      <c r="E191" s="2">
        <v>1307</v>
      </c>
      <c r="F191" s="2">
        <v>278</v>
      </c>
      <c r="G191" s="2">
        <v>98596</v>
      </c>
      <c r="H191" s="2">
        <v>2.4900000000000002</v>
      </c>
      <c r="I191" s="5">
        <v>47603</v>
      </c>
      <c r="J191" s="55">
        <f t="shared" si="5"/>
        <v>1.0436528865268368E-2</v>
      </c>
    </row>
    <row r="192" spans="1:10" x14ac:dyDescent="0.3">
      <c r="A192" s="2" t="s">
        <v>355</v>
      </c>
      <c r="D192" s="2" t="s">
        <v>13</v>
      </c>
      <c r="E192" s="2">
        <v>1222</v>
      </c>
      <c r="F192" s="2">
        <v>274</v>
      </c>
      <c r="G192" s="2">
        <v>487289</v>
      </c>
      <c r="H192" s="2">
        <v>3.16</v>
      </c>
      <c r="I192" s="5">
        <v>32500</v>
      </c>
      <c r="J192" s="55">
        <f t="shared" si="5"/>
        <v>1.9454574184929272E-3</v>
      </c>
    </row>
    <row r="193" spans="1:10" x14ac:dyDescent="0.3">
      <c r="A193" s="2" t="s">
        <v>355</v>
      </c>
      <c r="D193" s="2" t="s">
        <v>24</v>
      </c>
      <c r="E193" s="2">
        <v>777</v>
      </c>
      <c r="F193" s="2">
        <v>140</v>
      </c>
      <c r="G193" s="2">
        <v>11435</v>
      </c>
      <c r="H193" s="2">
        <v>1.6</v>
      </c>
      <c r="I193" s="5">
        <v>6832</v>
      </c>
      <c r="J193" s="55">
        <f t="shared" si="5"/>
        <v>5.5706165282028861E-2</v>
      </c>
    </row>
    <row r="194" spans="1:10" x14ac:dyDescent="0.3">
      <c r="A194" s="2" t="s">
        <v>487</v>
      </c>
      <c r="D194" s="2" t="s">
        <v>30</v>
      </c>
      <c r="E194" s="2">
        <v>645</v>
      </c>
      <c r="F194" s="2">
        <v>293</v>
      </c>
      <c r="G194" s="2">
        <v>437968</v>
      </c>
      <c r="H194" s="2">
        <v>7.83</v>
      </c>
      <c r="I194" s="5">
        <v>49303</v>
      </c>
      <c r="J194" s="55">
        <f t="shared" ref="J194:J201" si="6">(E194-F194)/G194</f>
        <v>8.0371168669857163E-4</v>
      </c>
    </row>
    <row r="195" spans="1:10" x14ac:dyDescent="0.3">
      <c r="A195" s="2" t="s">
        <v>76</v>
      </c>
      <c r="D195" s="2" t="s">
        <v>40</v>
      </c>
      <c r="E195" s="2">
        <v>405</v>
      </c>
      <c r="F195" s="2">
        <v>66</v>
      </c>
      <c r="G195" s="2">
        <v>418696</v>
      </c>
      <c r="H195" s="2">
        <v>5.59</v>
      </c>
      <c r="I195" s="5">
        <v>48419</v>
      </c>
      <c r="J195" s="55">
        <f t="shared" si="6"/>
        <v>8.0965664826031301E-4</v>
      </c>
    </row>
    <row r="196" spans="1:10" x14ac:dyDescent="0.3">
      <c r="A196" s="2" t="s">
        <v>76</v>
      </c>
      <c r="D196" s="2" t="s">
        <v>13</v>
      </c>
      <c r="E196" s="2">
        <v>1581</v>
      </c>
      <c r="F196" s="2">
        <v>71</v>
      </c>
      <c r="G196" s="2">
        <v>484364</v>
      </c>
      <c r="H196" s="2">
        <v>3.55</v>
      </c>
      <c r="I196" s="5">
        <v>16149</v>
      </c>
      <c r="J196" s="55">
        <f t="shared" si="6"/>
        <v>3.1174901520344203E-3</v>
      </c>
    </row>
    <row r="197" spans="1:10" x14ac:dyDescent="0.3">
      <c r="A197" s="2" t="s">
        <v>76</v>
      </c>
      <c r="D197" s="2" t="s">
        <v>24</v>
      </c>
      <c r="E197" s="2">
        <v>1035</v>
      </c>
      <c r="F197" s="2">
        <v>171</v>
      </c>
      <c r="G197" s="2">
        <v>148477</v>
      </c>
      <c r="H197" s="2">
        <v>5.21</v>
      </c>
      <c r="I197" s="5">
        <v>7541</v>
      </c>
      <c r="J197" s="55">
        <f t="shared" si="6"/>
        <v>5.8190830903102836E-3</v>
      </c>
    </row>
    <row r="198" spans="1:10" x14ac:dyDescent="0.3">
      <c r="A198" s="2" t="s">
        <v>143</v>
      </c>
      <c r="D198" s="2" t="s">
        <v>30</v>
      </c>
      <c r="E198" s="2">
        <v>1440</v>
      </c>
      <c r="F198" s="2">
        <v>65</v>
      </c>
      <c r="G198" s="2">
        <v>126524</v>
      </c>
      <c r="H198" s="2">
        <v>4.34</v>
      </c>
      <c r="I198" s="5">
        <v>49772</v>
      </c>
      <c r="J198" s="55">
        <f t="shared" si="6"/>
        <v>1.0867503398564699E-2</v>
      </c>
    </row>
    <row r="199" spans="1:10" x14ac:dyDescent="0.3">
      <c r="A199" s="2" t="s">
        <v>25</v>
      </c>
      <c r="D199" s="2" t="s">
        <v>40</v>
      </c>
      <c r="E199" s="2">
        <v>837</v>
      </c>
      <c r="F199" s="2">
        <v>430</v>
      </c>
      <c r="G199" s="2">
        <v>364820</v>
      </c>
      <c r="H199" s="2">
        <v>4</v>
      </c>
      <c r="I199" s="5">
        <v>49400</v>
      </c>
      <c r="J199" s="55">
        <f t="shared" si="6"/>
        <v>1.1156186612576065E-3</v>
      </c>
    </row>
    <row r="200" spans="1:10" x14ac:dyDescent="0.3">
      <c r="A200" s="2" t="s">
        <v>25</v>
      </c>
      <c r="D200" s="2" t="s">
        <v>13</v>
      </c>
      <c r="E200" s="2">
        <v>337</v>
      </c>
      <c r="F200" s="2">
        <v>68</v>
      </c>
      <c r="G200" s="2">
        <v>456298</v>
      </c>
      <c r="H200" s="2">
        <v>7.57</v>
      </c>
      <c r="I200" s="5">
        <v>4007</v>
      </c>
      <c r="J200" s="55">
        <f t="shared" si="6"/>
        <v>5.8952701962314107E-4</v>
      </c>
    </row>
    <row r="201" spans="1:10" x14ac:dyDescent="0.3">
      <c r="A201" s="2" t="s">
        <v>25</v>
      </c>
      <c r="D201" s="2" t="s">
        <v>24</v>
      </c>
      <c r="E201" s="2">
        <v>119</v>
      </c>
      <c r="F201" s="2">
        <v>456</v>
      </c>
      <c r="G201" s="2">
        <v>82558</v>
      </c>
      <c r="H201" s="2">
        <v>6.81</v>
      </c>
      <c r="I201" s="5">
        <v>12174</v>
      </c>
      <c r="J201" s="55">
        <f t="shared" si="6"/>
        <v>-4.0819787301048958E-3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D386A-DA87-4B22-9123-F79478956C0F}">
  <dimension ref="A1:G5"/>
  <sheetViews>
    <sheetView workbookViewId="0">
      <selection activeCell="F9" sqref="F9"/>
    </sheetView>
  </sheetViews>
  <sheetFormatPr defaultRowHeight="14.4" x14ac:dyDescent="0.3"/>
  <cols>
    <col min="1" max="1" width="16" bestFit="1" customWidth="1"/>
    <col min="2" max="3" width="10.33203125" bestFit="1" customWidth="1"/>
    <col min="4" max="4" width="19.5546875" bestFit="1" customWidth="1"/>
    <col min="5" max="5" width="12.21875" bestFit="1" customWidth="1"/>
    <col min="6" max="6" width="17.6640625" bestFit="1" customWidth="1"/>
    <col min="7" max="7" width="30.109375" bestFit="1" customWidth="1"/>
  </cols>
  <sheetData>
    <row r="1" spans="1:7" x14ac:dyDescent="0.3">
      <c r="A1" s="7" t="s">
        <v>11</v>
      </c>
      <c r="B1" s="7" t="s">
        <v>576</v>
      </c>
      <c r="C1" s="7" t="s">
        <v>577</v>
      </c>
      <c r="D1" s="7" t="s">
        <v>578</v>
      </c>
      <c r="E1" s="7" t="s">
        <v>579</v>
      </c>
      <c r="F1" s="7" t="s">
        <v>580</v>
      </c>
      <c r="G1" s="7" t="s">
        <v>581</v>
      </c>
    </row>
    <row r="2" spans="1:7" x14ac:dyDescent="0.3">
      <c r="A2" s="8" t="s">
        <v>17</v>
      </c>
      <c r="B2" s="8" t="s">
        <v>582</v>
      </c>
      <c r="C2" s="8" t="s">
        <v>308</v>
      </c>
      <c r="D2" s="8" t="s">
        <v>583</v>
      </c>
      <c r="E2" s="8">
        <v>150000</v>
      </c>
      <c r="F2" s="8" t="s">
        <v>584</v>
      </c>
      <c r="G2" s="8" t="s">
        <v>38</v>
      </c>
    </row>
    <row r="3" spans="1:7" x14ac:dyDescent="0.3">
      <c r="A3" s="8" t="s">
        <v>22</v>
      </c>
      <c r="B3" s="8" t="s">
        <v>585</v>
      </c>
      <c r="C3" s="8" t="s">
        <v>41</v>
      </c>
      <c r="D3" s="8" t="s">
        <v>586</v>
      </c>
      <c r="E3" s="8">
        <v>200000</v>
      </c>
      <c r="F3" s="8" t="s">
        <v>587</v>
      </c>
      <c r="G3" s="8" t="s">
        <v>588</v>
      </c>
    </row>
    <row r="4" spans="1:7" x14ac:dyDescent="0.3">
      <c r="A4" s="8" t="s">
        <v>28</v>
      </c>
      <c r="B4" s="8" t="s">
        <v>589</v>
      </c>
      <c r="C4" s="8" t="s">
        <v>223</v>
      </c>
      <c r="D4" s="8" t="s">
        <v>590</v>
      </c>
      <c r="E4" s="8">
        <v>250000</v>
      </c>
      <c r="F4" s="8" t="s">
        <v>591</v>
      </c>
      <c r="G4" s="8" t="s">
        <v>592</v>
      </c>
    </row>
    <row r="5" spans="1:7" x14ac:dyDescent="0.3">
      <c r="A5" s="8" t="s">
        <v>35</v>
      </c>
      <c r="B5" s="8" t="s">
        <v>593</v>
      </c>
      <c r="C5" s="8" t="s">
        <v>573</v>
      </c>
      <c r="D5" s="8" t="s">
        <v>594</v>
      </c>
      <c r="E5" s="8">
        <v>180000</v>
      </c>
      <c r="F5" s="8" t="s">
        <v>595</v>
      </c>
      <c r="G5" s="8" t="s">
        <v>596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5D3EF-3C5D-4C3A-B5A2-A41B8E362587}">
  <dimension ref="B3:C7"/>
  <sheetViews>
    <sheetView workbookViewId="0">
      <selection activeCell="D20" sqref="D20"/>
    </sheetView>
  </sheetViews>
  <sheetFormatPr defaultRowHeight="14.4" x14ac:dyDescent="0.3"/>
  <cols>
    <col min="2" max="2" width="14.33203125" bestFit="1" customWidth="1"/>
    <col min="3" max="3" width="50.109375" bestFit="1" customWidth="1"/>
  </cols>
  <sheetData>
    <row r="3" spans="2:3" ht="18" x14ac:dyDescent="0.35">
      <c r="B3" s="12"/>
      <c r="C3" s="13" t="s">
        <v>605</v>
      </c>
    </row>
    <row r="4" spans="2:3" ht="18" x14ac:dyDescent="0.35">
      <c r="B4" s="13" t="s">
        <v>603</v>
      </c>
      <c r="C4" s="14">
        <f>AVERAGEIF(Platform,"Instagram",Engagement_rate)</f>
        <v>0.19329257693923488</v>
      </c>
    </row>
    <row r="5" spans="2:3" ht="18" x14ac:dyDescent="0.35">
      <c r="B5" s="13" t="s">
        <v>13</v>
      </c>
      <c r="C5" s="14">
        <f>AVERAGEIF(Platform,"Twitter",Engagement_rate)</f>
        <v>0.14368407434207892</v>
      </c>
    </row>
    <row r="6" spans="2:3" ht="18" x14ac:dyDescent="0.35">
      <c r="B6" s="13" t="s">
        <v>40</v>
      </c>
      <c r="C6" s="14">
        <f>AVERAGEIF(Platform,"Facebook",Engagement_rate)</f>
        <v>0.12197289956132547</v>
      </c>
    </row>
    <row r="7" spans="2:3" ht="18" x14ac:dyDescent="0.35">
      <c r="B7" s="13" t="s">
        <v>604</v>
      </c>
      <c r="C7" s="14">
        <f>AVERAGEIF(Platform,"YouTube",Engagement_rate)</f>
        <v>0.13118493770753806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19735-9DDE-4F8F-B3D5-243B07F8441D}">
  <dimension ref="A1:Q301"/>
  <sheetViews>
    <sheetView zoomScale="85" zoomScaleNormal="85" workbookViewId="0">
      <selection activeCell="P25" sqref="P25"/>
    </sheetView>
  </sheetViews>
  <sheetFormatPr defaultRowHeight="14.4" x14ac:dyDescent="0.3"/>
  <cols>
    <col min="1" max="1" width="6.88671875" bestFit="1" customWidth="1"/>
    <col min="2" max="2" width="9.109375" bestFit="1" customWidth="1"/>
    <col min="3" max="3" width="10.33203125" bestFit="1" customWidth="1"/>
    <col min="4" max="4" width="12.33203125" bestFit="1" customWidth="1"/>
    <col min="5" max="5" width="37" bestFit="1" customWidth="1"/>
    <col min="6" max="6" width="5.109375" bestFit="1" customWidth="1"/>
    <col min="7" max="7" width="6.5546875" bestFit="1" customWidth="1"/>
    <col min="8" max="8" width="10.109375" bestFit="1" customWidth="1"/>
    <col min="9" max="9" width="11" bestFit="1" customWidth="1"/>
    <col min="10" max="10" width="6.109375" bestFit="1" customWidth="1"/>
    <col min="11" max="11" width="5.6640625" bestFit="1" customWidth="1"/>
    <col min="12" max="12" width="16" bestFit="1" customWidth="1"/>
    <col min="13" max="13" width="17.44140625" bestFit="1" customWidth="1"/>
    <col min="14" max="14" width="20.21875" bestFit="1" customWidth="1"/>
    <col min="15" max="15" width="18.44140625" bestFit="1" customWidth="1"/>
    <col min="16" max="16" width="15.88671875" bestFit="1" customWidth="1"/>
    <col min="17" max="17" width="11.5546875" bestFit="1" customWidth="1"/>
  </cols>
  <sheetData>
    <row r="1" spans="1:17" x14ac:dyDescent="0.3">
      <c r="A1" s="50" t="s">
        <v>0</v>
      </c>
      <c r="B1" s="50" t="s">
        <v>1</v>
      </c>
      <c r="C1" s="50" t="s">
        <v>2</v>
      </c>
      <c r="D1" s="50" t="s">
        <v>3</v>
      </c>
      <c r="E1" s="50" t="s">
        <v>4</v>
      </c>
      <c r="F1" s="50" t="s">
        <v>5</v>
      </c>
      <c r="G1" s="50" t="s">
        <v>6</v>
      </c>
      <c r="H1" s="50" t="s">
        <v>7</v>
      </c>
      <c r="I1" s="50" t="s">
        <v>8</v>
      </c>
      <c r="J1" s="50" t="s">
        <v>9</v>
      </c>
      <c r="K1" s="50" t="s">
        <v>10</v>
      </c>
      <c r="L1" s="50" t="s">
        <v>11</v>
      </c>
      <c r="M1" s="50" t="s">
        <v>597</v>
      </c>
      <c r="N1" s="50" t="s">
        <v>598</v>
      </c>
      <c r="O1" s="50" t="s">
        <v>599</v>
      </c>
      <c r="P1" s="50" t="s">
        <v>602</v>
      </c>
      <c r="Q1" s="50" t="s">
        <v>666</v>
      </c>
    </row>
    <row r="2" spans="1:17" x14ac:dyDescent="0.3">
      <c r="A2" s="77" t="s">
        <v>170</v>
      </c>
      <c r="B2" s="77" t="s">
        <v>13</v>
      </c>
      <c r="C2" s="78" t="s">
        <v>171</v>
      </c>
      <c r="D2" s="77" t="s">
        <v>71</v>
      </c>
      <c r="E2" s="79" t="s">
        <v>141</v>
      </c>
      <c r="F2" s="80">
        <v>4886</v>
      </c>
      <c r="G2" s="80">
        <v>983</v>
      </c>
      <c r="H2" s="80">
        <v>409</v>
      </c>
      <c r="I2" s="80">
        <v>43974</v>
      </c>
      <c r="J2" s="80">
        <v>43239</v>
      </c>
      <c r="K2" s="80">
        <v>65</v>
      </c>
      <c r="L2" s="77" t="s">
        <v>17</v>
      </c>
      <c r="M2" s="77" t="s">
        <v>27</v>
      </c>
      <c r="N2" s="81"/>
      <c r="O2" s="81"/>
      <c r="P2" s="82">
        <f t="shared" ref="P2:P65" si="0">(F2+G2+H2)/I2</f>
        <v>0.14276618001546368</v>
      </c>
      <c r="Q2" s="83">
        <f t="shared" ref="Q2:Q65" si="1">F2+G2+H2</f>
        <v>6278</v>
      </c>
    </row>
    <row r="3" spans="1:17" x14ac:dyDescent="0.3">
      <c r="A3" s="77" t="s">
        <v>313</v>
      </c>
      <c r="B3" s="77" t="s">
        <v>24</v>
      </c>
      <c r="C3" s="78" t="s">
        <v>195</v>
      </c>
      <c r="D3" s="77" t="s">
        <v>32</v>
      </c>
      <c r="E3" s="79" t="s">
        <v>150</v>
      </c>
      <c r="F3" s="80">
        <v>4929</v>
      </c>
      <c r="G3" s="80">
        <v>749</v>
      </c>
      <c r="H3" s="80">
        <v>452</v>
      </c>
      <c r="I3" s="80">
        <v>93651</v>
      </c>
      <c r="J3" s="80">
        <v>92810</v>
      </c>
      <c r="K3" s="80">
        <v>66</v>
      </c>
      <c r="L3" s="77" t="s">
        <v>35</v>
      </c>
      <c r="M3" s="77" t="s">
        <v>34</v>
      </c>
      <c r="N3" s="81"/>
      <c r="O3" s="81"/>
      <c r="P3" s="82">
        <f t="shared" si="0"/>
        <v>6.5455787978772245E-2</v>
      </c>
      <c r="Q3" s="83">
        <f t="shared" si="1"/>
        <v>6130</v>
      </c>
    </row>
    <row r="4" spans="1:17" x14ac:dyDescent="0.3">
      <c r="A4" s="77" t="s">
        <v>346</v>
      </c>
      <c r="B4" s="77" t="s">
        <v>24</v>
      </c>
      <c r="C4" s="78" t="s">
        <v>89</v>
      </c>
      <c r="D4" s="77" t="s">
        <v>20</v>
      </c>
      <c r="E4" s="79" t="s">
        <v>100</v>
      </c>
      <c r="F4" s="80">
        <v>4934</v>
      </c>
      <c r="G4" s="80">
        <v>971</v>
      </c>
      <c r="H4" s="80">
        <v>156</v>
      </c>
      <c r="I4" s="80">
        <v>39472</v>
      </c>
      <c r="J4" s="80">
        <v>39025</v>
      </c>
      <c r="K4" s="80">
        <v>169</v>
      </c>
      <c r="L4" s="77" t="s">
        <v>35</v>
      </c>
      <c r="M4" s="77" t="s">
        <v>27</v>
      </c>
      <c r="N4" s="81" t="s">
        <v>600</v>
      </c>
      <c r="O4" s="81"/>
      <c r="P4" s="82">
        <f t="shared" si="0"/>
        <v>0.15355188488042157</v>
      </c>
      <c r="Q4" s="83">
        <f t="shared" si="1"/>
        <v>6061</v>
      </c>
    </row>
    <row r="5" spans="1:17" x14ac:dyDescent="0.3">
      <c r="A5" s="77" t="s">
        <v>491</v>
      </c>
      <c r="B5" s="77" t="s">
        <v>30</v>
      </c>
      <c r="C5" s="78" t="s">
        <v>492</v>
      </c>
      <c r="D5" s="77" t="s">
        <v>49</v>
      </c>
      <c r="E5" s="79" t="s">
        <v>209</v>
      </c>
      <c r="F5" s="80">
        <v>4853</v>
      </c>
      <c r="G5" s="80">
        <v>837</v>
      </c>
      <c r="H5" s="80">
        <v>340</v>
      </c>
      <c r="I5" s="80">
        <v>72795</v>
      </c>
      <c r="J5" s="80">
        <v>72237</v>
      </c>
      <c r="K5" s="80">
        <v>170</v>
      </c>
      <c r="L5" s="77" t="s">
        <v>17</v>
      </c>
      <c r="M5" s="77" t="s">
        <v>34</v>
      </c>
      <c r="N5" s="81"/>
      <c r="O5" s="81"/>
      <c r="P5" s="82">
        <f t="shared" si="0"/>
        <v>8.2835359571399134E-2</v>
      </c>
      <c r="Q5" s="83">
        <f t="shared" si="1"/>
        <v>6030</v>
      </c>
    </row>
    <row r="6" spans="1:17" x14ac:dyDescent="0.3">
      <c r="A6" s="77" t="s">
        <v>465</v>
      </c>
      <c r="B6" s="77" t="s">
        <v>24</v>
      </c>
      <c r="C6" s="78" t="s">
        <v>466</v>
      </c>
      <c r="D6" s="77" t="s">
        <v>71</v>
      </c>
      <c r="E6" s="79" t="s">
        <v>212</v>
      </c>
      <c r="F6" s="80">
        <v>4661</v>
      </c>
      <c r="G6" s="80">
        <v>935</v>
      </c>
      <c r="H6" s="80">
        <v>433</v>
      </c>
      <c r="I6" s="80">
        <v>23305</v>
      </c>
      <c r="J6" s="80">
        <v>22583</v>
      </c>
      <c r="K6" s="80">
        <v>63</v>
      </c>
      <c r="L6" s="77" t="s">
        <v>28</v>
      </c>
      <c r="M6" s="77" t="s">
        <v>59</v>
      </c>
      <c r="N6" s="81"/>
      <c r="O6" s="81"/>
      <c r="P6" s="82">
        <f t="shared" si="0"/>
        <v>0.25869984981763572</v>
      </c>
      <c r="Q6" s="83">
        <f t="shared" si="1"/>
        <v>6029</v>
      </c>
    </row>
    <row r="7" spans="1:17" x14ac:dyDescent="0.3">
      <c r="A7" s="77" t="s">
        <v>425</v>
      </c>
      <c r="B7" s="77" t="s">
        <v>40</v>
      </c>
      <c r="C7" s="78" t="s">
        <v>426</v>
      </c>
      <c r="D7" s="77" t="s">
        <v>49</v>
      </c>
      <c r="E7" s="79" t="s">
        <v>56</v>
      </c>
      <c r="F7" s="80">
        <v>4872</v>
      </c>
      <c r="G7" s="80">
        <v>925</v>
      </c>
      <c r="H7" s="80">
        <v>176</v>
      </c>
      <c r="I7" s="80">
        <v>82824</v>
      </c>
      <c r="J7" s="80">
        <v>82543</v>
      </c>
      <c r="K7" s="80">
        <v>89</v>
      </c>
      <c r="L7" s="77" t="s">
        <v>22</v>
      </c>
      <c r="M7" s="77" t="s">
        <v>34</v>
      </c>
      <c r="N7" s="81"/>
      <c r="O7" s="81"/>
      <c r="P7" s="82">
        <f t="shared" si="0"/>
        <v>7.2116777745580993E-2</v>
      </c>
      <c r="Q7" s="83">
        <f t="shared" si="1"/>
        <v>5973</v>
      </c>
    </row>
    <row r="8" spans="1:17" x14ac:dyDescent="0.3">
      <c r="A8" s="77" t="s">
        <v>252</v>
      </c>
      <c r="B8" s="77" t="s">
        <v>30</v>
      </c>
      <c r="C8" s="78" t="s">
        <v>253</v>
      </c>
      <c r="D8" s="77" t="s">
        <v>49</v>
      </c>
      <c r="E8" s="79" t="s">
        <v>209</v>
      </c>
      <c r="F8" s="80">
        <v>4619</v>
      </c>
      <c r="G8" s="80">
        <v>821</v>
      </c>
      <c r="H8" s="80">
        <v>499</v>
      </c>
      <c r="I8" s="80">
        <v>69285</v>
      </c>
      <c r="J8" s="80">
        <v>69141</v>
      </c>
      <c r="K8" s="80">
        <v>298</v>
      </c>
      <c r="L8" s="77" t="s">
        <v>35</v>
      </c>
      <c r="M8" s="77" t="s">
        <v>27</v>
      </c>
      <c r="N8" s="81"/>
      <c r="O8" s="81"/>
      <c r="P8" s="82">
        <f t="shared" si="0"/>
        <v>8.5718409468138843E-2</v>
      </c>
      <c r="Q8" s="83">
        <f t="shared" si="1"/>
        <v>5939</v>
      </c>
    </row>
    <row r="9" spans="1:17" x14ac:dyDescent="0.3">
      <c r="A9" s="77" t="s">
        <v>340</v>
      </c>
      <c r="B9" s="77" t="s">
        <v>13</v>
      </c>
      <c r="C9" s="78" t="s">
        <v>341</v>
      </c>
      <c r="D9" s="77" t="s">
        <v>20</v>
      </c>
      <c r="E9" s="79" t="s">
        <v>21</v>
      </c>
      <c r="F9" s="80">
        <v>4671</v>
      </c>
      <c r="G9" s="80">
        <v>876</v>
      </c>
      <c r="H9" s="80">
        <v>366</v>
      </c>
      <c r="I9" s="80">
        <v>51381</v>
      </c>
      <c r="J9" s="80">
        <v>50565</v>
      </c>
      <c r="K9" s="80">
        <v>245</v>
      </c>
      <c r="L9" s="77" t="s">
        <v>35</v>
      </c>
      <c r="M9" s="77" t="s">
        <v>27</v>
      </c>
      <c r="N9" s="81"/>
      <c r="O9" s="81"/>
      <c r="P9" s="82">
        <f t="shared" si="0"/>
        <v>0.11508145034156594</v>
      </c>
      <c r="Q9" s="83">
        <f t="shared" si="1"/>
        <v>5913</v>
      </c>
    </row>
    <row r="10" spans="1:17" x14ac:dyDescent="0.3">
      <c r="A10" s="77" t="s">
        <v>443</v>
      </c>
      <c r="B10" s="77" t="s">
        <v>30</v>
      </c>
      <c r="C10" s="78" t="s">
        <v>444</v>
      </c>
      <c r="D10" s="77" t="s">
        <v>32</v>
      </c>
      <c r="E10" s="79" t="s">
        <v>33</v>
      </c>
      <c r="F10" s="80">
        <v>4808</v>
      </c>
      <c r="G10" s="80">
        <v>772</v>
      </c>
      <c r="H10" s="80">
        <v>320</v>
      </c>
      <c r="I10" s="80">
        <v>72120</v>
      </c>
      <c r="J10" s="80">
        <v>71696</v>
      </c>
      <c r="K10" s="80">
        <v>195</v>
      </c>
      <c r="L10" s="77" t="s">
        <v>17</v>
      </c>
      <c r="M10" s="77" t="s">
        <v>34</v>
      </c>
      <c r="N10" s="81"/>
      <c r="O10" s="81"/>
      <c r="P10" s="82">
        <f t="shared" si="0"/>
        <v>8.1808097615085965E-2</v>
      </c>
      <c r="Q10" s="83">
        <f t="shared" si="1"/>
        <v>5900</v>
      </c>
    </row>
    <row r="11" spans="1:17" x14ac:dyDescent="0.3">
      <c r="A11" s="77" t="s">
        <v>519</v>
      </c>
      <c r="B11" s="77" t="s">
        <v>24</v>
      </c>
      <c r="C11" s="78" t="s">
        <v>189</v>
      </c>
      <c r="D11" s="77" t="s">
        <v>49</v>
      </c>
      <c r="E11" s="79" t="s">
        <v>50</v>
      </c>
      <c r="F11" s="80">
        <v>4905</v>
      </c>
      <c r="G11" s="80">
        <v>845</v>
      </c>
      <c r="H11" s="80">
        <v>129</v>
      </c>
      <c r="I11" s="80">
        <v>98100</v>
      </c>
      <c r="J11" s="80">
        <v>97772</v>
      </c>
      <c r="K11" s="80">
        <v>279</v>
      </c>
      <c r="L11" s="77" t="s">
        <v>22</v>
      </c>
      <c r="M11" s="77" t="s">
        <v>27</v>
      </c>
      <c r="N11" s="81"/>
      <c r="O11" s="81"/>
      <c r="P11" s="82">
        <f t="shared" si="0"/>
        <v>5.9928644240570844E-2</v>
      </c>
      <c r="Q11" s="83">
        <f t="shared" si="1"/>
        <v>5879</v>
      </c>
    </row>
    <row r="12" spans="1:17" x14ac:dyDescent="0.3">
      <c r="A12" s="51" t="s">
        <v>532</v>
      </c>
      <c r="B12" s="51" t="s">
        <v>24</v>
      </c>
      <c r="C12" s="74" t="s">
        <v>533</v>
      </c>
      <c r="D12" s="51" t="s">
        <v>42</v>
      </c>
      <c r="E12" s="75" t="s">
        <v>65</v>
      </c>
      <c r="F12" s="52">
        <v>4780</v>
      </c>
      <c r="G12" s="52">
        <v>691</v>
      </c>
      <c r="H12" s="52">
        <v>380</v>
      </c>
      <c r="I12" s="52">
        <v>86040</v>
      </c>
      <c r="J12" s="52">
        <v>85743</v>
      </c>
      <c r="K12" s="52">
        <v>262</v>
      </c>
      <c r="L12" s="51" t="s">
        <v>28</v>
      </c>
      <c r="M12" s="51" t="s">
        <v>59</v>
      </c>
      <c r="N12" s="29"/>
      <c r="O12" s="29"/>
      <c r="P12" s="32">
        <f t="shared" si="0"/>
        <v>6.800325430032543E-2</v>
      </c>
      <c r="Q12" s="31">
        <f t="shared" si="1"/>
        <v>5851</v>
      </c>
    </row>
    <row r="13" spans="1:17" x14ac:dyDescent="0.3">
      <c r="A13" s="51" t="s">
        <v>445</v>
      </c>
      <c r="B13" s="51" t="s">
        <v>30</v>
      </c>
      <c r="C13" s="74" t="s">
        <v>149</v>
      </c>
      <c r="D13" s="51" t="s">
        <v>42</v>
      </c>
      <c r="E13" s="75" t="s">
        <v>85</v>
      </c>
      <c r="F13" s="52">
        <v>4799</v>
      </c>
      <c r="G13" s="52">
        <v>694</v>
      </c>
      <c r="H13" s="52">
        <v>289</v>
      </c>
      <c r="I13" s="52">
        <v>43191</v>
      </c>
      <c r="J13" s="52">
        <v>42228</v>
      </c>
      <c r="K13" s="52">
        <v>118</v>
      </c>
      <c r="L13" s="76"/>
      <c r="M13" s="51" t="s">
        <v>27</v>
      </c>
      <c r="N13" s="29"/>
      <c r="O13" s="29"/>
      <c r="P13" s="32">
        <f t="shared" si="0"/>
        <v>0.13387048227640017</v>
      </c>
      <c r="Q13" s="31">
        <f t="shared" si="1"/>
        <v>5782</v>
      </c>
    </row>
    <row r="14" spans="1:17" x14ac:dyDescent="0.3">
      <c r="A14" s="51" t="s">
        <v>428</v>
      </c>
      <c r="B14" s="51" t="s">
        <v>40</v>
      </c>
      <c r="C14" s="74" t="s">
        <v>353</v>
      </c>
      <c r="D14" s="51" t="s">
        <v>49</v>
      </c>
      <c r="E14" s="75" t="s">
        <v>56</v>
      </c>
      <c r="F14" s="52">
        <v>4606</v>
      </c>
      <c r="G14" s="52">
        <v>931</v>
      </c>
      <c r="H14" s="52">
        <v>230</v>
      </c>
      <c r="I14" s="52">
        <v>92120</v>
      </c>
      <c r="J14" s="52">
        <v>91440</v>
      </c>
      <c r="K14" s="52">
        <v>56</v>
      </c>
      <c r="L14" s="76"/>
      <c r="M14" s="51" t="s">
        <v>27</v>
      </c>
      <c r="N14" s="29"/>
      <c r="O14" s="29"/>
      <c r="P14" s="32">
        <f t="shared" si="0"/>
        <v>6.2603126356925748E-2</v>
      </c>
      <c r="Q14" s="31">
        <f t="shared" si="1"/>
        <v>5767</v>
      </c>
    </row>
    <row r="15" spans="1:17" x14ac:dyDescent="0.3">
      <c r="A15" s="51" t="s">
        <v>254</v>
      </c>
      <c r="B15" s="51" t="s">
        <v>24</v>
      </c>
      <c r="C15" s="74" t="s">
        <v>255</v>
      </c>
      <c r="D15" s="51" t="s">
        <v>49</v>
      </c>
      <c r="E15" s="75" t="s">
        <v>50</v>
      </c>
      <c r="F15" s="52">
        <v>4832</v>
      </c>
      <c r="G15" s="52">
        <v>893</v>
      </c>
      <c r="H15" s="52">
        <v>10</v>
      </c>
      <c r="I15" s="52">
        <v>91808</v>
      </c>
      <c r="J15" s="52">
        <v>91296</v>
      </c>
      <c r="K15" s="52">
        <v>182</v>
      </c>
      <c r="L15" s="76"/>
      <c r="M15" s="51" t="s">
        <v>27</v>
      </c>
      <c r="N15" s="29"/>
      <c r="O15" s="29"/>
      <c r="P15" s="32">
        <f t="shared" si="0"/>
        <v>6.2467323109097243E-2</v>
      </c>
      <c r="Q15" s="31">
        <f t="shared" si="1"/>
        <v>5735</v>
      </c>
    </row>
    <row r="16" spans="1:17" x14ac:dyDescent="0.3">
      <c r="A16" s="51" t="s">
        <v>293</v>
      </c>
      <c r="B16" s="51" t="s">
        <v>30</v>
      </c>
      <c r="C16" s="74" t="s">
        <v>163</v>
      </c>
      <c r="D16" s="51" t="s">
        <v>15</v>
      </c>
      <c r="E16" s="75" t="s">
        <v>79</v>
      </c>
      <c r="F16" s="52">
        <v>4840</v>
      </c>
      <c r="G16" s="52">
        <v>658</v>
      </c>
      <c r="H16" s="52">
        <v>211</v>
      </c>
      <c r="I16" s="52">
        <v>43560</v>
      </c>
      <c r="J16" s="52">
        <v>43225</v>
      </c>
      <c r="K16" s="52">
        <v>57</v>
      </c>
      <c r="L16" s="51" t="s">
        <v>28</v>
      </c>
      <c r="M16" s="51" t="s">
        <v>59</v>
      </c>
      <c r="N16" s="29"/>
      <c r="O16" s="29"/>
      <c r="P16" s="32">
        <f t="shared" si="0"/>
        <v>0.13106060606060607</v>
      </c>
      <c r="Q16" s="31">
        <f t="shared" si="1"/>
        <v>5709</v>
      </c>
    </row>
    <row r="17" spans="1:17" x14ac:dyDescent="0.3">
      <c r="A17" s="51" t="s">
        <v>349</v>
      </c>
      <c r="B17" s="51" t="s">
        <v>30</v>
      </c>
      <c r="C17" s="74" t="s">
        <v>300</v>
      </c>
      <c r="D17" s="51" t="s">
        <v>20</v>
      </c>
      <c r="E17" s="75" t="s">
        <v>109</v>
      </c>
      <c r="F17" s="52">
        <v>4771</v>
      </c>
      <c r="G17" s="52">
        <v>818</v>
      </c>
      <c r="H17" s="52">
        <v>56</v>
      </c>
      <c r="I17" s="52">
        <v>57252</v>
      </c>
      <c r="J17" s="52">
        <v>56378</v>
      </c>
      <c r="K17" s="52">
        <v>150</v>
      </c>
      <c r="L17" s="76"/>
      <c r="M17" s="51" t="s">
        <v>59</v>
      </c>
      <c r="N17" s="29"/>
      <c r="O17" s="29"/>
      <c r="P17" s="32">
        <f t="shared" si="0"/>
        <v>9.859917557465242E-2</v>
      </c>
      <c r="Q17" s="31">
        <f t="shared" si="1"/>
        <v>5645</v>
      </c>
    </row>
    <row r="18" spans="1:17" x14ac:dyDescent="0.3">
      <c r="A18" s="51" t="s">
        <v>324</v>
      </c>
      <c r="B18" s="51" t="s">
        <v>40</v>
      </c>
      <c r="C18" s="74" t="s">
        <v>325</v>
      </c>
      <c r="D18" s="51" t="s">
        <v>49</v>
      </c>
      <c r="E18" s="75" t="s">
        <v>56</v>
      </c>
      <c r="F18" s="52">
        <v>4804</v>
      </c>
      <c r="G18" s="52">
        <v>550</v>
      </c>
      <c r="H18" s="52">
        <v>270</v>
      </c>
      <c r="I18" s="52">
        <v>28824</v>
      </c>
      <c r="J18" s="52">
        <v>28370</v>
      </c>
      <c r="K18" s="52">
        <v>47</v>
      </c>
      <c r="L18" s="51" t="s">
        <v>35</v>
      </c>
      <c r="M18" s="51" t="s">
        <v>34</v>
      </c>
      <c r="N18" s="29"/>
      <c r="O18" s="29"/>
      <c r="P18" s="32">
        <f t="shared" si="0"/>
        <v>0.19511518179295032</v>
      </c>
      <c r="Q18" s="31">
        <f t="shared" si="1"/>
        <v>5624</v>
      </c>
    </row>
    <row r="19" spans="1:17" x14ac:dyDescent="0.3">
      <c r="A19" s="51" t="s">
        <v>509</v>
      </c>
      <c r="B19" s="51" t="s">
        <v>30</v>
      </c>
      <c r="C19" s="74" t="s">
        <v>477</v>
      </c>
      <c r="D19" s="51" t="s">
        <v>20</v>
      </c>
      <c r="E19" s="75" t="s">
        <v>109</v>
      </c>
      <c r="F19" s="52">
        <v>4941</v>
      </c>
      <c r="G19" s="52">
        <v>414</v>
      </c>
      <c r="H19" s="52">
        <v>266</v>
      </c>
      <c r="I19" s="52">
        <v>39528</v>
      </c>
      <c r="J19" s="52">
        <v>39154</v>
      </c>
      <c r="K19" s="52">
        <v>217</v>
      </c>
      <c r="L19" s="51" t="s">
        <v>28</v>
      </c>
      <c r="M19" s="51" t="s">
        <v>27</v>
      </c>
      <c r="N19" s="29"/>
      <c r="O19" s="29"/>
      <c r="P19" s="32">
        <f t="shared" si="0"/>
        <v>0.14220299534507186</v>
      </c>
      <c r="Q19" s="31">
        <f t="shared" si="1"/>
        <v>5621</v>
      </c>
    </row>
    <row r="20" spans="1:17" x14ac:dyDescent="0.3">
      <c r="A20" s="51" t="s">
        <v>86</v>
      </c>
      <c r="B20" s="51" t="s">
        <v>30</v>
      </c>
      <c r="C20" s="74" t="s">
        <v>87</v>
      </c>
      <c r="D20" s="51" t="s">
        <v>15</v>
      </c>
      <c r="E20" s="75" t="s">
        <v>79</v>
      </c>
      <c r="F20" s="52">
        <v>4838</v>
      </c>
      <c r="G20" s="52">
        <v>640</v>
      </c>
      <c r="H20" s="52">
        <v>128</v>
      </c>
      <c r="I20" s="52">
        <v>72570</v>
      </c>
      <c r="J20" s="52">
        <v>72396</v>
      </c>
      <c r="K20" s="52">
        <v>83</v>
      </c>
      <c r="L20" s="51" t="s">
        <v>35</v>
      </c>
      <c r="M20" s="51" t="s">
        <v>59</v>
      </c>
      <c r="N20" s="29"/>
      <c r="O20" s="29"/>
      <c r="P20" s="32">
        <f t="shared" si="0"/>
        <v>7.7249552156538517E-2</v>
      </c>
      <c r="Q20" s="31">
        <f t="shared" si="1"/>
        <v>5606</v>
      </c>
    </row>
    <row r="21" spans="1:17" x14ac:dyDescent="0.3">
      <c r="A21" s="51" t="s">
        <v>398</v>
      </c>
      <c r="B21" s="51" t="s">
        <v>13</v>
      </c>
      <c r="C21" s="74" t="s">
        <v>332</v>
      </c>
      <c r="D21" s="51" t="s">
        <v>15</v>
      </c>
      <c r="E21" s="75" t="s">
        <v>16</v>
      </c>
      <c r="F21" s="52">
        <v>4782</v>
      </c>
      <c r="G21" s="52">
        <v>721</v>
      </c>
      <c r="H21" s="52">
        <v>82</v>
      </c>
      <c r="I21" s="52">
        <v>86076</v>
      </c>
      <c r="J21" s="52">
        <v>85339</v>
      </c>
      <c r="K21" s="52">
        <v>19</v>
      </c>
      <c r="L21" s="51" t="s">
        <v>17</v>
      </c>
      <c r="M21" s="51" t="s">
        <v>34</v>
      </c>
      <c r="N21" s="29"/>
      <c r="O21" s="29"/>
      <c r="P21" s="32">
        <f t="shared" si="0"/>
        <v>6.4884520656164318E-2</v>
      </c>
      <c r="Q21" s="31">
        <f t="shared" si="1"/>
        <v>5585</v>
      </c>
    </row>
    <row r="22" spans="1:17" x14ac:dyDescent="0.3">
      <c r="A22" s="51" t="s">
        <v>243</v>
      </c>
      <c r="B22" s="51" t="s">
        <v>24</v>
      </c>
      <c r="C22" s="74" t="s">
        <v>193</v>
      </c>
      <c r="D22" s="51" t="s">
        <v>71</v>
      </c>
      <c r="E22" s="75" t="s">
        <v>212</v>
      </c>
      <c r="F22" s="52">
        <v>4450</v>
      </c>
      <c r="G22" s="52">
        <v>983</v>
      </c>
      <c r="H22" s="52">
        <v>143</v>
      </c>
      <c r="I22" s="52">
        <v>75650</v>
      </c>
      <c r="J22" s="52">
        <v>75008</v>
      </c>
      <c r="K22" s="52">
        <v>12</v>
      </c>
      <c r="L22" s="51" t="s">
        <v>28</v>
      </c>
      <c r="M22" s="51" t="s">
        <v>59</v>
      </c>
      <c r="N22" s="29"/>
      <c r="O22" s="29"/>
      <c r="P22" s="32">
        <f t="shared" si="0"/>
        <v>7.3707865168539333E-2</v>
      </c>
      <c r="Q22" s="31">
        <f t="shared" si="1"/>
        <v>5576</v>
      </c>
    </row>
    <row r="23" spans="1:17" x14ac:dyDescent="0.3">
      <c r="A23" s="51" t="s">
        <v>388</v>
      </c>
      <c r="B23" s="51" t="s">
        <v>24</v>
      </c>
      <c r="C23" s="74" t="s">
        <v>353</v>
      </c>
      <c r="D23" s="51" t="s">
        <v>32</v>
      </c>
      <c r="E23" s="75" t="s">
        <v>150</v>
      </c>
      <c r="F23" s="52">
        <v>4285</v>
      </c>
      <c r="G23" s="52">
        <v>886</v>
      </c>
      <c r="H23" s="52">
        <v>376</v>
      </c>
      <c r="I23" s="52">
        <v>55705</v>
      </c>
      <c r="J23" s="52">
        <v>55556</v>
      </c>
      <c r="K23" s="52">
        <v>51</v>
      </c>
      <c r="L23" s="51" t="s">
        <v>28</v>
      </c>
      <c r="M23" s="51" t="s">
        <v>59</v>
      </c>
      <c r="N23" s="29"/>
      <c r="O23" s="29"/>
      <c r="P23" s="32">
        <f t="shared" si="0"/>
        <v>9.9578134817341346E-2</v>
      </c>
      <c r="Q23" s="31">
        <f t="shared" si="1"/>
        <v>5547</v>
      </c>
    </row>
    <row r="24" spans="1:17" x14ac:dyDescent="0.3">
      <c r="A24" s="51" t="s">
        <v>517</v>
      </c>
      <c r="B24" s="51" t="s">
        <v>13</v>
      </c>
      <c r="C24" s="74" t="s">
        <v>518</v>
      </c>
      <c r="D24" s="51" t="s">
        <v>20</v>
      </c>
      <c r="E24" s="75" t="s">
        <v>21</v>
      </c>
      <c r="F24" s="52">
        <v>4516</v>
      </c>
      <c r="G24" s="52">
        <v>836</v>
      </c>
      <c r="H24" s="52">
        <v>169</v>
      </c>
      <c r="I24" s="52">
        <v>49676</v>
      </c>
      <c r="J24" s="52">
        <v>49257</v>
      </c>
      <c r="K24" s="52">
        <v>282</v>
      </c>
      <c r="L24" s="51" t="s">
        <v>35</v>
      </c>
      <c r="M24" s="51" t="s">
        <v>34</v>
      </c>
      <c r="N24" s="29"/>
      <c r="O24" s="29"/>
      <c r="P24" s="32">
        <f t="shared" si="0"/>
        <v>0.11114018842096787</v>
      </c>
      <c r="Q24" s="31">
        <f t="shared" si="1"/>
        <v>5521</v>
      </c>
    </row>
    <row r="25" spans="1:17" x14ac:dyDescent="0.3">
      <c r="A25" s="51" t="s">
        <v>456</v>
      </c>
      <c r="B25" s="51" t="s">
        <v>13</v>
      </c>
      <c r="C25" s="74" t="s">
        <v>457</v>
      </c>
      <c r="D25" s="51" t="s">
        <v>20</v>
      </c>
      <c r="E25" s="75" t="s">
        <v>21</v>
      </c>
      <c r="F25" s="52">
        <v>4725</v>
      </c>
      <c r="G25" s="52">
        <v>400</v>
      </c>
      <c r="H25" s="52">
        <v>362</v>
      </c>
      <c r="I25" s="52">
        <v>75600</v>
      </c>
      <c r="J25" s="52">
        <v>74927</v>
      </c>
      <c r="K25" s="52">
        <v>43</v>
      </c>
      <c r="L25" s="51" t="s">
        <v>35</v>
      </c>
      <c r="M25" s="51" t="s">
        <v>59</v>
      </c>
      <c r="N25" s="29"/>
      <c r="O25" s="29"/>
      <c r="P25" s="32">
        <f t="shared" si="0"/>
        <v>7.2579365079365077E-2</v>
      </c>
      <c r="Q25" s="31">
        <f t="shared" si="1"/>
        <v>5487</v>
      </c>
    </row>
    <row r="26" spans="1:17" x14ac:dyDescent="0.3">
      <c r="A26" s="51" t="s">
        <v>321</v>
      </c>
      <c r="B26" s="51" t="s">
        <v>24</v>
      </c>
      <c r="C26" s="74" t="s">
        <v>322</v>
      </c>
      <c r="D26" s="51" t="s">
        <v>42</v>
      </c>
      <c r="E26" s="75" t="s">
        <v>65</v>
      </c>
      <c r="F26" s="52">
        <v>4295</v>
      </c>
      <c r="G26" s="52">
        <v>853</v>
      </c>
      <c r="H26" s="52">
        <v>325</v>
      </c>
      <c r="I26" s="52">
        <v>85900</v>
      </c>
      <c r="J26" s="52">
        <v>85788</v>
      </c>
      <c r="K26" s="52">
        <v>290</v>
      </c>
      <c r="L26" s="51" t="s">
        <v>35</v>
      </c>
      <c r="M26" s="51" t="s">
        <v>27</v>
      </c>
      <c r="N26" s="29"/>
      <c r="O26" s="29"/>
      <c r="P26" s="32">
        <f t="shared" si="0"/>
        <v>6.3713620488940623E-2</v>
      </c>
      <c r="Q26" s="31">
        <f t="shared" si="1"/>
        <v>5473</v>
      </c>
    </row>
    <row r="27" spans="1:17" x14ac:dyDescent="0.3">
      <c r="A27" s="51" t="s">
        <v>276</v>
      </c>
      <c r="B27" s="51" t="s">
        <v>40</v>
      </c>
      <c r="C27" s="74" t="s">
        <v>275</v>
      </c>
      <c r="D27" s="51" t="s">
        <v>49</v>
      </c>
      <c r="E27" s="75" t="s">
        <v>56</v>
      </c>
      <c r="F27" s="52">
        <v>4551</v>
      </c>
      <c r="G27" s="52">
        <v>714</v>
      </c>
      <c r="H27" s="52">
        <v>207</v>
      </c>
      <c r="I27" s="52">
        <v>68265</v>
      </c>
      <c r="J27" s="52">
        <v>67754</v>
      </c>
      <c r="K27" s="52">
        <v>57</v>
      </c>
      <c r="L27" s="51" t="s">
        <v>28</v>
      </c>
      <c r="M27" s="51" t="s">
        <v>59</v>
      </c>
      <c r="N27" s="29"/>
      <c r="O27" s="29"/>
      <c r="P27" s="32">
        <f t="shared" si="0"/>
        <v>8.0158206987475278E-2</v>
      </c>
      <c r="Q27" s="31">
        <f t="shared" si="1"/>
        <v>5472</v>
      </c>
    </row>
    <row r="28" spans="1:17" x14ac:dyDescent="0.3">
      <c r="A28" s="51" t="s">
        <v>181</v>
      </c>
      <c r="B28" s="51" t="s">
        <v>40</v>
      </c>
      <c r="C28" s="74" t="s">
        <v>182</v>
      </c>
      <c r="D28" s="51" t="s">
        <v>42</v>
      </c>
      <c r="E28" s="75" t="s">
        <v>43</v>
      </c>
      <c r="F28" s="52">
        <v>4712</v>
      </c>
      <c r="G28" s="52">
        <v>568</v>
      </c>
      <c r="H28" s="52">
        <v>127</v>
      </c>
      <c r="I28" s="52">
        <v>84816</v>
      </c>
      <c r="J28" s="52">
        <v>84691</v>
      </c>
      <c r="K28" s="52">
        <v>100</v>
      </c>
      <c r="L28" s="51" t="s">
        <v>28</v>
      </c>
      <c r="M28" s="51" t="s">
        <v>34</v>
      </c>
      <c r="N28" s="29"/>
      <c r="O28" s="29"/>
      <c r="P28" s="32">
        <f t="shared" si="0"/>
        <v>6.3749764195434822E-2</v>
      </c>
      <c r="Q28" s="31">
        <f t="shared" si="1"/>
        <v>5407</v>
      </c>
    </row>
    <row r="29" spans="1:17" x14ac:dyDescent="0.3">
      <c r="A29" s="51" t="s">
        <v>236</v>
      </c>
      <c r="B29" s="51" t="s">
        <v>30</v>
      </c>
      <c r="C29" s="74" t="s">
        <v>237</v>
      </c>
      <c r="D29" s="51" t="s">
        <v>49</v>
      </c>
      <c r="E29" s="75" t="s">
        <v>209</v>
      </c>
      <c r="F29" s="52">
        <v>4739</v>
      </c>
      <c r="G29" s="52">
        <v>527</v>
      </c>
      <c r="H29" s="52">
        <v>135</v>
      </c>
      <c r="I29" s="52">
        <v>61607</v>
      </c>
      <c r="J29" s="52">
        <v>61333</v>
      </c>
      <c r="K29" s="52">
        <v>36</v>
      </c>
      <c r="L29" s="51" t="s">
        <v>22</v>
      </c>
      <c r="M29" s="51" t="s">
        <v>27</v>
      </c>
      <c r="N29" s="29" t="s">
        <v>600</v>
      </c>
      <c r="O29" s="29"/>
      <c r="P29" s="32">
        <f t="shared" si="0"/>
        <v>8.7668609086629767E-2</v>
      </c>
      <c r="Q29" s="31">
        <f t="shared" si="1"/>
        <v>5401</v>
      </c>
    </row>
    <row r="30" spans="1:17" x14ac:dyDescent="0.3">
      <c r="A30" s="51" t="s">
        <v>460</v>
      </c>
      <c r="B30" s="51" t="s">
        <v>40</v>
      </c>
      <c r="C30" s="74" t="s">
        <v>461</v>
      </c>
      <c r="D30" s="51" t="s">
        <v>32</v>
      </c>
      <c r="E30" s="75" t="s">
        <v>68</v>
      </c>
      <c r="F30" s="52">
        <v>4321</v>
      </c>
      <c r="G30" s="52">
        <v>874</v>
      </c>
      <c r="H30" s="52">
        <v>172</v>
      </c>
      <c r="I30" s="52">
        <v>30247</v>
      </c>
      <c r="J30" s="52">
        <v>29254</v>
      </c>
      <c r="K30" s="52">
        <v>122</v>
      </c>
      <c r="L30" s="51" t="s">
        <v>35</v>
      </c>
      <c r="M30" s="51" t="s">
        <v>27</v>
      </c>
      <c r="N30" s="29"/>
      <c r="O30" s="29"/>
      <c r="P30" s="32">
        <f t="shared" si="0"/>
        <v>0.17743908486792079</v>
      </c>
      <c r="Q30" s="31">
        <f t="shared" si="1"/>
        <v>5367</v>
      </c>
    </row>
    <row r="31" spans="1:17" x14ac:dyDescent="0.3">
      <c r="A31" s="51" t="s">
        <v>520</v>
      </c>
      <c r="B31" s="51" t="s">
        <v>24</v>
      </c>
      <c r="C31" s="74" t="s">
        <v>163</v>
      </c>
      <c r="D31" s="51" t="s">
        <v>71</v>
      </c>
      <c r="E31" s="75" t="s">
        <v>212</v>
      </c>
      <c r="F31" s="52">
        <v>4275</v>
      </c>
      <c r="G31" s="52">
        <v>680</v>
      </c>
      <c r="H31" s="52">
        <v>385</v>
      </c>
      <c r="I31" s="52">
        <v>64125</v>
      </c>
      <c r="J31" s="52">
        <v>63650</v>
      </c>
      <c r="K31" s="52">
        <v>104</v>
      </c>
      <c r="L31" s="51" t="s">
        <v>35</v>
      </c>
      <c r="M31" s="51" t="s">
        <v>34</v>
      </c>
      <c r="N31" s="29" t="s">
        <v>27</v>
      </c>
      <c r="O31" s="29" t="s">
        <v>600</v>
      </c>
      <c r="P31" s="32">
        <f t="shared" si="0"/>
        <v>8.3274853801169585E-2</v>
      </c>
      <c r="Q31" s="31">
        <f t="shared" si="1"/>
        <v>5340</v>
      </c>
    </row>
    <row r="32" spans="1:17" x14ac:dyDescent="0.3">
      <c r="A32" s="51" t="s">
        <v>489</v>
      </c>
      <c r="B32" s="51" t="s">
        <v>30</v>
      </c>
      <c r="C32" s="74" t="s">
        <v>490</v>
      </c>
      <c r="D32" s="51" t="s">
        <v>32</v>
      </c>
      <c r="E32" s="75" t="s">
        <v>33</v>
      </c>
      <c r="F32" s="52">
        <v>4332</v>
      </c>
      <c r="G32" s="52">
        <v>771</v>
      </c>
      <c r="H32" s="52">
        <v>219</v>
      </c>
      <c r="I32" s="52">
        <v>60648</v>
      </c>
      <c r="J32" s="52">
        <v>60397</v>
      </c>
      <c r="K32" s="52">
        <v>10</v>
      </c>
      <c r="L32" s="51" t="s">
        <v>28</v>
      </c>
      <c r="M32" s="51" t="s">
        <v>27</v>
      </c>
      <c r="N32" s="29" t="s">
        <v>34</v>
      </c>
      <c r="O32" s="29" t="s">
        <v>601</v>
      </c>
      <c r="P32" s="32">
        <f t="shared" si="0"/>
        <v>8.7752275425405618E-2</v>
      </c>
      <c r="Q32" s="31">
        <f t="shared" si="1"/>
        <v>5322</v>
      </c>
    </row>
    <row r="33" spans="1:17" x14ac:dyDescent="0.3">
      <c r="A33" s="51" t="s">
        <v>126</v>
      </c>
      <c r="B33" s="51" t="s">
        <v>13</v>
      </c>
      <c r="C33" s="74" t="s">
        <v>127</v>
      </c>
      <c r="D33" s="51" t="s">
        <v>49</v>
      </c>
      <c r="E33" s="75" t="s">
        <v>128</v>
      </c>
      <c r="F33" s="52">
        <v>4750</v>
      </c>
      <c r="G33" s="52">
        <v>151</v>
      </c>
      <c r="H33" s="52">
        <v>415</v>
      </c>
      <c r="I33" s="52">
        <v>38000</v>
      </c>
      <c r="J33" s="52">
        <v>37792</v>
      </c>
      <c r="K33" s="52">
        <v>299</v>
      </c>
      <c r="L33" s="51" t="s">
        <v>35</v>
      </c>
      <c r="M33" s="51" t="s">
        <v>34</v>
      </c>
      <c r="N33" s="29"/>
      <c r="O33" s="29"/>
      <c r="P33" s="32">
        <f t="shared" si="0"/>
        <v>0.13989473684210527</v>
      </c>
      <c r="Q33" s="31">
        <f t="shared" si="1"/>
        <v>5316</v>
      </c>
    </row>
    <row r="34" spans="1:17" x14ac:dyDescent="0.3">
      <c r="A34" s="51" t="s">
        <v>391</v>
      </c>
      <c r="B34" s="51" t="s">
        <v>13</v>
      </c>
      <c r="C34" s="74" t="s">
        <v>392</v>
      </c>
      <c r="D34" s="51" t="s">
        <v>49</v>
      </c>
      <c r="E34" s="75" t="s">
        <v>128</v>
      </c>
      <c r="F34" s="52">
        <v>4858</v>
      </c>
      <c r="G34" s="52">
        <v>317</v>
      </c>
      <c r="H34" s="52">
        <v>129</v>
      </c>
      <c r="I34" s="52">
        <v>53438</v>
      </c>
      <c r="J34" s="52">
        <v>52687</v>
      </c>
      <c r="K34" s="52">
        <v>223</v>
      </c>
      <c r="L34" s="51" t="s">
        <v>28</v>
      </c>
      <c r="M34" s="51" t="s">
        <v>34</v>
      </c>
      <c r="N34" s="29"/>
      <c r="O34" s="29"/>
      <c r="P34" s="32">
        <f t="shared" si="0"/>
        <v>9.9255211647142488E-2</v>
      </c>
      <c r="Q34" s="31">
        <f t="shared" si="1"/>
        <v>5304</v>
      </c>
    </row>
    <row r="35" spans="1:17" x14ac:dyDescent="0.3">
      <c r="A35" s="51" t="s">
        <v>462</v>
      </c>
      <c r="B35" s="51" t="s">
        <v>40</v>
      </c>
      <c r="C35" s="74" t="s">
        <v>221</v>
      </c>
      <c r="D35" s="51" t="s">
        <v>15</v>
      </c>
      <c r="E35" s="75" t="s">
        <v>62</v>
      </c>
      <c r="F35" s="52">
        <v>4767</v>
      </c>
      <c r="G35" s="52">
        <v>190</v>
      </c>
      <c r="H35" s="52">
        <v>340</v>
      </c>
      <c r="I35" s="52">
        <v>28602</v>
      </c>
      <c r="J35" s="52">
        <v>28044</v>
      </c>
      <c r="K35" s="52">
        <v>210</v>
      </c>
      <c r="L35" s="51" t="s">
        <v>28</v>
      </c>
      <c r="M35" s="51" t="s">
        <v>34</v>
      </c>
      <c r="N35" s="29"/>
      <c r="O35" s="29"/>
      <c r="P35" s="32">
        <f t="shared" si="0"/>
        <v>0.18519683938186141</v>
      </c>
      <c r="Q35" s="31">
        <f t="shared" si="1"/>
        <v>5297</v>
      </c>
    </row>
    <row r="36" spans="1:17" x14ac:dyDescent="0.3">
      <c r="A36" s="51" t="s">
        <v>256</v>
      </c>
      <c r="B36" s="51" t="s">
        <v>13</v>
      </c>
      <c r="C36" s="74" t="s">
        <v>257</v>
      </c>
      <c r="D36" s="51" t="s">
        <v>71</v>
      </c>
      <c r="E36" s="75" t="s">
        <v>141</v>
      </c>
      <c r="F36" s="52">
        <v>4050</v>
      </c>
      <c r="G36" s="52">
        <v>871</v>
      </c>
      <c r="H36" s="52">
        <v>347</v>
      </c>
      <c r="I36" s="52">
        <v>52650</v>
      </c>
      <c r="J36" s="52">
        <v>51755</v>
      </c>
      <c r="K36" s="52">
        <v>209</v>
      </c>
      <c r="L36" s="51" t="s">
        <v>22</v>
      </c>
      <c r="M36" s="51" t="s">
        <v>27</v>
      </c>
      <c r="N36" s="29"/>
      <c r="O36" s="29"/>
      <c r="P36" s="32">
        <f t="shared" si="0"/>
        <v>0.10005698005698006</v>
      </c>
      <c r="Q36" s="31">
        <f t="shared" si="1"/>
        <v>5268</v>
      </c>
    </row>
    <row r="37" spans="1:17" x14ac:dyDescent="0.3">
      <c r="A37" s="51" t="s">
        <v>551</v>
      </c>
      <c r="B37" s="51" t="s">
        <v>13</v>
      </c>
      <c r="C37" s="74" t="s">
        <v>310</v>
      </c>
      <c r="D37" s="51" t="s">
        <v>42</v>
      </c>
      <c r="E37" s="75" t="s">
        <v>46</v>
      </c>
      <c r="F37" s="52">
        <v>4494</v>
      </c>
      <c r="G37" s="52">
        <v>717</v>
      </c>
      <c r="H37" s="52">
        <v>45</v>
      </c>
      <c r="I37" s="52">
        <v>62916</v>
      </c>
      <c r="J37" s="52">
        <v>62688</v>
      </c>
      <c r="K37" s="52">
        <v>191</v>
      </c>
      <c r="L37" s="51" t="s">
        <v>17</v>
      </c>
      <c r="M37" s="51" t="s">
        <v>27</v>
      </c>
      <c r="N37" s="29" t="s">
        <v>34</v>
      </c>
      <c r="O37" s="29" t="s">
        <v>601</v>
      </c>
      <c r="P37" s="32">
        <f t="shared" si="0"/>
        <v>8.3539958039290485E-2</v>
      </c>
      <c r="Q37" s="31">
        <f t="shared" si="1"/>
        <v>5256</v>
      </c>
    </row>
    <row r="38" spans="1:17" x14ac:dyDescent="0.3">
      <c r="A38" s="51" t="s">
        <v>458</v>
      </c>
      <c r="B38" s="51" t="s">
        <v>24</v>
      </c>
      <c r="C38" s="74" t="s">
        <v>143</v>
      </c>
      <c r="D38" s="51" t="s">
        <v>20</v>
      </c>
      <c r="E38" s="75" t="s">
        <v>100</v>
      </c>
      <c r="F38" s="52">
        <v>4188</v>
      </c>
      <c r="G38" s="52">
        <v>942</v>
      </c>
      <c r="H38" s="52">
        <v>118</v>
      </c>
      <c r="I38" s="52">
        <v>20940</v>
      </c>
      <c r="J38" s="52">
        <v>20471</v>
      </c>
      <c r="K38" s="52">
        <v>102</v>
      </c>
      <c r="L38" s="76"/>
      <c r="M38" s="51" t="s">
        <v>59</v>
      </c>
      <c r="N38" s="29"/>
      <c r="O38" s="29"/>
      <c r="P38" s="32">
        <f t="shared" si="0"/>
        <v>0.25062082139446035</v>
      </c>
      <c r="Q38" s="31">
        <f t="shared" si="1"/>
        <v>5248</v>
      </c>
    </row>
    <row r="39" spans="1:17" x14ac:dyDescent="0.3">
      <c r="A39" s="51" t="s">
        <v>516</v>
      </c>
      <c r="B39" s="51" t="s">
        <v>40</v>
      </c>
      <c r="C39" s="74" t="s">
        <v>284</v>
      </c>
      <c r="D39" s="51" t="s">
        <v>49</v>
      </c>
      <c r="E39" s="75" t="s">
        <v>56</v>
      </c>
      <c r="F39" s="52">
        <v>4236</v>
      </c>
      <c r="G39" s="52">
        <v>711</v>
      </c>
      <c r="H39" s="52">
        <v>298</v>
      </c>
      <c r="I39" s="52">
        <v>21180</v>
      </c>
      <c r="J39" s="52">
        <v>20516</v>
      </c>
      <c r="K39" s="52">
        <v>238</v>
      </c>
      <c r="L39" s="51" t="s">
        <v>17</v>
      </c>
      <c r="M39" s="51" t="s">
        <v>59</v>
      </c>
      <c r="N39" s="29"/>
      <c r="O39" s="29"/>
      <c r="P39" s="32">
        <f t="shared" si="0"/>
        <v>0.24763928234183191</v>
      </c>
      <c r="Q39" s="31">
        <f t="shared" si="1"/>
        <v>5245</v>
      </c>
    </row>
    <row r="40" spans="1:17" x14ac:dyDescent="0.3">
      <c r="A40" s="51" t="s">
        <v>374</v>
      </c>
      <c r="B40" s="51" t="s">
        <v>40</v>
      </c>
      <c r="C40" s="74" t="s">
        <v>111</v>
      </c>
      <c r="D40" s="51" t="s">
        <v>49</v>
      </c>
      <c r="E40" s="75" t="s">
        <v>56</v>
      </c>
      <c r="F40" s="52">
        <v>4689</v>
      </c>
      <c r="G40" s="52">
        <v>134</v>
      </c>
      <c r="H40" s="52">
        <v>403</v>
      </c>
      <c r="I40" s="52">
        <v>51579</v>
      </c>
      <c r="J40" s="52">
        <v>50924</v>
      </c>
      <c r="K40" s="52">
        <v>173</v>
      </c>
      <c r="L40" s="51" t="s">
        <v>35</v>
      </c>
      <c r="M40" s="51" t="s">
        <v>27</v>
      </c>
      <c r="N40" s="29"/>
      <c r="O40" s="29"/>
      <c r="P40" s="32">
        <f t="shared" si="0"/>
        <v>0.10132030477519921</v>
      </c>
      <c r="Q40" s="31">
        <f t="shared" si="1"/>
        <v>5226</v>
      </c>
    </row>
    <row r="41" spans="1:17" x14ac:dyDescent="0.3">
      <c r="A41" s="51" t="s">
        <v>344</v>
      </c>
      <c r="B41" s="51" t="s">
        <v>30</v>
      </c>
      <c r="C41" s="74" t="s">
        <v>345</v>
      </c>
      <c r="D41" s="51" t="s">
        <v>49</v>
      </c>
      <c r="E41" s="75" t="s">
        <v>209</v>
      </c>
      <c r="F41" s="52">
        <v>4501</v>
      </c>
      <c r="G41" s="52">
        <v>375</v>
      </c>
      <c r="H41" s="52">
        <v>323</v>
      </c>
      <c r="I41" s="52">
        <v>22505</v>
      </c>
      <c r="J41" s="52">
        <v>21836</v>
      </c>
      <c r="K41" s="52">
        <v>132</v>
      </c>
      <c r="L41" s="51" t="s">
        <v>22</v>
      </c>
      <c r="M41" s="51" t="s">
        <v>27</v>
      </c>
      <c r="N41" s="29"/>
      <c r="O41" s="29"/>
      <c r="P41" s="32">
        <f t="shared" si="0"/>
        <v>0.23101532992668297</v>
      </c>
      <c r="Q41" s="31">
        <f t="shared" si="1"/>
        <v>5199</v>
      </c>
    </row>
    <row r="42" spans="1:17" x14ac:dyDescent="0.3">
      <c r="A42" s="51" t="s">
        <v>54</v>
      </c>
      <c r="B42" s="51" t="s">
        <v>40</v>
      </c>
      <c r="C42" s="74" t="s">
        <v>55</v>
      </c>
      <c r="D42" s="51" t="s">
        <v>49</v>
      </c>
      <c r="E42" s="75" t="s">
        <v>56</v>
      </c>
      <c r="F42" s="52">
        <v>4241</v>
      </c>
      <c r="G42" s="52">
        <v>902</v>
      </c>
      <c r="H42" s="52">
        <v>47</v>
      </c>
      <c r="I42" s="52">
        <v>72097</v>
      </c>
      <c r="J42" s="52">
        <v>71598</v>
      </c>
      <c r="K42" s="52">
        <v>167</v>
      </c>
      <c r="L42" s="51" t="s">
        <v>22</v>
      </c>
      <c r="M42" s="51" t="s">
        <v>27</v>
      </c>
      <c r="N42" s="29"/>
      <c r="O42" s="29"/>
      <c r="P42" s="32">
        <f t="shared" si="0"/>
        <v>7.198635172059864E-2</v>
      </c>
      <c r="Q42" s="31">
        <f t="shared" si="1"/>
        <v>5190</v>
      </c>
    </row>
    <row r="43" spans="1:17" x14ac:dyDescent="0.3">
      <c r="A43" s="51" t="s">
        <v>118</v>
      </c>
      <c r="B43" s="51" t="s">
        <v>30</v>
      </c>
      <c r="C43" s="74" t="s">
        <v>119</v>
      </c>
      <c r="D43" s="51" t="s">
        <v>32</v>
      </c>
      <c r="E43" s="75" t="s">
        <v>33</v>
      </c>
      <c r="F43" s="52">
        <v>4518</v>
      </c>
      <c r="G43" s="52">
        <v>285</v>
      </c>
      <c r="H43" s="52">
        <v>383</v>
      </c>
      <c r="I43" s="52">
        <v>67770</v>
      </c>
      <c r="J43" s="52">
        <v>67621</v>
      </c>
      <c r="K43" s="52">
        <v>31</v>
      </c>
      <c r="L43" s="51" t="s">
        <v>22</v>
      </c>
      <c r="M43" s="51" t="s">
        <v>34</v>
      </c>
      <c r="N43" s="29"/>
      <c r="O43" s="29"/>
      <c r="P43" s="32">
        <f t="shared" si="0"/>
        <v>7.6523535487678915E-2</v>
      </c>
      <c r="Q43" s="31">
        <f t="shared" si="1"/>
        <v>5186</v>
      </c>
    </row>
    <row r="44" spans="1:17" x14ac:dyDescent="0.3">
      <c r="A44" s="51" t="s">
        <v>542</v>
      </c>
      <c r="B44" s="51" t="s">
        <v>40</v>
      </c>
      <c r="C44" s="74" t="s">
        <v>543</v>
      </c>
      <c r="D44" s="51" t="s">
        <v>42</v>
      </c>
      <c r="E44" s="75" t="s">
        <v>43</v>
      </c>
      <c r="F44" s="52">
        <v>4731</v>
      </c>
      <c r="G44" s="52">
        <v>173</v>
      </c>
      <c r="H44" s="52">
        <v>276</v>
      </c>
      <c r="I44" s="52">
        <v>28386</v>
      </c>
      <c r="J44" s="52">
        <v>28185</v>
      </c>
      <c r="K44" s="52">
        <v>89</v>
      </c>
      <c r="L44" s="51" t="s">
        <v>28</v>
      </c>
      <c r="M44" s="51" t="s">
        <v>34</v>
      </c>
      <c r="N44" s="29"/>
      <c r="O44" s="29"/>
      <c r="P44" s="32">
        <f t="shared" si="0"/>
        <v>0.18248432325794406</v>
      </c>
      <c r="Q44" s="31">
        <f t="shared" si="1"/>
        <v>5180</v>
      </c>
    </row>
    <row r="45" spans="1:17" x14ac:dyDescent="0.3">
      <c r="A45" s="51" t="s">
        <v>268</v>
      </c>
      <c r="B45" s="51" t="s">
        <v>13</v>
      </c>
      <c r="C45" s="74" t="s">
        <v>269</v>
      </c>
      <c r="D45" s="51" t="s">
        <v>32</v>
      </c>
      <c r="E45" s="75" t="s">
        <v>145</v>
      </c>
      <c r="F45" s="52">
        <v>4000</v>
      </c>
      <c r="G45" s="52">
        <v>689</v>
      </c>
      <c r="H45" s="52">
        <v>488</v>
      </c>
      <c r="I45" s="52">
        <v>40000</v>
      </c>
      <c r="J45" s="52">
        <v>39569</v>
      </c>
      <c r="K45" s="52">
        <v>44</v>
      </c>
      <c r="L45" s="51" t="s">
        <v>17</v>
      </c>
      <c r="M45" s="51" t="s">
        <v>59</v>
      </c>
      <c r="N45" s="29"/>
      <c r="O45" s="29"/>
      <c r="P45" s="32">
        <f t="shared" si="0"/>
        <v>0.12942500000000001</v>
      </c>
      <c r="Q45" s="31">
        <f t="shared" si="1"/>
        <v>5177</v>
      </c>
    </row>
    <row r="46" spans="1:17" x14ac:dyDescent="0.3">
      <c r="A46" s="51" t="s">
        <v>228</v>
      </c>
      <c r="B46" s="51" t="s">
        <v>13</v>
      </c>
      <c r="C46" s="74" t="s">
        <v>163</v>
      </c>
      <c r="D46" s="51" t="s">
        <v>32</v>
      </c>
      <c r="E46" s="75" t="s">
        <v>145</v>
      </c>
      <c r="F46" s="52">
        <v>3801</v>
      </c>
      <c r="G46" s="52">
        <v>967</v>
      </c>
      <c r="H46" s="52">
        <v>401</v>
      </c>
      <c r="I46" s="52">
        <v>38010</v>
      </c>
      <c r="J46" s="52">
        <v>37625</v>
      </c>
      <c r="K46" s="52">
        <v>236</v>
      </c>
      <c r="L46" s="51" t="s">
        <v>28</v>
      </c>
      <c r="M46" s="51" t="s">
        <v>59</v>
      </c>
      <c r="N46" s="29"/>
      <c r="O46" s="29"/>
      <c r="P46" s="32">
        <f t="shared" si="0"/>
        <v>0.13599052880820836</v>
      </c>
      <c r="Q46" s="31">
        <f t="shared" si="1"/>
        <v>5169</v>
      </c>
    </row>
    <row r="47" spans="1:17" x14ac:dyDescent="0.3">
      <c r="A47" s="51" t="s">
        <v>333</v>
      </c>
      <c r="B47" s="51" t="s">
        <v>24</v>
      </c>
      <c r="C47" s="74" t="s">
        <v>334</v>
      </c>
      <c r="D47" s="51" t="s">
        <v>32</v>
      </c>
      <c r="E47" s="75" t="s">
        <v>150</v>
      </c>
      <c r="F47" s="52">
        <v>4775</v>
      </c>
      <c r="G47" s="52">
        <v>173</v>
      </c>
      <c r="H47" s="52">
        <v>206</v>
      </c>
      <c r="I47" s="52">
        <v>47750</v>
      </c>
      <c r="J47" s="52">
        <v>47544</v>
      </c>
      <c r="K47" s="52">
        <v>187</v>
      </c>
      <c r="L47" s="51" t="s">
        <v>22</v>
      </c>
      <c r="M47" s="51" t="s">
        <v>59</v>
      </c>
      <c r="N47" s="29"/>
      <c r="O47" s="29"/>
      <c r="P47" s="32">
        <f t="shared" si="0"/>
        <v>0.10793717277486911</v>
      </c>
      <c r="Q47" s="31">
        <f t="shared" si="1"/>
        <v>5154</v>
      </c>
    </row>
    <row r="48" spans="1:17" x14ac:dyDescent="0.3">
      <c r="A48" s="51" t="s">
        <v>282</v>
      </c>
      <c r="B48" s="51" t="s">
        <v>30</v>
      </c>
      <c r="C48" s="74" t="s">
        <v>251</v>
      </c>
      <c r="D48" s="51" t="s">
        <v>32</v>
      </c>
      <c r="E48" s="75" t="s">
        <v>33</v>
      </c>
      <c r="F48" s="52">
        <v>4363</v>
      </c>
      <c r="G48" s="52">
        <v>649</v>
      </c>
      <c r="H48" s="52">
        <v>140</v>
      </c>
      <c r="I48" s="52">
        <v>21815</v>
      </c>
      <c r="J48" s="52">
        <v>21481</v>
      </c>
      <c r="K48" s="52">
        <v>157</v>
      </c>
      <c r="L48" s="51" t="s">
        <v>17</v>
      </c>
      <c r="M48" s="51" t="s">
        <v>34</v>
      </c>
      <c r="N48" s="29"/>
      <c r="O48" s="29"/>
      <c r="P48" s="32">
        <f t="shared" si="0"/>
        <v>0.23616777446710979</v>
      </c>
      <c r="Q48" s="31">
        <f t="shared" si="1"/>
        <v>5152</v>
      </c>
    </row>
    <row r="49" spans="1:17" x14ac:dyDescent="0.3">
      <c r="A49" s="51" t="s">
        <v>393</v>
      </c>
      <c r="B49" s="51" t="s">
        <v>24</v>
      </c>
      <c r="C49" s="74" t="s">
        <v>267</v>
      </c>
      <c r="D49" s="51" t="s">
        <v>32</v>
      </c>
      <c r="E49" s="75" t="s">
        <v>150</v>
      </c>
      <c r="F49" s="52">
        <v>4350</v>
      </c>
      <c r="G49" s="52">
        <v>771</v>
      </c>
      <c r="H49" s="52">
        <v>7</v>
      </c>
      <c r="I49" s="52">
        <v>60900</v>
      </c>
      <c r="J49" s="52">
        <v>60592</v>
      </c>
      <c r="K49" s="52">
        <v>195</v>
      </c>
      <c r="L49" s="51" t="s">
        <v>17</v>
      </c>
      <c r="M49" s="51" t="s">
        <v>34</v>
      </c>
      <c r="N49" s="29"/>
      <c r="O49" s="29"/>
      <c r="P49" s="32">
        <f t="shared" si="0"/>
        <v>8.4203612479474554E-2</v>
      </c>
      <c r="Q49" s="31">
        <f t="shared" si="1"/>
        <v>5128</v>
      </c>
    </row>
    <row r="50" spans="1:17" x14ac:dyDescent="0.3">
      <c r="A50" s="51" t="s">
        <v>500</v>
      </c>
      <c r="B50" s="51" t="s">
        <v>40</v>
      </c>
      <c r="C50" s="74" t="s">
        <v>125</v>
      </c>
      <c r="D50" s="51" t="s">
        <v>32</v>
      </c>
      <c r="E50" s="75" t="s">
        <v>68</v>
      </c>
      <c r="F50" s="52">
        <v>4182</v>
      </c>
      <c r="G50" s="52">
        <v>640</v>
      </c>
      <c r="H50" s="52">
        <v>240</v>
      </c>
      <c r="I50" s="52">
        <v>50184</v>
      </c>
      <c r="J50" s="52">
        <v>49351</v>
      </c>
      <c r="K50" s="52">
        <v>10</v>
      </c>
      <c r="L50" s="51" t="s">
        <v>28</v>
      </c>
      <c r="M50" s="51" t="s">
        <v>27</v>
      </c>
      <c r="N50" s="29"/>
      <c r="O50" s="29"/>
      <c r="P50" s="32">
        <f t="shared" si="0"/>
        <v>0.10086880280567512</v>
      </c>
      <c r="Q50" s="31">
        <f t="shared" si="1"/>
        <v>5062</v>
      </c>
    </row>
    <row r="51" spans="1:17" x14ac:dyDescent="0.3">
      <c r="A51" s="51" t="s">
        <v>467</v>
      </c>
      <c r="B51" s="51" t="s">
        <v>40</v>
      </c>
      <c r="C51" s="74" t="s">
        <v>468</v>
      </c>
      <c r="D51" s="51" t="s">
        <v>15</v>
      </c>
      <c r="E51" s="75" t="s">
        <v>62</v>
      </c>
      <c r="F51" s="52">
        <v>4134</v>
      </c>
      <c r="G51" s="52">
        <v>824</v>
      </c>
      <c r="H51" s="52">
        <v>99</v>
      </c>
      <c r="I51" s="52">
        <v>41340</v>
      </c>
      <c r="J51" s="52">
        <v>41050</v>
      </c>
      <c r="K51" s="52">
        <v>177</v>
      </c>
      <c r="L51" s="51" t="s">
        <v>17</v>
      </c>
      <c r="M51" s="51" t="s">
        <v>34</v>
      </c>
      <c r="N51" s="29"/>
      <c r="O51" s="29"/>
      <c r="P51" s="32">
        <f t="shared" si="0"/>
        <v>0.12232704402515723</v>
      </c>
      <c r="Q51" s="31">
        <f t="shared" si="1"/>
        <v>5057</v>
      </c>
    </row>
    <row r="52" spans="1:17" x14ac:dyDescent="0.3">
      <c r="A52" s="51" t="s">
        <v>504</v>
      </c>
      <c r="B52" s="51" t="s">
        <v>30</v>
      </c>
      <c r="C52" s="74" t="s">
        <v>505</v>
      </c>
      <c r="D52" s="51" t="s">
        <v>71</v>
      </c>
      <c r="E52" s="75" t="s">
        <v>82</v>
      </c>
      <c r="F52" s="52">
        <v>4561</v>
      </c>
      <c r="G52" s="52">
        <v>51</v>
      </c>
      <c r="H52" s="52">
        <v>441</v>
      </c>
      <c r="I52" s="52">
        <v>22805</v>
      </c>
      <c r="J52" s="52">
        <v>21890</v>
      </c>
      <c r="K52" s="52">
        <v>45</v>
      </c>
      <c r="L52" s="51" t="s">
        <v>22</v>
      </c>
      <c r="M52" s="51" t="s">
        <v>27</v>
      </c>
      <c r="N52" s="29"/>
      <c r="O52" s="29"/>
      <c r="P52" s="32">
        <f t="shared" si="0"/>
        <v>0.22157421618066214</v>
      </c>
      <c r="Q52" s="31">
        <f t="shared" si="1"/>
        <v>5053</v>
      </c>
    </row>
    <row r="53" spans="1:17" x14ac:dyDescent="0.3">
      <c r="A53" s="51" t="s">
        <v>549</v>
      </c>
      <c r="B53" s="51" t="s">
        <v>40</v>
      </c>
      <c r="C53" s="74" t="s">
        <v>70</v>
      </c>
      <c r="D53" s="51" t="s">
        <v>49</v>
      </c>
      <c r="E53" s="75" t="s">
        <v>56</v>
      </c>
      <c r="F53" s="52">
        <v>4303</v>
      </c>
      <c r="G53" s="52">
        <v>451</v>
      </c>
      <c r="H53" s="52">
        <v>286</v>
      </c>
      <c r="I53" s="52">
        <v>86060</v>
      </c>
      <c r="J53" s="52">
        <v>85823</v>
      </c>
      <c r="K53" s="52">
        <v>14</v>
      </c>
      <c r="L53" s="51" t="s">
        <v>28</v>
      </c>
      <c r="M53" s="51" t="s">
        <v>27</v>
      </c>
      <c r="N53" s="29"/>
      <c r="O53" s="29"/>
      <c r="P53" s="32">
        <f t="shared" si="0"/>
        <v>5.8563792702765516E-2</v>
      </c>
      <c r="Q53" s="31">
        <f t="shared" si="1"/>
        <v>5040</v>
      </c>
    </row>
    <row r="54" spans="1:17" x14ac:dyDescent="0.3">
      <c r="A54" s="51" t="s">
        <v>192</v>
      </c>
      <c r="B54" s="51" t="s">
        <v>40</v>
      </c>
      <c r="C54" s="74" t="s">
        <v>193</v>
      </c>
      <c r="D54" s="51" t="s">
        <v>32</v>
      </c>
      <c r="E54" s="75" t="s">
        <v>68</v>
      </c>
      <c r="F54" s="52">
        <v>4126</v>
      </c>
      <c r="G54" s="52">
        <v>426</v>
      </c>
      <c r="H54" s="52">
        <v>486</v>
      </c>
      <c r="I54" s="52">
        <v>78394</v>
      </c>
      <c r="J54" s="52">
        <v>77798</v>
      </c>
      <c r="K54" s="52">
        <v>88</v>
      </c>
      <c r="L54" s="51" t="s">
        <v>35</v>
      </c>
      <c r="M54" s="51" t="s">
        <v>59</v>
      </c>
      <c r="N54" s="29"/>
      <c r="O54" s="29"/>
      <c r="P54" s="32">
        <f t="shared" si="0"/>
        <v>6.4265122330790625E-2</v>
      </c>
      <c r="Q54" s="31">
        <f t="shared" si="1"/>
        <v>5038</v>
      </c>
    </row>
    <row r="55" spans="1:17" x14ac:dyDescent="0.3">
      <c r="A55" s="51" t="s">
        <v>537</v>
      </c>
      <c r="B55" s="51" t="s">
        <v>40</v>
      </c>
      <c r="C55" s="74" t="s">
        <v>91</v>
      </c>
      <c r="D55" s="51" t="s">
        <v>71</v>
      </c>
      <c r="E55" s="75" t="s">
        <v>72</v>
      </c>
      <c r="F55" s="52">
        <v>4663</v>
      </c>
      <c r="G55" s="52">
        <v>145</v>
      </c>
      <c r="H55" s="52">
        <v>225</v>
      </c>
      <c r="I55" s="52">
        <v>69945</v>
      </c>
      <c r="J55" s="52">
        <v>69596</v>
      </c>
      <c r="K55" s="52">
        <v>35</v>
      </c>
      <c r="L55" s="51" t="s">
        <v>35</v>
      </c>
      <c r="M55" s="51" t="s">
        <v>34</v>
      </c>
      <c r="N55" s="29"/>
      <c r="O55" s="29"/>
      <c r="P55" s="32">
        <f t="shared" si="0"/>
        <v>7.1956537279290869E-2</v>
      </c>
      <c r="Q55" s="31">
        <f t="shared" si="1"/>
        <v>5033</v>
      </c>
    </row>
    <row r="56" spans="1:17" x14ac:dyDescent="0.3">
      <c r="A56" s="51" t="s">
        <v>438</v>
      </c>
      <c r="B56" s="51" t="s">
        <v>13</v>
      </c>
      <c r="C56" s="74" t="s">
        <v>366</v>
      </c>
      <c r="D56" s="51" t="s">
        <v>42</v>
      </c>
      <c r="E56" s="75" t="s">
        <v>46</v>
      </c>
      <c r="F56" s="52">
        <v>4672</v>
      </c>
      <c r="G56" s="52">
        <v>325</v>
      </c>
      <c r="H56" s="52">
        <v>32</v>
      </c>
      <c r="I56" s="52">
        <v>88768</v>
      </c>
      <c r="J56" s="52">
        <v>87833</v>
      </c>
      <c r="K56" s="52">
        <v>118</v>
      </c>
      <c r="L56" s="76"/>
      <c r="M56" s="51" t="s">
        <v>34</v>
      </c>
      <c r="N56" s="29"/>
      <c r="O56" s="29"/>
      <c r="P56" s="32">
        <f t="shared" si="0"/>
        <v>5.6653298485940883E-2</v>
      </c>
      <c r="Q56" s="31">
        <f t="shared" si="1"/>
        <v>5029</v>
      </c>
    </row>
    <row r="57" spans="1:17" x14ac:dyDescent="0.3">
      <c r="A57" s="51" t="s">
        <v>266</v>
      </c>
      <c r="B57" s="51" t="s">
        <v>13</v>
      </c>
      <c r="C57" s="74" t="s">
        <v>267</v>
      </c>
      <c r="D57" s="51" t="s">
        <v>42</v>
      </c>
      <c r="E57" s="75" t="s">
        <v>46</v>
      </c>
      <c r="F57" s="52">
        <v>4419</v>
      </c>
      <c r="G57" s="52">
        <v>236</v>
      </c>
      <c r="H57" s="52">
        <v>369</v>
      </c>
      <c r="I57" s="52">
        <v>44190</v>
      </c>
      <c r="J57" s="52">
        <v>43582</v>
      </c>
      <c r="K57" s="52">
        <v>10</v>
      </c>
      <c r="L57" s="51" t="s">
        <v>17</v>
      </c>
      <c r="M57" s="51" t="s">
        <v>34</v>
      </c>
      <c r="N57" s="29"/>
      <c r="O57" s="29"/>
      <c r="P57" s="32">
        <f t="shared" si="0"/>
        <v>0.11369088028965829</v>
      </c>
      <c r="Q57" s="31">
        <f t="shared" si="1"/>
        <v>5024</v>
      </c>
    </row>
    <row r="58" spans="1:17" x14ac:dyDescent="0.3">
      <c r="A58" s="51" t="s">
        <v>75</v>
      </c>
      <c r="B58" s="51" t="s">
        <v>40</v>
      </c>
      <c r="C58" s="74" t="s">
        <v>76</v>
      </c>
      <c r="D58" s="51" t="s">
        <v>20</v>
      </c>
      <c r="E58" s="75" t="s">
        <v>53</v>
      </c>
      <c r="F58" s="52">
        <v>4441</v>
      </c>
      <c r="G58" s="52">
        <v>511</v>
      </c>
      <c r="H58" s="52">
        <v>70</v>
      </c>
      <c r="I58" s="52">
        <v>53292</v>
      </c>
      <c r="J58" s="52">
        <v>53082</v>
      </c>
      <c r="K58" s="52">
        <v>159</v>
      </c>
      <c r="L58" s="51" t="s">
        <v>35</v>
      </c>
      <c r="M58" s="51" t="s">
        <v>34</v>
      </c>
      <c r="N58" s="29"/>
      <c r="O58" s="29"/>
      <c r="P58" s="32">
        <f t="shared" si="0"/>
        <v>9.4235532537716729E-2</v>
      </c>
      <c r="Q58" s="31">
        <f t="shared" si="1"/>
        <v>5022</v>
      </c>
    </row>
    <row r="59" spans="1:17" x14ac:dyDescent="0.3">
      <c r="A59" s="51" t="s">
        <v>475</v>
      </c>
      <c r="B59" s="51" t="s">
        <v>40</v>
      </c>
      <c r="C59" s="74" t="s">
        <v>167</v>
      </c>
      <c r="D59" s="51" t="s">
        <v>15</v>
      </c>
      <c r="E59" s="75" t="s">
        <v>62</v>
      </c>
      <c r="F59" s="52">
        <v>3813</v>
      </c>
      <c r="G59" s="52">
        <v>935</v>
      </c>
      <c r="H59" s="52">
        <v>274</v>
      </c>
      <c r="I59" s="52">
        <v>68634</v>
      </c>
      <c r="J59" s="52">
        <v>68488</v>
      </c>
      <c r="K59" s="52">
        <v>251</v>
      </c>
      <c r="L59" s="76"/>
      <c r="M59" s="51" t="s">
        <v>59</v>
      </c>
      <c r="N59" s="29"/>
      <c r="O59" s="29"/>
      <c r="P59" s="32">
        <f t="shared" si="0"/>
        <v>7.3170731707317069E-2</v>
      </c>
      <c r="Q59" s="31">
        <f t="shared" si="1"/>
        <v>5022</v>
      </c>
    </row>
    <row r="60" spans="1:17" x14ac:dyDescent="0.3">
      <c r="A60" s="51" t="s">
        <v>502</v>
      </c>
      <c r="B60" s="51" t="s">
        <v>30</v>
      </c>
      <c r="C60" s="74" t="s">
        <v>503</v>
      </c>
      <c r="D60" s="51" t="s">
        <v>15</v>
      </c>
      <c r="E60" s="75" t="s">
        <v>79</v>
      </c>
      <c r="F60" s="52">
        <v>4579</v>
      </c>
      <c r="G60" s="52">
        <v>125</v>
      </c>
      <c r="H60" s="52">
        <v>300</v>
      </c>
      <c r="I60" s="52">
        <v>59527</v>
      </c>
      <c r="J60" s="52">
        <v>59400</v>
      </c>
      <c r="K60" s="52">
        <v>269</v>
      </c>
      <c r="L60" s="51" t="s">
        <v>17</v>
      </c>
      <c r="M60" s="51" t="s">
        <v>34</v>
      </c>
      <c r="N60" s="29"/>
      <c r="O60" s="29"/>
      <c r="P60" s="32">
        <f t="shared" si="0"/>
        <v>8.4062694239588759E-2</v>
      </c>
      <c r="Q60" s="31">
        <f t="shared" si="1"/>
        <v>5004</v>
      </c>
    </row>
    <row r="61" spans="1:17" x14ac:dyDescent="0.3">
      <c r="A61" s="51" t="s">
        <v>51</v>
      </c>
      <c r="B61" s="51" t="s">
        <v>40</v>
      </c>
      <c r="C61" s="74" t="s">
        <v>52</v>
      </c>
      <c r="D61" s="51" t="s">
        <v>20</v>
      </c>
      <c r="E61" s="75" t="s">
        <v>53</v>
      </c>
      <c r="F61" s="52">
        <v>3784</v>
      </c>
      <c r="G61" s="52">
        <v>808</v>
      </c>
      <c r="H61" s="52">
        <v>404</v>
      </c>
      <c r="I61" s="52">
        <v>56760</v>
      </c>
      <c r="J61" s="52">
        <v>56343</v>
      </c>
      <c r="K61" s="52">
        <v>131</v>
      </c>
      <c r="L61" s="51" t="s">
        <v>22</v>
      </c>
      <c r="M61" s="51" t="s">
        <v>27</v>
      </c>
      <c r="N61" s="29"/>
      <c r="O61" s="29"/>
      <c r="P61" s="32">
        <f t="shared" si="0"/>
        <v>8.8019732205778717E-2</v>
      </c>
      <c r="Q61" s="31">
        <f t="shared" si="1"/>
        <v>4996</v>
      </c>
    </row>
    <row r="62" spans="1:17" x14ac:dyDescent="0.3">
      <c r="A62" s="51" t="s">
        <v>432</v>
      </c>
      <c r="B62" s="51" t="s">
        <v>40</v>
      </c>
      <c r="C62" s="74" t="s">
        <v>249</v>
      </c>
      <c r="D62" s="51" t="s">
        <v>71</v>
      </c>
      <c r="E62" s="75" t="s">
        <v>72</v>
      </c>
      <c r="F62" s="52">
        <v>4453</v>
      </c>
      <c r="G62" s="52">
        <v>111</v>
      </c>
      <c r="H62" s="52">
        <v>420</v>
      </c>
      <c r="I62" s="52">
        <v>31171</v>
      </c>
      <c r="J62" s="52">
        <v>30565</v>
      </c>
      <c r="K62" s="52">
        <v>23</v>
      </c>
      <c r="L62" s="76"/>
      <c r="M62" s="51" t="s">
        <v>27</v>
      </c>
      <c r="N62" s="29"/>
      <c r="O62" s="29"/>
      <c r="P62" s="32">
        <f t="shared" si="0"/>
        <v>0.15989220750056141</v>
      </c>
      <c r="Q62" s="31">
        <f t="shared" si="1"/>
        <v>4984</v>
      </c>
    </row>
    <row r="63" spans="1:17" x14ac:dyDescent="0.3">
      <c r="A63" s="51" t="s">
        <v>18</v>
      </c>
      <c r="B63" s="51" t="s">
        <v>13</v>
      </c>
      <c r="C63" s="74" t="s">
        <v>19</v>
      </c>
      <c r="D63" s="51" t="s">
        <v>20</v>
      </c>
      <c r="E63" s="75" t="s">
        <v>21</v>
      </c>
      <c r="F63" s="52">
        <v>4054</v>
      </c>
      <c r="G63" s="52">
        <v>389</v>
      </c>
      <c r="H63" s="52">
        <v>493</v>
      </c>
      <c r="I63" s="52">
        <v>64864</v>
      </c>
      <c r="J63" s="52">
        <v>64383</v>
      </c>
      <c r="K63" s="52">
        <v>117</v>
      </c>
      <c r="L63" s="51" t="s">
        <v>22</v>
      </c>
      <c r="M63" s="51" t="s">
        <v>27</v>
      </c>
      <c r="N63" s="29" t="s">
        <v>601</v>
      </c>
      <c r="O63" s="29"/>
      <c r="P63" s="32">
        <f t="shared" si="0"/>
        <v>7.6097681302417369E-2</v>
      </c>
      <c r="Q63" s="31">
        <f t="shared" si="1"/>
        <v>4936</v>
      </c>
    </row>
    <row r="64" spans="1:17" x14ac:dyDescent="0.3">
      <c r="A64" s="51" t="s">
        <v>66</v>
      </c>
      <c r="B64" s="51" t="s">
        <v>40</v>
      </c>
      <c r="C64" s="74" t="s">
        <v>67</v>
      </c>
      <c r="D64" s="51" t="s">
        <v>32</v>
      </c>
      <c r="E64" s="75" t="s">
        <v>68</v>
      </c>
      <c r="F64" s="52">
        <v>4242</v>
      </c>
      <c r="G64" s="52">
        <v>555</v>
      </c>
      <c r="H64" s="52">
        <v>131</v>
      </c>
      <c r="I64" s="52">
        <v>33936</v>
      </c>
      <c r="J64" s="52">
        <v>33802</v>
      </c>
      <c r="K64" s="52">
        <v>265</v>
      </c>
      <c r="L64" s="76"/>
      <c r="M64" s="51" t="s">
        <v>59</v>
      </c>
      <c r="N64" s="29"/>
      <c r="O64" s="29"/>
      <c r="P64" s="32">
        <f t="shared" si="0"/>
        <v>0.14521452145214522</v>
      </c>
      <c r="Q64" s="31">
        <f t="shared" si="1"/>
        <v>4928</v>
      </c>
    </row>
    <row r="65" spans="1:17" x14ac:dyDescent="0.3">
      <c r="A65" s="51" t="s">
        <v>318</v>
      </c>
      <c r="B65" s="51" t="s">
        <v>30</v>
      </c>
      <c r="C65" s="74" t="s">
        <v>165</v>
      </c>
      <c r="D65" s="51" t="s">
        <v>71</v>
      </c>
      <c r="E65" s="75" t="s">
        <v>82</v>
      </c>
      <c r="F65" s="52">
        <v>4133</v>
      </c>
      <c r="G65" s="52">
        <v>466</v>
      </c>
      <c r="H65" s="52">
        <v>327</v>
      </c>
      <c r="I65" s="52">
        <v>24798</v>
      </c>
      <c r="J65" s="52">
        <v>24620</v>
      </c>
      <c r="K65" s="52">
        <v>176</v>
      </c>
      <c r="L65" s="51" t="s">
        <v>35</v>
      </c>
      <c r="M65" s="51" t="s">
        <v>34</v>
      </c>
      <c r="N65" s="29"/>
      <c r="O65" s="29"/>
      <c r="P65" s="32">
        <f t="shared" si="0"/>
        <v>0.19864505202032423</v>
      </c>
      <c r="Q65" s="31">
        <f t="shared" si="1"/>
        <v>4926</v>
      </c>
    </row>
    <row r="66" spans="1:17" x14ac:dyDescent="0.3">
      <c r="A66" s="51" t="s">
        <v>224</v>
      </c>
      <c r="B66" s="51" t="s">
        <v>30</v>
      </c>
      <c r="C66" s="74" t="s">
        <v>225</v>
      </c>
      <c r="D66" s="51" t="s">
        <v>49</v>
      </c>
      <c r="E66" s="75" t="s">
        <v>209</v>
      </c>
      <c r="F66" s="52">
        <v>3861</v>
      </c>
      <c r="G66" s="52">
        <v>960</v>
      </c>
      <c r="H66" s="52">
        <v>101</v>
      </c>
      <c r="I66" s="52">
        <v>69498</v>
      </c>
      <c r="J66" s="52">
        <v>68817</v>
      </c>
      <c r="K66" s="52">
        <v>297</v>
      </c>
      <c r="L66" s="51" t="s">
        <v>35</v>
      </c>
      <c r="M66" s="51" t="s">
        <v>27</v>
      </c>
      <c r="N66" s="29"/>
      <c r="O66" s="29"/>
      <c r="P66" s="32">
        <f t="shared" ref="P66:P129" si="2">(F66+G66+H66)/I66</f>
        <v>7.0822181933293038E-2</v>
      </c>
      <c r="Q66" s="31">
        <f t="shared" ref="Q66:Q129" si="3">F66+G66+H66</f>
        <v>4922</v>
      </c>
    </row>
    <row r="67" spans="1:17" x14ac:dyDescent="0.3">
      <c r="A67" s="51" t="s">
        <v>83</v>
      </c>
      <c r="B67" s="51" t="s">
        <v>30</v>
      </c>
      <c r="C67" s="74" t="s">
        <v>84</v>
      </c>
      <c r="D67" s="51" t="s">
        <v>42</v>
      </c>
      <c r="E67" s="75" t="s">
        <v>85</v>
      </c>
      <c r="F67" s="52">
        <v>4054</v>
      </c>
      <c r="G67" s="52">
        <v>488</v>
      </c>
      <c r="H67" s="52">
        <v>373</v>
      </c>
      <c r="I67" s="52">
        <v>77026</v>
      </c>
      <c r="J67" s="52">
        <v>76881</v>
      </c>
      <c r="K67" s="52">
        <v>25</v>
      </c>
      <c r="L67" s="51" t="s">
        <v>17</v>
      </c>
      <c r="M67" s="51" t="s">
        <v>27</v>
      </c>
      <c r="N67" s="29"/>
      <c r="O67" s="29"/>
      <c r="P67" s="32">
        <f t="shared" si="2"/>
        <v>6.3809622724794221E-2</v>
      </c>
      <c r="Q67" s="31">
        <f t="shared" si="3"/>
        <v>4915</v>
      </c>
    </row>
    <row r="68" spans="1:17" x14ac:dyDescent="0.3">
      <c r="A68" s="51" t="s">
        <v>299</v>
      </c>
      <c r="B68" s="51" t="s">
        <v>40</v>
      </c>
      <c r="C68" s="74" t="s">
        <v>300</v>
      </c>
      <c r="D68" s="51" t="s">
        <v>20</v>
      </c>
      <c r="E68" s="75" t="s">
        <v>53</v>
      </c>
      <c r="F68" s="52">
        <v>4213</v>
      </c>
      <c r="G68" s="52">
        <v>253</v>
      </c>
      <c r="H68" s="52">
        <v>434</v>
      </c>
      <c r="I68" s="52">
        <v>75834</v>
      </c>
      <c r="J68" s="52">
        <v>75437</v>
      </c>
      <c r="K68" s="52">
        <v>272</v>
      </c>
      <c r="L68" s="51" t="s">
        <v>35</v>
      </c>
      <c r="M68" s="51" t="s">
        <v>59</v>
      </c>
      <c r="N68" s="29"/>
      <c r="O68" s="29"/>
      <c r="P68" s="32">
        <f t="shared" si="2"/>
        <v>6.461481657304112E-2</v>
      </c>
      <c r="Q68" s="31">
        <f t="shared" si="3"/>
        <v>4900</v>
      </c>
    </row>
    <row r="69" spans="1:17" x14ac:dyDescent="0.3">
      <c r="A69" s="51" t="s">
        <v>413</v>
      </c>
      <c r="B69" s="51" t="s">
        <v>13</v>
      </c>
      <c r="C69" s="74" t="s">
        <v>414</v>
      </c>
      <c r="D69" s="51" t="s">
        <v>42</v>
      </c>
      <c r="E69" s="75" t="s">
        <v>46</v>
      </c>
      <c r="F69" s="52">
        <v>4274</v>
      </c>
      <c r="G69" s="52">
        <v>340</v>
      </c>
      <c r="H69" s="52">
        <v>281</v>
      </c>
      <c r="I69" s="52">
        <v>34192</v>
      </c>
      <c r="J69" s="52">
        <v>33446</v>
      </c>
      <c r="K69" s="52">
        <v>129</v>
      </c>
      <c r="L69" s="51" t="s">
        <v>28</v>
      </c>
      <c r="M69" s="51" t="s">
        <v>27</v>
      </c>
      <c r="N69" s="29" t="s">
        <v>592</v>
      </c>
      <c r="O69" s="29"/>
      <c r="P69" s="32">
        <f t="shared" si="2"/>
        <v>0.14316214319138981</v>
      </c>
      <c r="Q69" s="31">
        <f t="shared" si="3"/>
        <v>4895</v>
      </c>
    </row>
    <row r="70" spans="1:17" x14ac:dyDescent="0.3">
      <c r="A70" s="51" t="s">
        <v>285</v>
      </c>
      <c r="B70" s="51" t="s">
        <v>13</v>
      </c>
      <c r="C70" s="74" t="s">
        <v>286</v>
      </c>
      <c r="D70" s="51" t="s">
        <v>42</v>
      </c>
      <c r="E70" s="75" t="s">
        <v>46</v>
      </c>
      <c r="F70" s="52">
        <v>3811</v>
      </c>
      <c r="G70" s="52">
        <v>866</v>
      </c>
      <c r="H70" s="52">
        <v>216</v>
      </c>
      <c r="I70" s="52">
        <v>34299</v>
      </c>
      <c r="J70" s="52">
        <v>34088</v>
      </c>
      <c r="K70" s="52">
        <v>233</v>
      </c>
      <c r="L70" s="51" t="s">
        <v>35</v>
      </c>
      <c r="M70" s="51" t="s">
        <v>27</v>
      </c>
      <c r="N70" s="29"/>
      <c r="O70" s="29"/>
      <c r="P70" s="32">
        <f t="shared" si="2"/>
        <v>0.14265722032712325</v>
      </c>
      <c r="Q70" s="31">
        <f t="shared" si="3"/>
        <v>4893</v>
      </c>
    </row>
    <row r="71" spans="1:17" x14ac:dyDescent="0.3">
      <c r="A71" s="51" t="s">
        <v>528</v>
      </c>
      <c r="B71" s="51" t="s">
        <v>24</v>
      </c>
      <c r="C71" s="74" t="s">
        <v>420</v>
      </c>
      <c r="D71" s="51" t="s">
        <v>20</v>
      </c>
      <c r="E71" s="75" t="s">
        <v>100</v>
      </c>
      <c r="F71" s="52">
        <v>4021</v>
      </c>
      <c r="G71" s="52">
        <v>794</v>
      </c>
      <c r="H71" s="52">
        <v>77</v>
      </c>
      <c r="I71" s="52">
        <v>36189</v>
      </c>
      <c r="J71" s="52">
        <v>35505</v>
      </c>
      <c r="K71" s="52">
        <v>174</v>
      </c>
      <c r="L71" s="76"/>
      <c r="M71" s="51" t="s">
        <v>34</v>
      </c>
      <c r="N71" s="29"/>
      <c r="O71" s="29"/>
      <c r="P71" s="32">
        <f t="shared" si="2"/>
        <v>0.13517919809886983</v>
      </c>
      <c r="Q71" s="31">
        <f t="shared" si="3"/>
        <v>4892</v>
      </c>
    </row>
    <row r="72" spans="1:17" x14ac:dyDescent="0.3">
      <c r="A72" s="51" t="s">
        <v>463</v>
      </c>
      <c r="B72" s="51" t="s">
        <v>13</v>
      </c>
      <c r="C72" s="74" t="s">
        <v>464</v>
      </c>
      <c r="D72" s="51" t="s">
        <v>49</v>
      </c>
      <c r="E72" s="75" t="s">
        <v>128</v>
      </c>
      <c r="F72" s="52">
        <v>3592</v>
      </c>
      <c r="G72" s="52">
        <v>911</v>
      </c>
      <c r="H72" s="52">
        <v>375</v>
      </c>
      <c r="I72" s="52">
        <v>50288</v>
      </c>
      <c r="J72" s="52">
        <v>49490</v>
      </c>
      <c r="K72" s="52">
        <v>32</v>
      </c>
      <c r="L72" s="51" t="s">
        <v>35</v>
      </c>
      <c r="M72" s="51" t="s">
        <v>59</v>
      </c>
      <c r="N72" s="29"/>
      <c r="O72" s="29"/>
      <c r="P72" s="32">
        <f t="shared" si="2"/>
        <v>9.7001272669424113E-2</v>
      </c>
      <c r="Q72" s="31">
        <f t="shared" si="3"/>
        <v>4878</v>
      </c>
    </row>
    <row r="73" spans="1:17" x14ac:dyDescent="0.3">
      <c r="A73" s="51" t="s">
        <v>370</v>
      </c>
      <c r="B73" s="51" t="s">
        <v>40</v>
      </c>
      <c r="C73" s="74" t="s">
        <v>308</v>
      </c>
      <c r="D73" s="51" t="s">
        <v>42</v>
      </c>
      <c r="E73" s="75" t="s">
        <v>43</v>
      </c>
      <c r="F73" s="52">
        <v>3796</v>
      </c>
      <c r="G73" s="52">
        <v>667</v>
      </c>
      <c r="H73" s="52">
        <v>395</v>
      </c>
      <c r="I73" s="52">
        <v>64532</v>
      </c>
      <c r="J73" s="52">
        <v>63550</v>
      </c>
      <c r="K73" s="52">
        <v>292</v>
      </c>
      <c r="L73" s="76"/>
      <c r="M73" s="51" t="s">
        <v>27</v>
      </c>
      <c r="N73" s="29"/>
      <c r="O73" s="29"/>
      <c r="P73" s="32">
        <f t="shared" si="2"/>
        <v>7.5280481001673588E-2</v>
      </c>
      <c r="Q73" s="31">
        <f t="shared" si="3"/>
        <v>4858</v>
      </c>
    </row>
    <row r="74" spans="1:17" x14ac:dyDescent="0.3">
      <c r="A74" s="51" t="s">
        <v>92</v>
      </c>
      <c r="B74" s="51" t="s">
        <v>40</v>
      </c>
      <c r="C74" s="74" t="s">
        <v>93</v>
      </c>
      <c r="D74" s="51" t="s">
        <v>71</v>
      </c>
      <c r="E74" s="75" t="s">
        <v>72</v>
      </c>
      <c r="F74" s="52">
        <v>3961</v>
      </c>
      <c r="G74" s="52">
        <v>761</v>
      </c>
      <c r="H74" s="52">
        <v>131</v>
      </c>
      <c r="I74" s="52">
        <v>67337</v>
      </c>
      <c r="J74" s="52">
        <v>66615</v>
      </c>
      <c r="K74" s="52">
        <v>161</v>
      </c>
      <c r="L74" s="51" t="s">
        <v>28</v>
      </c>
      <c r="M74" s="51" t="s">
        <v>59</v>
      </c>
      <c r="N74" s="29"/>
      <c r="O74" s="29"/>
      <c r="P74" s="32">
        <f t="shared" si="2"/>
        <v>7.2070332803659209E-2</v>
      </c>
      <c r="Q74" s="31">
        <f t="shared" si="3"/>
        <v>4853</v>
      </c>
    </row>
    <row r="75" spans="1:17" x14ac:dyDescent="0.3">
      <c r="A75" s="51" t="s">
        <v>455</v>
      </c>
      <c r="B75" s="51" t="s">
        <v>30</v>
      </c>
      <c r="C75" s="74" t="s">
        <v>332</v>
      </c>
      <c r="D75" s="51" t="s">
        <v>32</v>
      </c>
      <c r="E75" s="75" t="s">
        <v>33</v>
      </c>
      <c r="F75" s="52">
        <v>3770</v>
      </c>
      <c r="G75" s="52">
        <v>917</v>
      </c>
      <c r="H75" s="52">
        <v>129</v>
      </c>
      <c r="I75" s="52">
        <v>71630</v>
      </c>
      <c r="J75" s="52">
        <v>71322</v>
      </c>
      <c r="K75" s="52">
        <v>76</v>
      </c>
      <c r="L75" s="51" t="s">
        <v>17</v>
      </c>
      <c r="M75" s="51" t="s">
        <v>59</v>
      </c>
      <c r="N75" s="29"/>
      <c r="O75" s="29"/>
      <c r="P75" s="32">
        <f t="shared" si="2"/>
        <v>6.7234398994834563E-2</v>
      </c>
      <c r="Q75" s="31">
        <f t="shared" si="3"/>
        <v>4816</v>
      </c>
    </row>
    <row r="76" spans="1:17" x14ac:dyDescent="0.3">
      <c r="A76" s="51" t="s">
        <v>239</v>
      </c>
      <c r="B76" s="51" t="s">
        <v>24</v>
      </c>
      <c r="C76" s="74" t="s">
        <v>240</v>
      </c>
      <c r="D76" s="51" t="s">
        <v>42</v>
      </c>
      <c r="E76" s="75" t="s">
        <v>65</v>
      </c>
      <c r="F76" s="52">
        <v>4171</v>
      </c>
      <c r="G76" s="52">
        <v>548</v>
      </c>
      <c r="H76" s="52">
        <v>86</v>
      </c>
      <c r="I76" s="52">
        <v>66736</v>
      </c>
      <c r="J76" s="52">
        <v>66634</v>
      </c>
      <c r="K76" s="52">
        <v>173</v>
      </c>
      <c r="L76" s="51" t="s">
        <v>28</v>
      </c>
      <c r="M76" s="51" t="s">
        <v>59</v>
      </c>
      <c r="N76" s="29"/>
      <c r="O76" s="29"/>
      <c r="P76" s="32">
        <f t="shared" si="2"/>
        <v>7.2000119875329657E-2</v>
      </c>
      <c r="Q76" s="31">
        <f t="shared" si="3"/>
        <v>4805</v>
      </c>
    </row>
    <row r="77" spans="1:17" x14ac:dyDescent="0.3">
      <c r="A77" s="51" t="s">
        <v>215</v>
      </c>
      <c r="B77" s="51" t="s">
        <v>30</v>
      </c>
      <c r="C77" s="74" t="s">
        <v>119</v>
      </c>
      <c r="D77" s="51" t="s">
        <v>49</v>
      </c>
      <c r="E77" s="75" t="s">
        <v>209</v>
      </c>
      <c r="F77" s="52">
        <v>4177</v>
      </c>
      <c r="G77" s="52">
        <v>569</v>
      </c>
      <c r="H77" s="52">
        <v>55</v>
      </c>
      <c r="I77" s="52">
        <v>25062</v>
      </c>
      <c r="J77" s="52">
        <v>24847</v>
      </c>
      <c r="K77" s="52">
        <v>230</v>
      </c>
      <c r="L77" s="51" t="s">
        <v>17</v>
      </c>
      <c r="M77" s="51" t="s">
        <v>59</v>
      </c>
      <c r="N77" s="29"/>
      <c r="O77" s="29"/>
      <c r="P77" s="32">
        <f t="shared" si="2"/>
        <v>0.19156491900087783</v>
      </c>
      <c r="Q77" s="31">
        <f t="shared" si="3"/>
        <v>4801</v>
      </c>
    </row>
    <row r="78" spans="1:17" x14ac:dyDescent="0.3">
      <c r="A78" s="51" t="s">
        <v>411</v>
      </c>
      <c r="B78" s="51" t="s">
        <v>13</v>
      </c>
      <c r="C78" s="74" t="s">
        <v>298</v>
      </c>
      <c r="D78" s="51" t="s">
        <v>71</v>
      </c>
      <c r="E78" s="75" t="s">
        <v>141</v>
      </c>
      <c r="F78" s="52">
        <v>3820</v>
      </c>
      <c r="G78" s="52">
        <v>697</v>
      </c>
      <c r="H78" s="52">
        <v>268</v>
      </c>
      <c r="I78" s="52">
        <v>45840</v>
      </c>
      <c r="J78" s="52">
        <v>45631</v>
      </c>
      <c r="K78" s="52">
        <v>171</v>
      </c>
      <c r="L78" s="51" t="s">
        <v>35</v>
      </c>
      <c r="M78" s="51" t="s">
        <v>27</v>
      </c>
      <c r="N78" s="29" t="s">
        <v>592</v>
      </c>
      <c r="O78" s="29"/>
      <c r="P78" s="32">
        <f t="shared" si="2"/>
        <v>0.1043848167539267</v>
      </c>
      <c r="Q78" s="31">
        <f t="shared" si="3"/>
        <v>4785</v>
      </c>
    </row>
    <row r="79" spans="1:17" x14ac:dyDescent="0.3">
      <c r="A79" s="51" t="s">
        <v>421</v>
      </c>
      <c r="B79" s="51" t="s">
        <v>24</v>
      </c>
      <c r="C79" s="74" t="s">
        <v>191</v>
      </c>
      <c r="D79" s="51" t="s">
        <v>71</v>
      </c>
      <c r="E79" s="75" t="s">
        <v>212</v>
      </c>
      <c r="F79" s="52">
        <v>3874</v>
      </c>
      <c r="G79" s="52">
        <v>884</v>
      </c>
      <c r="H79" s="52">
        <v>19</v>
      </c>
      <c r="I79" s="52">
        <v>38740</v>
      </c>
      <c r="J79" s="52">
        <v>38552</v>
      </c>
      <c r="K79" s="52">
        <v>219</v>
      </c>
      <c r="L79" s="51" t="s">
        <v>22</v>
      </c>
      <c r="M79" s="51" t="s">
        <v>27</v>
      </c>
      <c r="N79" s="29"/>
      <c r="O79" s="29"/>
      <c r="P79" s="32">
        <f t="shared" si="2"/>
        <v>0.123309241094476</v>
      </c>
      <c r="Q79" s="31">
        <f t="shared" si="3"/>
        <v>4777</v>
      </c>
    </row>
    <row r="80" spans="1:17" x14ac:dyDescent="0.3">
      <c r="A80" s="51" t="s">
        <v>331</v>
      </c>
      <c r="B80" s="51" t="s">
        <v>40</v>
      </c>
      <c r="C80" s="74" t="s">
        <v>332</v>
      </c>
      <c r="D80" s="51" t="s">
        <v>42</v>
      </c>
      <c r="E80" s="75" t="s">
        <v>43</v>
      </c>
      <c r="F80" s="52">
        <v>3352</v>
      </c>
      <c r="G80" s="52">
        <v>941</v>
      </c>
      <c r="H80" s="52">
        <v>482</v>
      </c>
      <c r="I80" s="52">
        <v>43576</v>
      </c>
      <c r="J80" s="52">
        <v>43338</v>
      </c>
      <c r="K80" s="52">
        <v>240</v>
      </c>
      <c r="L80" s="51" t="s">
        <v>22</v>
      </c>
      <c r="M80" s="51" t="s">
        <v>59</v>
      </c>
      <c r="N80" s="29"/>
      <c r="O80" s="29"/>
      <c r="P80" s="32">
        <f t="shared" si="2"/>
        <v>0.1095786671562328</v>
      </c>
      <c r="Q80" s="31">
        <f t="shared" si="3"/>
        <v>4775</v>
      </c>
    </row>
    <row r="81" spans="1:17" x14ac:dyDescent="0.3">
      <c r="A81" s="51" t="s">
        <v>260</v>
      </c>
      <c r="B81" s="51" t="s">
        <v>30</v>
      </c>
      <c r="C81" s="74" t="s">
        <v>261</v>
      </c>
      <c r="D81" s="51" t="s">
        <v>15</v>
      </c>
      <c r="E81" s="75" t="s">
        <v>79</v>
      </c>
      <c r="F81" s="52">
        <v>3523</v>
      </c>
      <c r="G81" s="52">
        <v>753</v>
      </c>
      <c r="H81" s="52">
        <v>482</v>
      </c>
      <c r="I81" s="52">
        <v>38753</v>
      </c>
      <c r="J81" s="52">
        <v>38579</v>
      </c>
      <c r="K81" s="52">
        <v>270</v>
      </c>
      <c r="L81" s="51" t="s">
        <v>22</v>
      </c>
      <c r="M81" s="51" t="s">
        <v>34</v>
      </c>
      <c r="N81" s="29"/>
      <c r="O81" s="29"/>
      <c r="P81" s="32">
        <f t="shared" si="2"/>
        <v>0.12277759141227776</v>
      </c>
      <c r="Q81" s="31">
        <f t="shared" si="3"/>
        <v>4758</v>
      </c>
    </row>
    <row r="82" spans="1:17" x14ac:dyDescent="0.3">
      <c r="A82" s="51" t="s">
        <v>379</v>
      </c>
      <c r="B82" s="51" t="s">
        <v>30</v>
      </c>
      <c r="C82" s="74" t="s">
        <v>380</v>
      </c>
      <c r="D82" s="51" t="s">
        <v>42</v>
      </c>
      <c r="E82" s="75" t="s">
        <v>85</v>
      </c>
      <c r="F82" s="52">
        <v>4523</v>
      </c>
      <c r="G82" s="52">
        <v>61</v>
      </c>
      <c r="H82" s="52">
        <v>157</v>
      </c>
      <c r="I82" s="52">
        <v>49753</v>
      </c>
      <c r="J82" s="52">
        <v>49329</v>
      </c>
      <c r="K82" s="52">
        <v>71</v>
      </c>
      <c r="L82" s="76"/>
      <c r="M82" s="51" t="s">
        <v>34</v>
      </c>
      <c r="N82" s="29"/>
      <c r="O82" s="29"/>
      <c r="P82" s="32">
        <f t="shared" si="2"/>
        <v>9.5290736237010829E-2</v>
      </c>
      <c r="Q82" s="31">
        <f t="shared" si="3"/>
        <v>4741</v>
      </c>
    </row>
    <row r="83" spans="1:17" x14ac:dyDescent="0.3">
      <c r="A83" s="51" t="s">
        <v>174</v>
      </c>
      <c r="B83" s="51" t="s">
        <v>13</v>
      </c>
      <c r="C83" s="74" t="s">
        <v>111</v>
      </c>
      <c r="D83" s="51" t="s">
        <v>42</v>
      </c>
      <c r="E83" s="75" t="s">
        <v>46</v>
      </c>
      <c r="F83" s="52">
        <v>4507</v>
      </c>
      <c r="G83" s="52">
        <v>217</v>
      </c>
      <c r="H83" s="52">
        <v>13</v>
      </c>
      <c r="I83" s="52">
        <v>90140</v>
      </c>
      <c r="J83" s="52">
        <v>89591</v>
      </c>
      <c r="K83" s="52">
        <v>125</v>
      </c>
      <c r="L83" s="51" t="s">
        <v>28</v>
      </c>
      <c r="M83" s="51" t="s">
        <v>59</v>
      </c>
      <c r="N83" s="29"/>
      <c r="O83" s="29"/>
      <c r="P83" s="32">
        <f t="shared" si="2"/>
        <v>5.2551586421122697E-2</v>
      </c>
      <c r="Q83" s="31">
        <f t="shared" si="3"/>
        <v>4737</v>
      </c>
    </row>
    <row r="84" spans="1:17" x14ac:dyDescent="0.3">
      <c r="A84" s="51" t="s">
        <v>381</v>
      </c>
      <c r="B84" s="51" t="s">
        <v>40</v>
      </c>
      <c r="C84" s="74" t="s">
        <v>339</v>
      </c>
      <c r="D84" s="51" t="s">
        <v>42</v>
      </c>
      <c r="E84" s="75" t="s">
        <v>43</v>
      </c>
      <c r="F84" s="52">
        <v>4292</v>
      </c>
      <c r="G84" s="52">
        <v>51</v>
      </c>
      <c r="H84" s="52">
        <v>392</v>
      </c>
      <c r="I84" s="52">
        <v>55796</v>
      </c>
      <c r="J84" s="52">
        <v>54826</v>
      </c>
      <c r="K84" s="52">
        <v>264</v>
      </c>
      <c r="L84" s="51" t="s">
        <v>28</v>
      </c>
      <c r="M84" s="51" t="s">
        <v>34</v>
      </c>
      <c r="N84" s="29"/>
      <c r="O84" s="29"/>
      <c r="P84" s="32">
        <f t="shared" si="2"/>
        <v>8.4862714173059003E-2</v>
      </c>
      <c r="Q84" s="31">
        <f t="shared" si="3"/>
        <v>4735</v>
      </c>
    </row>
    <row r="85" spans="1:17" x14ac:dyDescent="0.3">
      <c r="A85" s="51" t="s">
        <v>36</v>
      </c>
      <c r="B85" s="51" t="s">
        <v>24</v>
      </c>
      <c r="C85" s="74" t="s">
        <v>37</v>
      </c>
      <c r="D85" s="51" t="s">
        <v>15</v>
      </c>
      <c r="E85" s="75" t="s">
        <v>26</v>
      </c>
      <c r="F85" s="52">
        <v>3557</v>
      </c>
      <c r="G85" s="52">
        <v>687</v>
      </c>
      <c r="H85" s="52">
        <v>424</v>
      </c>
      <c r="I85" s="52">
        <v>71140</v>
      </c>
      <c r="J85" s="52">
        <v>70701</v>
      </c>
      <c r="K85" s="52">
        <v>224</v>
      </c>
      <c r="L85" s="51" t="s">
        <v>17</v>
      </c>
      <c r="M85" s="51" t="s">
        <v>34</v>
      </c>
      <c r="N85" s="29" t="s">
        <v>27</v>
      </c>
      <c r="O85" s="29"/>
      <c r="P85" s="32">
        <f t="shared" si="2"/>
        <v>6.5617093055946027E-2</v>
      </c>
      <c r="Q85" s="31">
        <f t="shared" si="3"/>
        <v>4668</v>
      </c>
    </row>
    <row r="86" spans="1:17" x14ac:dyDescent="0.3">
      <c r="A86" s="51" t="s">
        <v>354</v>
      </c>
      <c r="B86" s="51" t="s">
        <v>13</v>
      </c>
      <c r="C86" s="74" t="s">
        <v>355</v>
      </c>
      <c r="D86" s="51" t="s">
        <v>20</v>
      </c>
      <c r="E86" s="75" t="s">
        <v>21</v>
      </c>
      <c r="F86" s="52">
        <v>3577</v>
      </c>
      <c r="G86" s="52">
        <v>596</v>
      </c>
      <c r="H86" s="52">
        <v>493</v>
      </c>
      <c r="I86" s="52">
        <v>67963</v>
      </c>
      <c r="J86" s="52">
        <v>67839</v>
      </c>
      <c r="K86" s="52">
        <v>53</v>
      </c>
      <c r="L86" s="51" t="s">
        <v>28</v>
      </c>
      <c r="M86" s="51" t="s">
        <v>27</v>
      </c>
      <c r="N86" s="29"/>
      <c r="O86" s="29"/>
      <c r="P86" s="32">
        <f t="shared" si="2"/>
        <v>6.8655003457763777E-2</v>
      </c>
      <c r="Q86" s="31">
        <f t="shared" si="3"/>
        <v>4666</v>
      </c>
    </row>
    <row r="87" spans="1:17" x14ac:dyDescent="0.3">
      <c r="A87" s="51" t="s">
        <v>69</v>
      </c>
      <c r="B87" s="51" t="s">
        <v>40</v>
      </c>
      <c r="C87" s="74" t="s">
        <v>70</v>
      </c>
      <c r="D87" s="51" t="s">
        <v>71</v>
      </c>
      <c r="E87" s="75" t="s">
        <v>72</v>
      </c>
      <c r="F87" s="52">
        <v>3888</v>
      </c>
      <c r="G87" s="52">
        <v>604</v>
      </c>
      <c r="H87" s="52">
        <v>128</v>
      </c>
      <c r="I87" s="52">
        <v>77760</v>
      </c>
      <c r="J87" s="52">
        <v>77167</v>
      </c>
      <c r="K87" s="52">
        <v>20</v>
      </c>
      <c r="L87" s="51" t="s">
        <v>17</v>
      </c>
      <c r="M87" s="51" t="s">
        <v>59</v>
      </c>
      <c r="N87" s="29"/>
      <c r="O87" s="29"/>
      <c r="P87" s="32">
        <f t="shared" si="2"/>
        <v>5.941358024691358E-2</v>
      </c>
      <c r="Q87" s="31">
        <f t="shared" si="3"/>
        <v>4620</v>
      </c>
    </row>
    <row r="88" spans="1:17" x14ac:dyDescent="0.3">
      <c r="A88" s="51" t="s">
        <v>479</v>
      </c>
      <c r="B88" s="51" t="s">
        <v>13</v>
      </c>
      <c r="C88" s="74" t="s">
        <v>480</v>
      </c>
      <c r="D88" s="51" t="s">
        <v>15</v>
      </c>
      <c r="E88" s="75" t="s">
        <v>16</v>
      </c>
      <c r="F88" s="52">
        <v>3791</v>
      </c>
      <c r="G88" s="52">
        <v>593</v>
      </c>
      <c r="H88" s="52">
        <v>228</v>
      </c>
      <c r="I88" s="52">
        <v>53074</v>
      </c>
      <c r="J88" s="52">
        <v>52613</v>
      </c>
      <c r="K88" s="52">
        <v>205</v>
      </c>
      <c r="L88" s="76"/>
      <c r="M88" s="51" t="s">
        <v>34</v>
      </c>
      <c r="N88" s="29"/>
      <c r="O88" s="29"/>
      <c r="P88" s="32">
        <f t="shared" si="2"/>
        <v>8.6897539284772202E-2</v>
      </c>
      <c r="Q88" s="31">
        <f t="shared" si="3"/>
        <v>4612</v>
      </c>
    </row>
    <row r="89" spans="1:17" x14ac:dyDescent="0.3">
      <c r="A89" s="51" t="s">
        <v>287</v>
      </c>
      <c r="B89" s="51" t="s">
        <v>30</v>
      </c>
      <c r="C89" s="74" t="s">
        <v>178</v>
      </c>
      <c r="D89" s="51" t="s">
        <v>42</v>
      </c>
      <c r="E89" s="75" t="s">
        <v>85</v>
      </c>
      <c r="F89" s="52">
        <v>4158</v>
      </c>
      <c r="G89" s="52">
        <v>167</v>
      </c>
      <c r="H89" s="52">
        <v>241</v>
      </c>
      <c r="I89" s="52">
        <v>45738</v>
      </c>
      <c r="J89" s="52">
        <v>45183</v>
      </c>
      <c r="K89" s="52">
        <v>142</v>
      </c>
      <c r="L89" s="76"/>
      <c r="M89" s="51" t="s">
        <v>59</v>
      </c>
      <c r="N89" s="29"/>
      <c r="O89" s="29"/>
      <c r="P89" s="32">
        <f t="shared" si="2"/>
        <v>9.9829463465827106E-2</v>
      </c>
      <c r="Q89" s="31">
        <f t="shared" si="3"/>
        <v>4566</v>
      </c>
    </row>
    <row r="90" spans="1:17" x14ac:dyDescent="0.3">
      <c r="A90" s="51" t="s">
        <v>288</v>
      </c>
      <c r="B90" s="51" t="s">
        <v>40</v>
      </c>
      <c r="C90" s="74" t="s">
        <v>217</v>
      </c>
      <c r="D90" s="51" t="s">
        <v>15</v>
      </c>
      <c r="E90" s="75" t="s">
        <v>62</v>
      </c>
      <c r="F90" s="52">
        <v>3452</v>
      </c>
      <c r="G90" s="52">
        <v>652</v>
      </c>
      <c r="H90" s="52">
        <v>442</v>
      </c>
      <c r="I90" s="52">
        <v>65588</v>
      </c>
      <c r="J90" s="52">
        <v>65049</v>
      </c>
      <c r="K90" s="52">
        <v>158</v>
      </c>
      <c r="L90" s="51" t="s">
        <v>28</v>
      </c>
      <c r="M90" s="51" t="s">
        <v>59</v>
      </c>
      <c r="N90" s="29"/>
      <c r="O90" s="29"/>
      <c r="P90" s="32">
        <f t="shared" si="2"/>
        <v>6.9311459413307311E-2</v>
      </c>
      <c r="Q90" s="31">
        <f t="shared" si="3"/>
        <v>4546</v>
      </c>
    </row>
    <row r="91" spans="1:17" x14ac:dyDescent="0.3">
      <c r="A91" s="51" t="s">
        <v>483</v>
      </c>
      <c r="B91" s="51" t="s">
        <v>40</v>
      </c>
      <c r="C91" s="74" t="s">
        <v>19</v>
      </c>
      <c r="D91" s="51" t="s">
        <v>32</v>
      </c>
      <c r="E91" s="75" t="s">
        <v>68</v>
      </c>
      <c r="F91" s="52">
        <v>3767</v>
      </c>
      <c r="G91" s="52">
        <v>514</v>
      </c>
      <c r="H91" s="52">
        <v>238</v>
      </c>
      <c r="I91" s="52">
        <v>37670</v>
      </c>
      <c r="J91" s="52">
        <v>36807</v>
      </c>
      <c r="K91" s="52">
        <v>226</v>
      </c>
      <c r="L91" s="51" t="s">
        <v>35</v>
      </c>
      <c r="M91" s="51" t="s">
        <v>59</v>
      </c>
      <c r="N91" s="29"/>
      <c r="O91" s="29"/>
      <c r="P91" s="32">
        <f t="shared" si="2"/>
        <v>0.11996283514733209</v>
      </c>
      <c r="Q91" s="31">
        <f t="shared" si="3"/>
        <v>4519</v>
      </c>
    </row>
    <row r="92" spans="1:17" x14ac:dyDescent="0.3">
      <c r="A92" s="51" t="s">
        <v>453</v>
      </c>
      <c r="B92" s="51" t="s">
        <v>40</v>
      </c>
      <c r="C92" s="74" t="s">
        <v>383</v>
      </c>
      <c r="D92" s="51" t="s">
        <v>49</v>
      </c>
      <c r="E92" s="75" t="s">
        <v>56</v>
      </c>
      <c r="F92" s="52">
        <v>3196</v>
      </c>
      <c r="G92" s="52">
        <v>941</v>
      </c>
      <c r="H92" s="52">
        <v>376</v>
      </c>
      <c r="I92" s="52">
        <v>35156</v>
      </c>
      <c r="J92" s="52">
        <v>34444</v>
      </c>
      <c r="K92" s="52">
        <v>241</v>
      </c>
      <c r="L92" s="51" t="s">
        <v>28</v>
      </c>
      <c r="M92" s="51" t="s">
        <v>27</v>
      </c>
      <c r="N92" s="29"/>
      <c r="O92" s="29"/>
      <c r="P92" s="32">
        <f t="shared" si="2"/>
        <v>0.1283706906360223</v>
      </c>
      <c r="Q92" s="31">
        <f t="shared" si="3"/>
        <v>4513</v>
      </c>
    </row>
    <row r="93" spans="1:17" x14ac:dyDescent="0.3">
      <c r="A93" s="51" t="s">
        <v>248</v>
      </c>
      <c r="B93" s="51" t="s">
        <v>24</v>
      </c>
      <c r="C93" s="74" t="s">
        <v>249</v>
      </c>
      <c r="D93" s="51" t="s">
        <v>32</v>
      </c>
      <c r="E93" s="75" t="s">
        <v>150</v>
      </c>
      <c r="F93" s="52">
        <v>3655</v>
      </c>
      <c r="G93" s="52">
        <v>568</v>
      </c>
      <c r="H93" s="52">
        <v>286</v>
      </c>
      <c r="I93" s="52">
        <v>32895</v>
      </c>
      <c r="J93" s="52">
        <v>32015</v>
      </c>
      <c r="K93" s="52">
        <v>199</v>
      </c>
      <c r="L93" s="51" t="s">
        <v>28</v>
      </c>
      <c r="M93" s="51" t="s">
        <v>27</v>
      </c>
      <c r="N93" s="29"/>
      <c r="O93" s="29"/>
      <c r="P93" s="32">
        <f t="shared" si="2"/>
        <v>0.13707250341997265</v>
      </c>
      <c r="Q93" s="31">
        <f t="shared" si="3"/>
        <v>4509</v>
      </c>
    </row>
    <row r="94" spans="1:17" x14ac:dyDescent="0.3">
      <c r="A94" s="51" t="s">
        <v>47</v>
      </c>
      <c r="B94" s="51" t="s">
        <v>24</v>
      </c>
      <c r="C94" s="74" t="s">
        <v>48</v>
      </c>
      <c r="D94" s="51" t="s">
        <v>49</v>
      </c>
      <c r="E94" s="75" t="s">
        <v>50</v>
      </c>
      <c r="F94" s="52">
        <v>3929</v>
      </c>
      <c r="G94" s="52">
        <v>262</v>
      </c>
      <c r="H94" s="52">
        <v>278</v>
      </c>
      <c r="I94" s="52">
        <v>43219</v>
      </c>
      <c r="J94" s="52">
        <v>42841</v>
      </c>
      <c r="K94" s="52">
        <v>39</v>
      </c>
      <c r="L94" s="51" t="s">
        <v>35</v>
      </c>
      <c r="M94" s="51" t="s">
        <v>34</v>
      </c>
      <c r="N94" s="29"/>
      <c r="O94" s="29"/>
      <c r="P94" s="32">
        <f t="shared" si="2"/>
        <v>0.10340359564080613</v>
      </c>
      <c r="Q94" s="31">
        <f t="shared" si="3"/>
        <v>4469</v>
      </c>
    </row>
    <row r="95" spans="1:17" x14ac:dyDescent="0.3">
      <c r="A95" s="51" t="s">
        <v>301</v>
      </c>
      <c r="B95" s="51" t="s">
        <v>30</v>
      </c>
      <c r="C95" s="74" t="s">
        <v>302</v>
      </c>
      <c r="D95" s="51" t="s">
        <v>20</v>
      </c>
      <c r="E95" s="75" t="s">
        <v>109</v>
      </c>
      <c r="F95" s="52">
        <v>3134</v>
      </c>
      <c r="G95" s="52">
        <v>888</v>
      </c>
      <c r="H95" s="52">
        <v>444</v>
      </c>
      <c r="I95" s="52">
        <v>21938</v>
      </c>
      <c r="J95" s="52">
        <v>21337</v>
      </c>
      <c r="K95" s="52">
        <v>130</v>
      </c>
      <c r="L95" s="51" t="s">
        <v>35</v>
      </c>
      <c r="M95" s="51" t="s">
        <v>34</v>
      </c>
      <c r="N95" s="29"/>
      <c r="O95" s="29"/>
      <c r="P95" s="32">
        <f t="shared" si="2"/>
        <v>0.20357370772176134</v>
      </c>
      <c r="Q95" s="31">
        <f t="shared" si="3"/>
        <v>4466</v>
      </c>
    </row>
    <row r="96" spans="1:17" x14ac:dyDescent="0.3">
      <c r="A96" s="51" t="s">
        <v>507</v>
      </c>
      <c r="B96" s="51" t="s">
        <v>30</v>
      </c>
      <c r="C96" s="74" t="s">
        <v>508</v>
      </c>
      <c r="D96" s="51" t="s">
        <v>71</v>
      </c>
      <c r="E96" s="75" t="s">
        <v>82</v>
      </c>
      <c r="F96" s="52">
        <v>3575</v>
      </c>
      <c r="G96" s="52">
        <v>749</v>
      </c>
      <c r="H96" s="52">
        <v>111</v>
      </c>
      <c r="I96" s="52">
        <v>21450</v>
      </c>
      <c r="J96" s="52">
        <v>20785</v>
      </c>
      <c r="K96" s="52">
        <v>195</v>
      </c>
      <c r="L96" s="51" t="s">
        <v>22</v>
      </c>
      <c r="M96" s="51" t="s">
        <v>34</v>
      </c>
      <c r="N96" s="29"/>
      <c r="O96" s="29"/>
      <c r="P96" s="32">
        <f t="shared" si="2"/>
        <v>0.20675990675990677</v>
      </c>
      <c r="Q96" s="31">
        <f t="shared" si="3"/>
        <v>4435</v>
      </c>
    </row>
    <row r="97" spans="1:17" x14ac:dyDescent="0.3">
      <c r="A97" s="51" t="s">
        <v>281</v>
      </c>
      <c r="B97" s="51" t="s">
        <v>30</v>
      </c>
      <c r="C97" s="74" t="s">
        <v>267</v>
      </c>
      <c r="D97" s="51" t="s">
        <v>20</v>
      </c>
      <c r="E97" s="75" t="s">
        <v>109</v>
      </c>
      <c r="F97" s="52">
        <v>3432</v>
      </c>
      <c r="G97" s="52">
        <v>869</v>
      </c>
      <c r="H97" s="52">
        <v>123</v>
      </c>
      <c r="I97" s="52">
        <v>54912</v>
      </c>
      <c r="J97" s="52">
        <v>53916</v>
      </c>
      <c r="K97" s="52">
        <v>264</v>
      </c>
      <c r="L97" s="51" t="s">
        <v>22</v>
      </c>
      <c r="M97" s="51" t="s">
        <v>34</v>
      </c>
      <c r="N97" s="29"/>
      <c r="O97" s="29"/>
      <c r="P97" s="32">
        <f t="shared" si="2"/>
        <v>8.0565268065268064E-2</v>
      </c>
      <c r="Q97" s="31">
        <f t="shared" si="3"/>
        <v>4424</v>
      </c>
    </row>
    <row r="98" spans="1:17" x14ac:dyDescent="0.3">
      <c r="A98" s="51" t="s">
        <v>402</v>
      </c>
      <c r="B98" s="51" t="s">
        <v>40</v>
      </c>
      <c r="C98" s="74" t="s">
        <v>403</v>
      </c>
      <c r="D98" s="51" t="s">
        <v>15</v>
      </c>
      <c r="E98" s="75" t="s">
        <v>62</v>
      </c>
      <c r="F98" s="52">
        <v>3718</v>
      </c>
      <c r="G98" s="52">
        <v>385</v>
      </c>
      <c r="H98" s="52">
        <v>310</v>
      </c>
      <c r="I98" s="52">
        <v>70642</v>
      </c>
      <c r="J98" s="52">
        <v>69749</v>
      </c>
      <c r="K98" s="52">
        <v>233</v>
      </c>
      <c r="L98" s="51" t="s">
        <v>22</v>
      </c>
      <c r="M98" s="51" t="s">
        <v>27</v>
      </c>
      <c r="N98" s="29"/>
      <c r="O98" s="29"/>
      <c r="P98" s="32">
        <f t="shared" si="2"/>
        <v>6.246991874522239E-2</v>
      </c>
      <c r="Q98" s="31">
        <f t="shared" si="3"/>
        <v>4413</v>
      </c>
    </row>
    <row r="99" spans="1:17" x14ac:dyDescent="0.3">
      <c r="A99" s="51" t="s">
        <v>309</v>
      </c>
      <c r="B99" s="51" t="s">
        <v>13</v>
      </c>
      <c r="C99" s="74" t="s">
        <v>310</v>
      </c>
      <c r="D99" s="51" t="s">
        <v>49</v>
      </c>
      <c r="E99" s="75" t="s">
        <v>128</v>
      </c>
      <c r="F99" s="52">
        <v>3170</v>
      </c>
      <c r="G99" s="52">
        <v>857</v>
      </c>
      <c r="H99" s="52">
        <v>379</v>
      </c>
      <c r="I99" s="52">
        <v>19020</v>
      </c>
      <c r="J99" s="52">
        <v>18559</v>
      </c>
      <c r="K99" s="52">
        <v>240</v>
      </c>
      <c r="L99" s="76"/>
      <c r="M99" s="51" t="s">
        <v>59</v>
      </c>
      <c r="N99" s="29"/>
      <c r="O99" s="29"/>
      <c r="P99" s="32">
        <f t="shared" si="2"/>
        <v>0.2316508937960042</v>
      </c>
      <c r="Q99" s="31">
        <f t="shared" si="3"/>
        <v>4406</v>
      </c>
    </row>
    <row r="100" spans="1:17" x14ac:dyDescent="0.3">
      <c r="A100" s="51" t="s">
        <v>385</v>
      </c>
      <c r="B100" s="51" t="s">
        <v>40</v>
      </c>
      <c r="C100" s="74" t="s">
        <v>227</v>
      </c>
      <c r="D100" s="51" t="s">
        <v>15</v>
      </c>
      <c r="E100" s="75" t="s">
        <v>62</v>
      </c>
      <c r="F100" s="52">
        <v>3360</v>
      </c>
      <c r="G100" s="52">
        <v>525</v>
      </c>
      <c r="H100" s="52">
        <v>500</v>
      </c>
      <c r="I100" s="52">
        <v>60480</v>
      </c>
      <c r="J100" s="52">
        <v>59610</v>
      </c>
      <c r="K100" s="52">
        <v>192</v>
      </c>
      <c r="L100" s="51" t="s">
        <v>17</v>
      </c>
      <c r="M100" s="51" t="s">
        <v>27</v>
      </c>
      <c r="N100" s="29"/>
      <c r="O100" s="29"/>
      <c r="P100" s="32">
        <f t="shared" si="2"/>
        <v>7.2503306878306875E-2</v>
      </c>
      <c r="Q100" s="31">
        <f t="shared" si="3"/>
        <v>4385</v>
      </c>
    </row>
    <row r="101" spans="1:17" x14ac:dyDescent="0.3">
      <c r="A101" s="51" t="s">
        <v>377</v>
      </c>
      <c r="B101" s="51" t="s">
        <v>13</v>
      </c>
      <c r="C101" s="74" t="s">
        <v>378</v>
      </c>
      <c r="D101" s="51" t="s">
        <v>49</v>
      </c>
      <c r="E101" s="75" t="s">
        <v>128</v>
      </c>
      <c r="F101" s="52">
        <v>3215</v>
      </c>
      <c r="G101" s="52">
        <v>960</v>
      </c>
      <c r="H101" s="52">
        <v>202</v>
      </c>
      <c r="I101" s="52">
        <v>32150</v>
      </c>
      <c r="J101" s="52">
        <v>31404</v>
      </c>
      <c r="K101" s="52">
        <v>251</v>
      </c>
      <c r="L101" s="51" t="s">
        <v>17</v>
      </c>
      <c r="M101" s="51" t="s">
        <v>34</v>
      </c>
      <c r="N101" s="29"/>
      <c r="O101" s="29"/>
      <c r="P101" s="32">
        <f t="shared" si="2"/>
        <v>0.13614307931570763</v>
      </c>
      <c r="Q101" s="31">
        <f t="shared" si="3"/>
        <v>4377</v>
      </c>
    </row>
    <row r="102" spans="1:17" x14ac:dyDescent="0.3">
      <c r="A102" s="51" t="s">
        <v>486</v>
      </c>
      <c r="B102" s="51" t="s">
        <v>30</v>
      </c>
      <c r="C102" s="74" t="s">
        <v>487</v>
      </c>
      <c r="D102" s="51" t="s">
        <v>32</v>
      </c>
      <c r="E102" s="75" t="s">
        <v>33</v>
      </c>
      <c r="F102" s="52">
        <v>3601</v>
      </c>
      <c r="G102" s="52">
        <v>695</v>
      </c>
      <c r="H102" s="52">
        <v>75</v>
      </c>
      <c r="I102" s="52">
        <v>21606</v>
      </c>
      <c r="J102" s="52">
        <v>21454</v>
      </c>
      <c r="K102" s="52">
        <v>172</v>
      </c>
      <c r="L102" s="51" t="s">
        <v>22</v>
      </c>
      <c r="M102" s="51" t="s">
        <v>34</v>
      </c>
      <c r="N102" s="29"/>
      <c r="O102" s="29"/>
      <c r="P102" s="32">
        <f t="shared" si="2"/>
        <v>0.2023049153013052</v>
      </c>
      <c r="Q102" s="31">
        <f t="shared" si="3"/>
        <v>4371</v>
      </c>
    </row>
    <row r="103" spans="1:17" x14ac:dyDescent="0.3">
      <c r="A103" s="51" t="s">
        <v>124</v>
      </c>
      <c r="B103" s="51" t="s">
        <v>40</v>
      </c>
      <c r="C103" s="74" t="s">
        <v>125</v>
      </c>
      <c r="D103" s="51" t="s">
        <v>49</v>
      </c>
      <c r="E103" s="75" t="s">
        <v>56</v>
      </c>
      <c r="F103" s="52">
        <v>3564</v>
      </c>
      <c r="G103" s="52">
        <v>629</v>
      </c>
      <c r="H103" s="52">
        <v>177</v>
      </c>
      <c r="I103" s="52">
        <v>60588</v>
      </c>
      <c r="J103" s="52">
        <v>59627</v>
      </c>
      <c r="K103" s="52">
        <v>92</v>
      </c>
      <c r="L103" s="76"/>
      <c r="M103" s="51" t="s">
        <v>27</v>
      </c>
      <c r="N103" s="29"/>
      <c r="O103" s="29"/>
      <c r="P103" s="32">
        <f t="shared" si="2"/>
        <v>7.2126493695121141E-2</v>
      </c>
      <c r="Q103" s="31">
        <f t="shared" si="3"/>
        <v>4370</v>
      </c>
    </row>
    <row r="104" spans="1:17" x14ac:dyDescent="0.3">
      <c r="A104" s="51" t="s">
        <v>371</v>
      </c>
      <c r="B104" s="51" t="s">
        <v>24</v>
      </c>
      <c r="C104" s="74" t="s">
        <v>353</v>
      </c>
      <c r="D104" s="51" t="s">
        <v>20</v>
      </c>
      <c r="E104" s="75" t="s">
        <v>100</v>
      </c>
      <c r="F104" s="52">
        <v>3711</v>
      </c>
      <c r="G104" s="52">
        <v>352</v>
      </c>
      <c r="H104" s="52">
        <v>290</v>
      </c>
      <c r="I104" s="52">
        <v>48243</v>
      </c>
      <c r="J104" s="52">
        <v>47579</v>
      </c>
      <c r="K104" s="52">
        <v>11</v>
      </c>
      <c r="L104" s="51" t="s">
        <v>17</v>
      </c>
      <c r="M104" s="51" t="s">
        <v>27</v>
      </c>
      <c r="N104" s="29"/>
      <c r="O104" s="29"/>
      <c r="P104" s="32">
        <f t="shared" si="2"/>
        <v>9.023070704558174E-2</v>
      </c>
      <c r="Q104" s="31">
        <f t="shared" si="3"/>
        <v>4353</v>
      </c>
    </row>
    <row r="105" spans="1:17" x14ac:dyDescent="0.3">
      <c r="A105" s="51" t="s">
        <v>272</v>
      </c>
      <c r="B105" s="51" t="s">
        <v>24</v>
      </c>
      <c r="C105" s="74" t="s">
        <v>273</v>
      </c>
      <c r="D105" s="51" t="s">
        <v>15</v>
      </c>
      <c r="E105" s="75" t="s">
        <v>26</v>
      </c>
      <c r="F105" s="52">
        <v>3704</v>
      </c>
      <c r="G105" s="52">
        <v>186</v>
      </c>
      <c r="H105" s="52">
        <v>458</v>
      </c>
      <c r="I105" s="52">
        <v>25928</v>
      </c>
      <c r="J105" s="52">
        <v>25081</v>
      </c>
      <c r="K105" s="52">
        <v>131</v>
      </c>
      <c r="L105" s="76"/>
      <c r="M105" s="51" t="s">
        <v>27</v>
      </c>
      <c r="N105" s="29"/>
      <c r="O105" s="29"/>
      <c r="P105" s="32">
        <f t="shared" si="2"/>
        <v>0.16769515581610614</v>
      </c>
      <c r="Q105" s="31">
        <f t="shared" si="3"/>
        <v>4348</v>
      </c>
    </row>
    <row r="106" spans="1:17" x14ac:dyDescent="0.3">
      <c r="A106" s="51" t="s">
        <v>44</v>
      </c>
      <c r="B106" s="51" t="s">
        <v>13</v>
      </c>
      <c r="C106" s="74" t="s">
        <v>45</v>
      </c>
      <c r="D106" s="51" t="s">
        <v>42</v>
      </c>
      <c r="E106" s="75" t="s">
        <v>46</v>
      </c>
      <c r="F106" s="52">
        <v>3860</v>
      </c>
      <c r="G106" s="52">
        <v>201</v>
      </c>
      <c r="H106" s="52">
        <v>279</v>
      </c>
      <c r="I106" s="52">
        <v>61760</v>
      </c>
      <c r="J106" s="52">
        <v>61660</v>
      </c>
      <c r="K106" s="52">
        <v>235</v>
      </c>
      <c r="L106" s="51" t="s">
        <v>22</v>
      </c>
      <c r="M106" s="51" t="s">
        <v>27</v>
      </c>
      <c r="N106" s="29"/>
      <c r="O106" s="29"/>
      <c r="P106" s="32">
        <f t="shared" si="2"/>
        <v>7.0272020725388601E-2</v>
      </c>
      <c r="Q106" s="31">
        <f t="shared" si="3"/>
        <v>4340</v>
      </c>
    </row>
    <row r="107" spans="1:17" x14ac:dyDescent="0.3">
      <c r="A107" s="51" t="s">
        <v>120</v>
      </c>
      <c r="B107" s="51" t="s">
        <v>40</v>
      </c>
      <c r="C107" s="74" t="s">
        <v>121</v>
      </c>
      <c r="D107" s="51" t="s">
        <v>42</v>
      </c>
      <c r="E107" s="75" t="s">
        <v>43</v>
      </c>
      <c r="F107" s="52">
        <v>3024</v>
      </c>
      <c r="G107" s="52">
        <v>925</v>
      </c>
      <c r="H107" s="52">
        <v>350</v>
      </c>
      <c r="I107" s="52">
        <v>24192</v>
      </c>
      <c r="J107" s="52">
        <v>23518</v>
      </c>
      <c r="K107" s="52">
        <v>36</v>
      </c>
      <c r="L107" s="51" t="s">
        <v>22</v>
      </c>
      <c r="M107" s="51" t="s">
        <v>34</v>
      </c>
      <c r="N107" s="29"/>
      <c r="O107" s="29"/>
      <c r="P107" s="32">
        <f t="shared" si="2"/>
        <v>0.17770337301587302</v>
      </c>
      <c r="Q107" s="31">
        <f t="shared" si="3"/>
        <v>4299</v>
      </c>
    </row>
    <row r="108" spans="1:17" x14ac:dyDescent="0.3">
      <c r="A108" s="51" t="s">
        <v>501</v>
      </c>
      <c r="B108" s="51" t="s">
        <v>13</v>
      </c>
      <c r="C108" s="74" t="s">
        <v>387</v>
      </c>
      <c r="D108" s="51" t="s">
        <v>15</v>
      </c>
      <c r="E108" s="75" t="s">
        <v>16</v>
      </c>
      <c r="F108" s="52">
        <v>4187</v>
      </c>
      <c r="G108" s="52">
        <v>66</v>
      </c>
      <c r="H108" s="52">
        <v>31</v>
      </c>
      <c r="I108" s="52">
        <v>66992</v>
      </c>
      <c r="J108" s="52">
        <v>66614</v>
      </c>
      <c r="K108" s="52">
        <v>62</v>
      </c>
      <c r="L108" s="76"/>
      <c r="M108" s="51" t="s">
        <v>59</v>
      </c>
      <c r="N108" s="29"/>
      <c r="O108" s="29"/>
      <c r="P108" s="32">
        <f t="shared" si="2"/>
        <v>6.3947934081681396E-2</v>
      </c>
      <c r="Q108" s="31">
        <f t="shared" si="3"/>
        <v>4284</v>
      </c>
    </row>
    <row r="109" spans="1:17" x14ac:dyDescent="0.3">
      <c r="A109" s="51" t="s">
        <v>352</v>
      </c>
      <c r="B109" s="51" t="s">
        <v>24</v>
      </c>
      <c r="C109" s="74" t="s">
        <v>353</v>
      </c>
      <c r="D109" s="51" t="s">
        <v>71</v>
      </c>
      <c r="E109" s="75" t="s">
        <v>212</v>
      </c>
      <c r="F109" s="52">
        <v>3809</v>
      </c>
      <c r="G109" s="52">
        <v>273</v>
      </c>
      <c r="H109" s="52">
        <v>200</v>
      </c>
      <c r="I109" s="52">
        <v>34281</v>
      </c>
      <c r="J109" s="52">
        <v>33534</v>
      </c>
      <c r="K109" s="52">
        <v>83</v>
      </c>
      <c r="L109" s="51" t="s">
        <v>17</v>
      </c>
      <c r="M109" s="51" t="s">
        <v>34</v>
      </c>
      <c r="N109" s="29"/>
      <c r="O109" s="29"/>
      <c r="P109" s="32">
        <f t="shared" si="2"/>
        <v>0.12490884163239112</v>
      </c>
      <c r="Q109" s="31">
        <f t="shared" si="3"/>
        <v>4282</v>
      </c>
    </row>
    <row r="110" spans="1:17" x14ac:dyDescent="0.3">
      <c r="A110" s="51" t="s">
        <v>258</v>
      </c>
      <c r="B110" s="51" t="s">
        <v>13</v>
      </c>
      <c r="C110" s="74" t="s">
        <v>259</v>
      </c>
      <c r="D110" s="51" t="s">
        <v>32</v>
      </c>
      <c r="E110" s="75" t="s">
        <v>145</v>
      </c>
      <c r="F110" s="52">
        <v>3649</v>
      </c>
      <c r="G110" s="52">
        <v>215</v>
      </c>
      <c r="H110" s="52">
        <v>413</v>
      </c>
      <c r="I110" s="52">
        <v>25543</v>
      </c>
      <c r="J110" s="52">
        <v>24963</v>
      </c>
      <c r="K110" s="52">
        <v>167</v>
      </c>
      <c r="L110" s="51" t="s">
        <v>28</v>
      </c>
      <c r="M110" s="51" t="s">
        <v>59</v>
      </c>
      <c r="N110" s="29"/>
      <c r="O110" s="29"/>
      <c r="P110" s="32">
        <f t="shared" si="2"/>
        <v>0.16744313510550835</v>
      </c>
      <c r="Q110" s="31">
        <f t="shared" si="3"/>
        <v>4277</v>
      </c>
    </row>
    <row r="111" spans="1:17" x14ac:dyDescent="0.3">
      <c r="A111" s="51" t="s">
        <v>471</v>
      </c>
      <c r="B111" s="51" t="s">
        <v>40</v>
      </c>
      <c r="C111" s="74" t="s">
        <v>472</v>
      </c>
      <c r="D111" s="51" t="s">
        <v>15</v>
      </c>
      <c r="E111" s="75" t="s">
        <v>62</v>
      </c>
      <c r="F111" s="52">
        <v>3960</v>
      </c>
      <c r="G111" s="52">
        <v>266</v>
      </c>
      <c r="H111" s="52">
        <v>8</v>
      </c>
      <c r="I111" s="52">
        <v>35640</v>
      </c>
      <c r="J111" s="52">
        <v>34850</v>
      </c>
      <c r="K111" s="52">
        <v>208</v>
      </c>
      <c r="L111" s="76"/>
      <c r="M111" s="51" t="s">
        <v>59</v>
      </c>
      <c r="N111" s="29" t="s">
        <v>34</v>
      </c>
      <c r="O111" s="29" t="s">
        <v>601</v>
      </c>
      <c r="P111" s="32">
        <f t="shared" si="2"/>
        <v>0.11879910213243547</v>
      </c>
      <c r="Q111" s="31">
        <f t="shared" si="3"/>
        <v>4234</v>
      </c>
    </row>
    <row r="112" spans="1:17" x14ac:dyDescent="0.3">
      <c r="A112" s="51" t="s">
        <v>39</v>
      </c>
      <c r="B112" s="51" t="s">
        <v>40</v>
      </c>
      <c r="C112" s="74" t="s">
        <v>41</v>
      </c>
      <c r="D112" s="51" t="s">
        <v>42</v>
      </c>
      <c r="E112" s="75" t="s">
        <v>43</v>
      </c>
      <c r="F112" s="52">
        <v>2945</v>
      </c>
      <c r="G112" s="52">
        <v>930</v>
      </c>
      <c r="H112" s="52">
        <v>355</v>
      </c>
      <c r="I112" s="52">
        <v>23560</v>
      </c>
      <c r="J112" s="52">
        <v>23275</v>
      </c>
      <c r="K112" s="52">
        <v>256</v>
      </c>
      <c r="L112" s="51" t="s">
        <v>22</v>
      </c>
      <c r="M112" s="51" t="s">
        <v>27</v>
      </c>
      <c r="N112" s="29"/>
      <c r="O112" s="29"/>
      <c r="P112" s="32">
        <f t="shared" si="2"/>
        <v>0.17954159592529711</v>
      </c>
      <c r="Q112" s="31">
        <f t="shared" si="3"/>
        <v>4230</v>
      </c>
    </row>
    <row r="113" spans="1:17" x14ac:dyDescent="0.3">
      <c r="A113" s="51" t="s">
        <v>362</v>
      </c>
      <c r="B113" s="51" t="s">
        <v>40</v>
      </c>
      <c r="C113" s="74" t="s">
        <v>167</v>
      </c>
      <c r="D113" s="51" t="s">
        <v>20</v>
      </c>
      <c r="E113" s="75" t="s">
        <v>53</v>
      </c>
      <c r="F113" s="52">
        <v>3828</v>
      </c>
      <c r="G113" s="52">
        <v>148</v>
      </c>
      <c r="H113" s="52">
        <v>253</v>
      </c>
      <c r="I113" s="52">
        <v>30624</v>
      </c>
      <c r="J113" s="52">
        <v>30229</v>
      </c>
      <c r="K113" s="52">
        <v>235</v>
      </c>
      <c r="L113" s="76"/>
      <c r="M113" s="51" t="s">
        <v>34</v>
      </c>
      <c r="N113" s="29"/>
      <c r="O113" s="29"/>
      <c r="P113" s="32">
        <f t="shared" si="2"/>
        <v>0.13809430512016718</v>
      </c>
      <c r="Q113" s="31">
        <f t="shared" si="3"/>
        <v>4229</v>
      </c>
    </row>
    <row r="114" spans="1:17" x14ac:dyDescent="0.3">
      <c r="A114" s="51" t="s">
        <v>73</v>
      </c>
      <c r="B114" s="51" t="s">
        <v>40</v>
      </c>
      <c r="C114" s="74" t="s">
        <v>74</v>
      </c>
      <c r="D114" s="51" t="s">
        <v>20</v>
      </c>
      <c r="E114" s="75" t="s">
        <v>53</v>
      </c>
      <c r="F114" s="52">
        <v>3452</v>
      </c>
      <c r="G114" s="52">
        <v>377</v>
      </c>
      <c r="H114" s="52">
        <v>360</v>
      </c>
      <c r="I114" s="52">
        <v>55232</v>
      </c>
      <c r="J114" s="52">
        <v>55075</v>
      </c>
      <c r="K114" s="52">
        <v>87</v>
      </c>
      <c r="L114" s="51" t="s">
        <v>28</v>
      </c>
      <c r="M114" s="51" t="s">
        <v>59</v>
      </c>
      <c r="N114" s="29"/>
      <c r="O114" s="29"/>
      <c r="P114" s="32">
        <f t="shared" si="2"/>
        <v>7.5843713789107758E-2</v>
      </c>
      <c r="Q114" s="31">
        <f t="shared" si="3"/>
        <v>4189</v>
      </c>
    </row>
    <row r="115" spans="1:17" x14ac:dyDescent="0.3">
      <c r="A115" s="51" t="s">
        <v>512</v>
      </c>
      <c r="B115" s="51" t="s">
        <v>13</v>
      </c>
      <c r="C115" s="74" t="s">
        <v>327</v>
      </c>
      <c r="D115" s="51" t="s">
        <v>42</v>
      </c>
      <c r="E115" s="75" t="s">
        <v>46</v>
      </c>
      <c r="F115" s="52">
        <v>3535</v>
      </c>
      <c r="G115" s="52">
        <v>494</v>
      </c>
      <c r="H115" s="52">
        <v>152</v>
      </c>
      <c r="I115" s="52">
        <v>53025</v>
      </c>
      <c r="J115" s="52">
        <v>52791</v>
      </c>
      <c r="K115" s="52">
        <v>44</v>
      </c>
      <c r="L115" s="51" t="s">
        <v>35</v>
      </c>
      <c r="M115" s="51" t="s">
        <v>27</v>
      </c>
      <c r="N115" s="29"/>
      <c r="O115" s="29"/>
      <c r="P115" s="32">
        <f t="shared" si="2"/>
        <v>7.8849599245638849E-2</v>
      </c>
      <c r="Q115" s="31">
        <f t="shared" si="3"/>
        <v>4181</v>
      </c>
    </row>
    <row r="116" spans="1:17" x14ac:dyDescent="0.3">
      <c r="A116" s="51" t="s">
        <v>342</v>
      </c>
      <c r="B116" s="51" t="s">
        <v>40</v>
      </c>
      <c r="C116" s="74" t="s">
        <v>343</v>
      </c>
      <c r="D116" s="51" t="s">
        <v>32</v>
      </c>
      <c r="E116" s="75" t="s">
        <v>68</v>
      </c>
      <c r="F116" s="52">
        <v>3430</v>
      </c>
      <c r="G116" s="52">
        <v>566</v>
      </c>
      <c r="H116" s="52">
        <v>164</v>
      </c>
      <c r="I116" s="52">
        <v>48020</v>
      </c>
      <c r="J116" s="52">
        <v>47305</v>
      </c>
      <c r="K116" s="52">
        <v>120</v>
      </c>
      <c r="L116" s="76"/>
      <c r="M116" s="51" t="s">
        <v>59</v>
      </c>
      <c r="N116" s="29"/>
      <c r="O116" s="29"/>
      <c r="P116" s="32">
        <f t="shared" si="2"/>
        <v>8.6630570595585168E-2</v>
      </c>
      <c r="Q116" s="31">
        <f t="shared" si="3"/>
        <v>4160</v>
      </c>
    </row>
    <row r="117" spans="1:17" x14ac:dyDescent="0.3">
      <c r="A117" s="51" t="s">
        <v>408</v>
      </c>
      <c r="B117" s="51" t="s">
        <v>30</v>
      </c>
      <c r="C117" s="74" t="s">
        <v>409</v>
      </c>
      <c r="D117" s="51" t="s">
        <v>42</v>
      </c>
      <c r="E117" s="75" t="s">
        <v>85</v>
      </c>
      <c r="F117" s="52">
        <v>3773</v>
      </c>
      <c r="G117" s="52">
        <v>299</v>
      </c>
      <c r="H117" s="52">
        <v>38</v>
      </c>
      <c r="I117" s="52">
        <v>71687</v>
      </c>
      <c r="J117" s="52">
        <v>71447</v>
      </c>
      <c r="K117" s="52">
        <v>286</v>
      </c>
      <c r="L117" s="51" t="s">
        <v>17</v>
      </c>
      <c r="M117" s="51" t="s">
        <v>59</v>
      </c>
      <c r="N117" s="29"/>
      <c r="O117" s="29"/>
      <c r="P117" s="32">
        <f t="shared" si="2"/>
        <v>5.7332570758993957E-2</v>
      </c>
      <c r="Q117" s="31">
        <f t="shared" si="3"/>
        <v>4110</v>
      </c>
    </row>
    <row r="118" spans="1:17" x14ac:dyDescent="0.3">
      <c r="A118" s="51" t="s">
        <v>365</v>
      </c>
      <c r="B118" s="51" t="s">
        <v>40</v>
      </c>
      <c r="C118" s="74" t="s">
        <v>366</v>
      </c>
      <c r="D118" s="51" t="s">
        <v>71</v>
      </c>
      <c r="E118" s="75" t="s">
        <v>72</v>
      </c>
      <c r="F118" s="52">
        <v>3798</v>
      </c>
      <c r="G118" s="52">
        <v>31</v>
      </c>
      <c r="H118" s="52">
        <v>279</v>
      </c>
      <c r="I118" s="52">
        <v>75960</v>
      </c>
      <c r="J118" s="52">
        <v>75813</v>
      </c>
      <c r="K118" s="52">
        <v>266</v>
      </c>
      <c r="L118" s="51" t="s">
        <v>17</v>
      </c>
      <c r="M118" s="51" t="s">
        <v>27</v>
      </c>
      <c r="N118" s="29"/>
      <c r="O118" s="29"/>
      <c r="P118" s="32">
        <f t="shared" si="2"/>
        <v>5.4081095313322801E-2</v>
      </c>
      <c r="Q118" s="31">
        <f t="shared" si="3"/>
        <v>4108</v>
      </c>
    </row>
    <row r="119" spans="1:17" x14ac:dyDescent="0.3">
      <c r="A119" s="51" t="s">
        <v>506</v>
      </c>
      <c r="B119" s="51" t="s">
        <v>24</v>
      </c>
      <c r="C119" s="74" t="s">
        <v>405</v>
      </c>
      <c r="D119" s="51" t="s">
        <v>15</v>
      </c>
      <c r="E119" s="75" t="s">
        <v>26</v>
      </c>
      <c r="F119" s="52">
        <v>3774</v>
      </c>
      <c r="G119" s="52">
        <v>239</v>
      </c>
      <c r="H119" s="52">
        <v>39</v>
      </c>
      <c r="I119" s="52">
        <v>60384</v>
      </c>
      <c r="J119" s="52">
        <v>59490</v>
      </c>
      <c r="K119" s="52">
        <v>241</v>
      </c>
      <c r="L119" s="51" t="s">
        <v>28</v>
      </c>
      <c r="M119" s="51" t="s">
        <v>27</v>
      </c>
      <c r="N119" s="29"/>
      <c r="O119" s="29"/>
      <c r="P119" s="32">
        <f t="shared" si="2"/>
        <v>6.7103868574456813E-2</v>
      </c>
      <c r="Q119" s="31">
        <f t="shared" si="3"/>
        <v>4052</v>
      </c>
    </row>
    <row r="120" spans="1:17" x14ac:dyDescent="0.3">
      <c r="A120" s="51" t="s">
        <v>246</v>
      </c>
      <c r="B120" s="51" t="s">
        <v>40</v>
      </c>
      <c r="C120" s="74" t="s">
        <v>247</v>
      </c>
      <c r="D120" s="51" t="s">
        <v>49</v>
      </c>
      <c r="E120" s="75" t="s">
        <v>56</v>
      </c>
      <c r="F120" s="52">
        <v>3689</v>
      </c>
      <c r="G120" s="52">
        <v>48</v>
      </c>
      <c r="H120" s="52">
        <v>306</v>
      </c>
      <c r="I120" s="52">
        <v>40579</v>
      </c>
      <c r="J120" s="52">
        <v>39588</v>
      </c>
      <c r="K120" s="52">
        <v>212</v>
      </c>
      <c r="L120" s="51" t="s">
        <v>22</v>
      </c>
      <c r="M120" s="51" t="s">
        <v>34</v>
      </c>
      <c r="N120" s="29"/>
      <c r="O120" s="29"/>
      <c r="P120" s="32">
        <f t="shared" si="2"/>
        <v>9.9632815002833983E-2</v>
      </c>
      <c r="Q120" s="31">
        <f t="shared" si="3"/>
        <v>4043</v>
      </c>
    </row>
    <row r="121" spans="1:17" x14ac:dyDescent="0.3">
      <c r="A121" s="51" t="s">
        <v>116</v>
      </c>
      <c r="B121" s="51" t="s">
        <v>30</v>
      </c>
      <c r="C121" s="74" t="s">
        <v>117</v>
      </c>
      <c r="D121" s="51" t="s">
        <v>71</v>
      </c>
      <c r="E121" s="75" t="s">
        <v>82</v>
      </c>
      <c r="F121" s="52">
        <v>3775</v>
      </c>
      <c r="G121" s="52">
        <v>16</v>
      </c>
      <c r="H121" s="52">
        <v>239</v>
      </c>
      <c r="I121" s="52">
        <v>33975</v>
      </c>
      <c r="J121" s="52">
        <v>33310</v>
      </c>
      <c r="K121" s="52">
        <v>271</v>
      </c>
      <c r="L121" s="51" t="s">
        <v>22</v>
      </c>
      <c r="M121" s="51" t="s">
        <v>59</v>
      </c>
      <c r="N121" s="29"/>
      <c r="O121" s="29"/>
      <c r="P121" s="32">
        <f t="shared" si="2"/>
        <v>0.11861662987490802</v>
      </c>
      <c r="Q121" s="31">
        <f t="shared" si="3"/>
        <v>4030</v>
      </c>
    </row>
    <row r="122" spans="1:17" x14ac:dyDescent="0.3">
      <c r="A122" s="51" t="s">
        <v>297</v>
      </c>
      <c r="B122" s="51" t="s">
        <v>13</v>
      </c>
      <c r="C122" s="74" t="s">
        <v>298</v>
      </c>
      <c r="D122" s="51" t="s">
        <v>15</v>
      </c>
      <c r="E122" s="75" t="s">
        <v>16</v>
      </c>
      <c r="F122" s="52">
        <v>3731</v>
      </c>
      <c r="G122" s="52">
        <v>115</v>
      </c>
      <c r="H122" s="52">
        <v>135</v>
      </c>
      <c r="I122" s="52">
        <v>55965</v>
      </c>
      <c r="J122" s="52">
        <v>55436</v>
      </c>
      <c r="K122" s="52">
        <v>103</v>
      </c>
      <c r="L122" s="51" t="s">
        <v>17</v>
      </c>
      <c r="M122" s="51" t="s">
        <v>27</v>
      </c>
      <c r="N122" s="29"/>
      <c r="O122" s="29"/>
      <c r="P122" s="32">
        <f t="shared" si="2"/>
        <v>7.1133744304476013E-2</v>
      </c>
      <c r="Q122" s="31">
        <f t="shared" si="3"/>
        <v>3981</v>
      </c>
    </row>
    <row r="123" spans="1:17" x14ac:dyDescent="0.3">
      <c r="A123" s="51" t="s">
        <v>317</v>
      </c>
      <c r="B123" s="51" t="s">
        <v>30</v>
      </c>
      <c r="C123" s="74" t="s">
        <v>163</v>
      </c>
      <c r="D123" s="51" t="s">
        <v>15</v>
      </c>
      <c r="E123" s="75" t="s">
        <v>79</v>
      </c>
      <c r="F123" s="52">
        <v>3256</v>
      </c>
      <c r="G123" s="52">
        <v>459</v>
      </c>
      <c r="H123" s="52">
        <v>266</v>
      </c>
      <c r="I123" s="52">
        <v>26048</v>
      </c>
      <c r="J123" s="52">
        <v>25529</v>
      </c>
      <c r="K123" s="52">
        <v>143</v>
      </c>
      <c r="L123" s="51" t="s">
        <v>22</v>
      </c>
      <c r="M123" s="51" t="s">
        <v>27</v>
      </c>
      <c r="N123" s="29"/>
      <c r="O123" s="29"/>
      <c r="P123" s="32">
        <f t="shared" si="2"/>
        <v>0.15283323095823095</v>
      </c>
      <c r="Q123" s="31">
        <f t="shared" si="3"/>
        <v>3981</v>
      </c>
    </row>
    <row r="124" spans="1:17" x14ac:dyDescent="0.3">
      <c r="A124" s="51" t="s">
        <v>315</v>
      </c>
      <c r="B124" s="51" t="s">
        <v>24</v>
      </c>
      <c r="C124" s="74" t="s">
        <v>316</v>
      </c>
      <c r="D124" s="51" t="s">
        <v>15</v>
      </c>
      <c r="E124" s="75" t="s">
        <v>26</v>
      </c>
      <c r="F124" s="52">
        <v>3065</v>
      </c>
      <c r="G124" s="52">
        <v>772</v>
      </c>
      <c r="H124" s="52">
        <v>142</v>
      </c>
      <c r="I124" s="52">
        <v>18390</v>
      </c>
      <c r="J124" s="52">
        <v>17875</v>
      </c>
      <c r="K124" s="52">
        <v>200</v>
      </c>
      <c r="L124" s="76"/>
      <c r="M124" s="51" t="s">
        <v>34</v>
      </c>
      <c r="N124" s="29" t="s">
        <v>600</v>
      </c>
      <c r="O124" s="29"/>
      <c r="P124" s="32">
        <f t="shared" si="2"/>
        <v>0.21636759108210984</v>
      </c>
      <c r="Q124" s="31">
        <f t="shared" si="3"/>
        <v>3979</v>
      </c>
    </row>
    <row r="125" spans="1:17" x14ac:dyDescent="0.3">
      <c r="A125" s="51" t="s">
        <v>446</v>
      </c>
      <c r="B125" s="51" t="s">
        <v>40</v>
      </c>
      <c r="C125" s="74" t="s">
        <v>308</v>
      </c>
      <c r="D125" s="51" t="s">
        <v>15</v>
      </c>
      <c r="E125" s="75" t="s">
        <v>62</v>
      </c>
      <c r="F125" s="52">
        <v>3663</v>
      </c>
      <c r="G125" s="52">
        <v>17</v>
      </c>
      <c r="H125" s="52">
        <v>295</v>
      </c>
      <c r="I125" s="52">
        <v>51282</v>
      </c>
      <c r="J125" s="52">
        <v>50567</v>
      </c>
      <c r="K125" s="52">
        <v>84</v>
      </c>
      <c r="L125" s="51" t="s">
        <v>28</v>
      </c>
      <c r="M125" s="51" t="s">
        <v>34</v>
      </c>
      <c r="N125" s="29"/>
      <c r="O125" s="29"/>
      <c r="P125" s="32">
        <f t="shared" si="2"/>
        <v>7.7512577512577507E-2</v>
      </c>
      <c r="Q125" s="31">
        <f t="shared" si="3"/>
        <v>3975</v>
      </c>
    </row>
    <row r="126" spans="1:17" x14ac:dyDescent="0.3">
      <c r="A126" s="51" t="s">
        <v>367</v>
      </c>
      <c r="B126" s="51" t="s">
        <v>30</v>
      </c>
      <c r="C126" s="74" t="s">
        <v>368</v>
      </c>
      <c r="D126" s="51" t="s">
        <v>42</v>
      </c>
      <c r="E126" s="75" t="s">
        <v>85</v>
      </c>
      <c r="F126" s="52">
        <v>3099</v>
      </c>
      <c r="G126" s="52">
        <v>694</v>
      </c>
      <c r="H126" s="52">
        <v>171</v>
      </c>
      <c r="I126" s="52">
        <v>43386</v>
      </c>
      <c r="J126" s="52">
        <v>42921</v>
      </c>
      <c r="K126" s="52">
        <v>52</v>
      </c>
      <c r="L126" s="51" t="s">
        <v>28</v>
      </c>
      <c r="M126" s="51" t="s">
        <v>27</v>
      </c>
      <c r="N126" s="29"/>
      <c r="O126" s="29"/>
      <c r="P126" s="32">
        <f t="shared" si="2"/>
        <v>9.1365878393951966E-2</v>
      </c>
      <c r="Q126" s="31">
        <f t="shared" si="3"/>
        <v>3964</v>
      </c>
    </row>
    <row r="127" spans="1:17" x14ac:dyDescent="0.3">
      <c r="A127" s="51" t="s">
        <v>529</v>
      </c>
      <c r="B127" s="51" t="s">
        <v>24</v>
      </c>
      <c r="C127" s="74" t="s">
        <v>530</v>
      </c>
      <c r="D127" s="51" t="s">
        <v>71</v>
      </c>
      <c r="E127" s="75" t="s">
        <v>212</v>
      </c>
      <c r="F127" s="52">
        <v>3389</v>
      </c>
      <c r="G127" s="52">
        <v>344</v>
      </c>
      <c r="H127" s="52">
        <v>229</v>
      </c>
      <c r="I127" s="52">
        <v>20334</v>
      </c>
      <c r="J127" s="52">
        <v>19443</v>
      </c>
      <c r="K127" s="52">
        <v>228</v>
      </c>
      <c r="L127" s="51" t="s">
        <v>28</v>
      </c>
      <c r="M127" s="51" t="s">
        <v>59</v>
      </c>
      <c r="N127" s="29"/>
      <c r="O127" s="29"/>
      <c r="P127" s="32">
        <f t="shared" si="2"/>
        <v>0.19484607062063539</v>
      </c>
      <c r="Q127" s="31">
        <f t="shared" si="3"/>
        <v>3962</v>
      </c>
    </row>
    <row r="128" spans="1:17" x14ac:dyDescent="0.3">
      <c r="A128" s="51" t="s">
        <v>485</v>
      </c>
      <c r="B128" s="51" t="s">
        <v>40</v>
      </c>
      <c r="C128" s="74" t="s">
        <v>284</v>
      </c>
      <c r="D128" s="51" t="s">
        <v>49</v>
      </c>
      <c r="E128" s="75" t="s">
        <v>56</v>
      </c>
      <c r="F128" s="52">
        <v>3090</v>
      </c>
      <c r="G128" s="52">
        <v>697</v>
      </c>
      <c r="H128" s="52">
        <v>164</v>
      </c>
      <c r="I128" s="52">
        <v>49440</v>
      </c>
      <c r="J128" s="52">
        <v>48524</v>
      </c>
      <c r="K128" s="52">
        <v>25</v>
      </c>
      <c r="L128" s="51" t="s">
        <v>22</v>
      </c>
      <c r="M128" s="51" t="s">
        <v>34</v>
      </c>
      <c r="N128" s="29" t="s">
        <v>34</v>
      </c>
      <c r="O128" s="29" t="s">
        <v>601</v>
      </c>
      <c r="P128" s="32">
        <f t="shared" si="2"/>
        <v>7.9915048543689318E-2</v>
      </c>
      <c r="Q128" s="31">
        <f t="shared" si="3"/>
        <v>3951</v>
      </c>
    </row>
    <row r="129" spans="1:17" x14ac:dyDescent="0.3">
      <c r="A129" s="51" t="s">
        <v>510</v>
      </c>
      <c r="B129" s="51" t="s">
        <v>24</v>
      </c>
      <c r="C129" s="74" t="s">
        <v>511</v>
      </c>
      <c r="D129" s="51" t="s">
        <v>32</v>
      </c>
      <c r="E129" s="75" t="s">
        <v>150</v>
      </c>
      <c r="F129" s="52">
        <v>3641</v>
      </c>
      <c r="G129" s="52">
        <v>226</v>
      </c>
      <c r="H129" s="52">
        <v>46</v>
      </c>
      <c r="I129" s="52">
        <v>40051</v>
      </c>
      <c r="J129" s="52">
        <v>39319</v>
      </c>
      <c r="K129" s="52">
        <v>296</v>
      </c>
      <c r="L129" s="51" t="s">
        <v>35</v>
      </c>
      <c r="M129" s="51" t="s">
        <v>34</v>
      </c>
      <c r="N129" s="29"/>
      <c r="O129" s="29"/>
      <c r="P129" s="32">
        <f t="shared" si="2"/>
        <v>9.7700431949264685E-2</v>
      </c>
      <c r="Q129" s="31">
        <f t="shared" si="3"/>
        <v>3913</v>
      </c>
    </row>
    <row r="130" spans="1:17" x14ac:dyDescent="0.3">
      <c r="A130" s="51" t="s">
        <v>323</v>
      </c>
      <c r="B130" s="51" t="s">
        <v>30</v>
      </c>
      <c r="C130" s="74" t="s">
        <v>180</v>
      </c>
      <c r="D130" s="51" t="s">
        <v>49</v>
      </c>
      <c r="E130" s="75" t="s">
        <v>209</v>
      </c>
      <c r="F130" s="52">
        <v>3559</v>
      </c>
      <c r="G130" s="52">
        <v>59</v>
      </c>
      <c r="H130" s="52">
        <v>289</v>
      </c>
      <c r="I130" s="52">
        <v>35590</v>
      </c>
      <c r="J130" s="52">
        <v>35105</v>
      </c>
      <c r="K130" s="52">
        <v>122</v>
      </c>
      <c r="L130" s="51" t="s">
        <v>17</v>
      </c>
      <c r="M130" s="51" t="s">
        <v>34</v>
      </c>
      <c r="N130" s="29"/>
      <c r="O130" s="29"/>
      <c r="P130" s="32">
        <f t="shared" ref="P130:P193" si="4">(F130+G130+H130)/I130</f>
        <v>0.10977802753582468</v>
      </c>
      <c r="Q130" s="31">
        <f t="shared" ref="Q130:Q193" si="5">F130+G130+H130</f>
        <v>3907</v>
      </c>
    </row>
    <row r="131" spans="1:17" x14ac:dyDescent="0.3">
      <c r="A131" s="51" t="s">
        <v>232</v>
      </c>
      <c r="B131" s="51" t="s">
        <v>30</v>
      </c>
      <c r="C131" s="74" t="s">
        <v>233</v>
      </c>
      <c r="D131" s="51" t="s">
        <v>20</v>
      </c>
      <c r="E131" s="75" t="s">
        <v>109</v>
      </c>
      <c r="F131" s="52">
        <v>3182</v>
      </c>
      <c r="G131" s="52">
        <v>559</v>
      </c>
      <c r="H131" s="52">
        <v>160</v>
      </c>
      <c r="I131" s="52">
        <v>57276</v>
      </c>
      <c r="J131" s="52">
        <v>56890</v>
      </c>
      <c r="K131" s="52">
        <v>163</v>
      </c>
      <c r="L131" s="51" t="s">
        <v>35</v>
      </c>
      <c r="M131" s="51" t="s">
        <v>59</v>
      </c>
      <c r="N131" s="29"/>
      <c r="O131" s="29"/>
      <c r="P131" s="32">
        <f t="shared" si="4"/>
        <v>6.8108806480899509E-2</v>
      </c>
      <c r="Q131" s="31">
        <f t="shared" si="5"/>
        <v>3901</v>
      </c>
    </row>
    <row r="132" spans="1:17" x14ac:dyDescent="0.3">
      <c r="A132" s="51" t="s">
        <v>415</v>
      </c>
      <c r="B132" s="51" t="s">
        <v>24</v>
      </c>
      <c r="C132" s="74" t="s">
        <v>45</v>
      </c>
      <c r="D132" s="51" t="s">
        <v>71</v>
      </c>
      <c r="E132" s="75" t="s">
        <v>212</v>
      </c>
      <c r="F132" s="52">
        <v>2949</v>
      </c>
      <c r="G132" s="52">
        <v>476</v>
      </c>
      <c r="H132" s="52">
        <v>403</v>
      </c>
      <c r="I132" s="52">
        <v>44235</v>
      </c>
      <c r="J132" s="52">
        <v>43705</v>
      </c>
      <c r="K132" s="52">
        <v>135</v>
      </c>
      <c r="L132" s="51" t="s">
        <v>22</v>
      </c>
      <c r="M132" s="51" t="s">
        <v>27</v>
      </c>
      <c r="N132" s="29"/>
      <c r="O132" s="29"/>
      <c r="P132" s="32">
        <f t="shared" si="4"/>
        <v>8.6537809426924378E-2</v>
      </c>
      <c r="Q132" s="31">
        <f t="shared" si="5"/>
        <v>3828</v>
      </c>
    </row>
    <row r="133" spans="1:17" x14ac:dyDescent="0.3">
      <c r="A133" s="51" t="s">
        <v>216</v>
      </c>
      <c r="B133" s="51" t="s">
        <v>24</v>
      </c>
      <c r="C133" s="74" t="s">
        <v>217</v>
      </c>
      <c r="D133" s="51" t="s">
        <v>20</v>
      </c>
      <c r="E133" s="75" t="s">
        <v>100</v>
      </c>
      <c r="F133" s="52">
        <v>3428</v>
      </c>
      <c r="G133" s="52">
        <v>305</v>
      </c>
      <c r="H133" s="52">
        <v>85</v>
      </c>
      <c r="I133" s="52">
        <v>58276</v>
      </c>
      <c r="J133" s="52">
        <v>58052</v>
      </c>
      <c r="K133" s="52">
        <v>242</v>
      </c>
      <c r="L133" s="51" t="s">
        <v>35</v>
      </c>
      <c r="M133" s="51" t="s">
        <v>34</v>
      </c>
      <c r="N133" s="29" t="s">
        <v>601</v>
      </c>
      <c r="O133" s="29"/>
      <c r="P133" s="32">
        <f t="shared" si="4"/>
        <v>6.5515821264328367E-2</v>
      </c>
      <c r="Q133" s="31">
        <f t="shared" si="5"/>
        <v>3818</v>
      </c>
    </row>
    <row r="134" spans="1:17" x14ac:dyDescent="0.3">
      <c r="A134" s="51" t="s">
        <v>160</v>
      </c>
      <c r="B134" s="51" t="s">
        <v>40</v>
      </c>
      <c r="C134" s="74" t="s">
        <v>161</v>
      </c>
      <c r="D134" s="51" t="s">
        <v>42</v>
      </c>
      <c r="E134" s="75" t="s">
        <v>43</v>
      </c>
      <c r="F134" s="52">
        <v>2946</v>
      </c>
      <c r="G134" s="52">
        <v>498</v>
      </c>
      <c r="H134" s="52">
        <v>367</v>
      </c>
      <c r="I134" s="52">
        <v>29460</v>
      </c>
      <c r="J134" s="52">
        <v>28527</v>
      </c>
      <c r="K134" s="52">
        <v>60</v>
      </c>
      <c r="L134" s="51" t="s">
        <v>28</v>
      </c>
      <c r="M134" s="51" t="s">
        <v>59</v>
      </c>
      <c r="N134" s="29"/>
      <c r="O134" s="29"/>
      <c r="P134" s="32">
        <f t="shared" si="4"/>
        <v>0.12936184657162253</v>
      </c>
      <c r="Q134" s="31">
        <f t="shared" si="5"/>
        <v>3811</v>
      </c>
    </row>
    <row r="135" spans="1:17" x14ac:dyDescent="0.3">
      <c r="A135" s="51" t="s">
        <v>137</v>
      </c>
      <c r="B135" s="51" t="s">
        <v>40</v>
      </c>
      <c r="C135" s="74" t="s">
        <v>138</v>
      </c>
      <c r="D135" s="51" t="s">
        <v>71</v>
      </c>
      <c r="E135" s="75" t="s">
        <v>72</v>
      </c>
      <c r="F135" s="52">
        <v>3371</v>
      </c>
      <c r="G135" s="52">
        <v>106</v>
      </c>
      <c r="H135" s="52">
        <v>327</v>
      </c>
      <c r="I135" s="52">
        <v>50565</v>
      </c>
      <c r="J135" s="52">
        <v>49816</v>
      </c>
      <c r="K135" s="52">
        <v>176</v>
      </c>
      <c r="L135" s="51" t="s">
        <v>17</v>
      </c>
      <c r="M135" s="51" t="s">
        <v>59</v>
      </c>
      <c r="N135" s="29"/>
      <c r="O135" s="29"/>
      <c r="P135" s="32">
        <f t="shared" si="4"/>
        <v>7.5229902106199939E-2</v>
      </c>
      <c r="Q135" s="31">
        <f t="shared" si="5"/>
        <v>3804</v>
      </c>
    </row>
    <row r="136" spans="1:17" x14ac:dyDescent="0.3">
      <c r="A136" s="51" t="s">
        <v>358</v>
      </c>
      <c r="B136" s="51" t="s">
        <v>40</v>
      </c>
      <c r="C136" s="74" t="s">
        <v>359</v>
      </c>
      <c r="D136" s="51" t="s">
        <v>42</v>
      </c>
      <c r="E136" s="75" t="s">
        <v>43</v>
      </c>
      <c r="F136" s="52">
        <v>3073</v>
      </c>
      <c r="G136" s="52">
        <v>553</v>
      </c>
      <c r="H136" s="52">
        <v>174</v>
      </c>
      <c r="I136" s="52">
        <v>52241</v>
      </c>
      <c r="J136" s="52">
        <v>51605</v>
      </c>
      <c r="K136" s="52">
        <v>246</v>
      </c>
      <c r="L136" s="51" t="s">
        <v>28</v>
      </c>
      <c r="M136" s="51" t="s">
        <v>34</v>
      </c>
      <c r="N136" s="29"/>
      <c r="O136" s="29"/>
      <c r="P136" s="32">
        <f t="shared" si="4"/>
        <v>7.2739802071170159E-2</v>
      </c>
      <c r="Q136" s="31">
        <f t="shared" si="5"/>
        <v>3800</v>
      </c>
    </row>
    <row r="137" spans="1:17" x14ac:dyDescent="0.3">
      <c r="A137" s="51" t="s">
        <v>96</v>
      </c>
      <c r="B137" s="51" t="s">
        <v>24</v>
      </c>
      <c r="C137" s="74" t="s">
        <v>97</v>
      </c>
      <c r="D137" s="51" t="s">
        <v>15</v>
      </c>
      <c r="E137" s="75" t="s">
        <v>26</v>
      </c>
      <c r="F137" s="52">
        <v>3009</v>
      </c>
      <c r="G137" s="52">
        <v>413</v>
      </c>
      <c r="H137" s="52">
        <v>358</v>
      </c>
      <c r="I137" s="52">
        <v>42126</v>
      </c>
      <c r="J137" s="52">
        <v>41309</v>
      </c>
      <c r="K137" s="52">
        <v>211</v>
      </c>
      <c r="L137" s="51" t="s">
        <v>22</v>
      </c>
      <c r="M137" s="51" t="s">
        <v>59</v>
      </c>
      <c r="N137" s="29"/>
      <c r="O137" s="29"/>
      <c r="P137" s="32">
        <f t="shared" si="4"/>
        <v>8.9730807577268201E-2</v>
      </c>
      <c r="Q137" s="31">
        <f t="shared" si="5"/>
        <v>3780</v>
      </c>
    </row>
    <row r="138" spans="1:17" x14ac:dyDescent="0.3">
      <c r="A138" s="51" t="s">
        <v>422</v>
      </c>
      <c r="B138" s="51" t="s">
        <v>40</v>
      </c>
      <c r="C138" s="74" t="s">
        <v>423</v>
      </c>
      <c r="D138" s="51" t="s">
        <v>42</v>
      </c>
      <c r="E138" s="75" t="s">
        <v>43</v>
      </c>
      <c r="F138" s="52">
        <v>2696</v>
      </c>
      <c r="G138" s="52">
        <v>628</v>
      </c>
      <c r="H138" s="52">
        <v>443</v>
      </c>
      <c r="I138" s="52">
        <v>45832</v>
      </c>
      <c r="J138" s="52">
        <v>45632</v>
      </c>
      <c r="K138" s="52">
        <v>248</v>
      </c>
      <c r="L138" s="51" t="s">
        <v>35</v>
      </c>
      <c r="M138" s="51" t="s">
        <v>34</v>
      </c>
      <c r="N138" s="29"/>
      <c r="O138" s="29"/>
      <c r="P138" s="32">
        <f t="shared" si="4"/>
        <v>8.21914819340199E-2</v>
      </c>
      <c r="Q138" s="31">
        <f t="shared" si="5"/>
        <v>3767</v>
      </c>
    </row>
    <row r="139" spans="1:17" x14ac:dyDescent="0.3">
      <c r="A139" s="51" t="s">
        <v>435</v>
      </c>
      <c r="B139" s="51" t="s">
        <v>13</v>
      </c>
      <c r="C139" s="74" t="s">
        <v>351</v>
      </c>
      <c r="D139" s="51" t="s">
        <v>49</v>
      </c>
      <c r="E139" s="75" t="s">
        <v>128</v>
      </c>
      <c r="F139" s="52">
        <v>3338</v>
      </c>
      <c r="G139" s="52">
        <v>277</v>
      </c>
      <c r="H139" s="52">
        <v>118</v>
      </c>
      <c r="I139" s="52">
        <v>60084</v>
      </c>
      <c r="J139" s="52">
        <v>59842</v>
      </c>
      <c r="K139" s="52">
        <v>252</v>
      </c>
      <c r="L139" s="76"/>
      <c r="M139" s="51" t="s">
        <v>27</v>
      </c>
      <c r="N139" s="29"/>
      <c r="O139" s="29"/>
      <c r="P139" s="32">
        <f t="shared" si="4"/>
        <v>6.2129685107516146E-2</v>
      </c>
      <c r="Q139" s="31">
        <f t="shared" si="5"/>
        <v>3733</v>
      </c>
    </row>
    <row r="140" spans="1:17" x14ac:dyDescent="0.3">
      <c r="A140" s="51" t="s">
        <v>525</v>
      </c>
      <c r="B140" s="51" t="s">
        <v>13</v>
      </c>
      <c r="C140" s="74" t="s">
        <v>526</v>
      </c>
      <c r="D140" s="51" t="s">
        <v>15</v>
      </c>
      <c r="E140" s="75" t="s">
        <v>16</v>
      </c>
      <c r="F140" s="52">
        <v>3367</v>
      </c>
      <c r="G140" s="52">
        <v>302</v>
      </c>
      <c r="H140" s="52">
        <v>57</v>
      </c>
      <c r="I140" s="52">
        <v>63973</v>
      </c>
      <c r="J140" s="52">
        <v>63789</v>
      </c>
      <c r="K140" s="52">
        <v>157</v>
      </c>
      <c r="L140" s="51" t="s">
        <v>22</v>
      </c>
      <c r="M140" s="51" t="s">
        <v>59</v>
      </c>
      <c r="N140" s="29"/>
      <c r="O140" s="29"/>
      <c r="P140" s="32">
        <f t="shared" si="4"/>
        <v>5.8243321401216137E-2</v>
      </c>
      <c r="Q140" s="31">
        <f t="shared" si="5"/>
        <v>3726</v>
      </c>
    </row>
    <row r="141" spans="1:17" x14ac:dyDescent="0.3">
      <c r="A141" s="51" t="s">
        <v>77</v>
      </c>
      <c r="B141" s="51" t="s">
        <v>30</v>
      </c>
      <c r="C141" s="74" t="s">
        <v>78</v>
      </c>
      <c r="D141" s="51" t="s">
        <v>15</v>
      </c>
      <c r="E141" s="75" t="s">
        <v>79</v>
      </c>
      <c r="F141" s="52">
        <v>3000</v>
      </c>
      <c r="G141" s="52">
        <v>382</v>
      </c>
      <c r="H141" s="52">
        <v>325</v>
      </c>
      <c r="I141" s="52">
        <v>36000</v>
      </c>
      <c r="J141" s="52">
        <v>35819</v>
      </c>
      <c r="K141" s="52">
        <v>19</v>
      </c>
      <c r="L141" s="51" t="s">
        <v>17</v>
      </c>
      <c r="M141" s="51" t="s">
        <v>59</v>
      </c>
      <c r="N141" s="29"/>
      <c r="O141" s="29"/>
      <c r="P141" s="32">
        <f t="shared" si="4"/>
        <v>0.10297222222222223</v>
      </c>
      <c r="Q141" s="31">
        <f t="shared" si="5"/>
        <v>3707</v>
      </c>
    </row>
    <row r="142" spans="1:17" x14ac:dyDescent="0.3">
      <c r="A142" s="51" t="s">
        <v>188</v>
      </c>
      <c r="B142" s="51" t="s">
        <v>24</v>
      </c>
      <c r="C142" s="74" t="s">
        <v>189</v>
      </c>
      <c r="D142" s="51" t="s">
        <v>42</v>
      </c>
      <c r="E142" s="75" t="s">
        <v>65</v>
      </c>
      <c r="F142" s="52">
        <v>2551</v>
      </c>
      <c r="G142" s="52">
        <v>915</v>
      </c>
      <c r="H142" s="52">
        <v>205</v>
      </c>
      <c r="I142" s="52">
        <v>30612</v>
      </c>
      <c r="J142" s="52">
        <v>30360</v>
      </c>
      <c r="K142" s="52">
        <v>227</v>
      </c>
      <c r="L142" s="51" t="s">
        <v>22</v>
      </c>
      <c r="M142" s="51" t="s">
        <v>27</v>
      </c>
      <c r="N142" s="29"/>
      <c r="O142" s="29"/>
      <c r="P142" s="32">
        <f t="shared" si="4"/>
        <v>0.1199202926956749</v>
      </c>
      <c r="Q142" s="31">
        <f t="shared" si="5"/>
        <v>3671</v>
      </c>
    </row>
    <row r="143" spans="1:17" x14ac:dyDescent="0.3">
      <c r="A143" s="51" t="s">
        <v>416</v>
      </c>
      <c r="B143" s="51" t="s">
        <v>13</v>
      </c>
      <c r="C143" s="74" t="s">
        <v>417</v>
      </c>
      <c r="D143" s="51" t="s">
        <v>71</v>
      </c>
      <c r="E143" s="75" t="s">
        <v>141</v>
      </c>
      <c r="F143" s="52">
        <v>3160</v>
      </c>
      <c r="G143" s="52">
        <v>204</v>
      </c>
      <c r="H143" s="52">
        <v>297</v>
      </c>
      <c r="I143" s="52">
        <v>44240</v>
      </c>
      <c r="J143" s="52">
        <v>43666</v>
      </c>
      <c r="K143" s="52">
        <v>49</v>
      </c>
      <c r="L143" s="51" t="s">
        <v>35</v>
      </c>
      <c r="M143" s="51" t="s">
        <v>59</v>
      </c>
      <c r="N143" s="29" t="s">
        <v>600</v>
      </c>
      <c r="O143" s="29"/>
      <c r="P143" s="32">
        <f t="shared" si="4"/>
        <v>8.2753164556962022E-2</v>
      </c>
      <c r="Q143" s="31">
        <f t="shared" si="5"/>
        <v>3661</v>
      </c>
    </row>
    <row r="144" spans="1:17" x14ac:dyDescent="0.3">
      <c r="A144" s="51" t="s">
        <v>162</v>
      </c>
      <c r="B144" s="51" t="s">
        <v>13</v>
      </c>
      <c r="C144" s="74" t="s">
        <v>163</v>
      </c>
      <c r="D144" s="51" t="s">
        <v>71</v>
      </c>
      <c r="E144" s="75" t="s">
        <v>141</v>
      </c>
      <c r="F144" s="52">
        <v>2825</v>
      </c>
      <c r="G144" s="52">
        <v>535</v>
      </c>
      <c r="H144" s="52">
        <v>295</v>
      </c>
      <c r="I144" s="52">
        <v>45200</v>
      </c>
      <c r="J144" s="52">
        <v>44739</v>
      </c>
      <c r="K144" s="52">
        <v>169</v>
      </c>
      <c r="L144" s="51" t="s">
        <v>17</v>
      </c>
      <c r="M144" s="51" t="s">
        <v>27</v>
      </c>
      <c r="N144" s="29"/>
      <c r="O144" s="29"/>
      <c r="P144" s="32">
        <f t="shared" si="4"/>
        <v>8.0862831858407078E-2</v>
      </c>
      <c r="Q144" s="31">
        <f t="shared" si="5"/>
        <v>3655</v>
      </c>
    </row>
    <row r="145" spans="1:17" x14ac:dyDescent="0.3">
      <c r="A145" s="51" t="s">
        <v>142</v>
      </c>
      <c r="B145" s="51" t="s">
        <v>13</v>
      </c>
      <c r="C145" s="74" t="s">
        <v>143</v>
      </c>
      <c r="D145" s="51" t="s">
        <v>42</v>
      </c>
      <c r="E145" s="75" t="s">
        <v>46</v>
      </c>
      <c r="F145" s="52">
        <v>2704</v>
      </c>
      <c r="G145" s="52">
        <v>752</v>
      </c>
      <c r="H145" s="52">
        <v>153</v>
      </c>
      <c r="I145" s="52">
        <v>21632</v>
      </c>
      <c r="J145" s="52">
        <v>20792</v>
      </c>
      <c r="K145" s="52">
        <v>127</v>
      </c>
      <c r="L145" s="76"/>
      <c r="M145" s="51" t="s">
        <v>59</v>
      </c>
      <c r="N145" s="29"/>
      <c r="O145" s="29"/>
      <c r="P145" s="32">
        <f t="shared" si="4"/>
        <v>0.16683616863905326</v>
      </c>
      <c r="Q145" s="31">
        <f t="shared" si="5"/>
        <v>3609</v>
      </c>
    </row>
    <row r="146" spans="1:17" x14ac:dyDescent="0.3">
      <c r="A146" s="51" t="s">
        <v>540</v>
      </c>
      <c r="B146" s="51" t="s">
        <v>40</v>
      </c>
      <c r="C146" s="74" t="s">
        <v>541</v>
      </c>
      <c r="D146" s="51" t="s">
        <v>20</v>
      </c>
      <c r="E146" s="75" t="s">
        <v>53</v>
      </c>
      <c r="F146" s="52">
        <v>2634</v>
      </c>
      <c r="G146" s="52">
        <v>726</v>
      </c>
      <c r="H146" s="52">
        <v>241</v>
      </c>
      <c r="I146" s="52">
        <v>28974</v>
      </c>
      <c r="J146" s="52">
        <v>28102</v>
      </c>
      <c r="K146" s="52">
        <v>277</v>
      </c>
      <c r="L146" s="51" t="s">
        <v>17</v>
      </c>
      <c r="M146" s="51" t="s">
        <v>34</v>
      </c>
      <c r="N146" s="29"/>
      <c r="O146" s="29"/>
      <c r="P146" s="32">
        <f t="shared" si="4"/>
        <v>0.12428384068475185</v>
      </c>
      <c r="Q146" s="31">
        <f t="shared" si="5"/>
        <v>3601</v>
      </c>
    </row>
    <row r="147" spans="1:17" x14ac:dyDescent="0.3">
      <c r="A147" s="51" t="s">
        <v>521</v>
      </c>
      <c r="B147" s="51" t="s">
        <v>24</v>
      </c>
      <c r="C147" s="74" t="s">
        <v>522</v>
      </c>
      <c r="D147" s="51" t="s">
        <v>49</v>
      </c>
      <c r="E147" s="75" t="s">
        <v>50</v>
      </c>
      <c r="F147" s="52">
        <v>3166</v>
      </c>
      <c r="G147" s="52">
        <v>90</v>
      </c>
      <c r="H147" s="52">
        <v>341</v>
      </c>
      <c r="I147" s="52">
        <v>56988</v>
      </c>
      <c r="J147" s="52">
        <v>56125</v>
      </c>
      <c r="K147" s="52">
        <v>135</v>
      </c>
      <c r="L147" s="51" t="s">
        <v>22</v>
      </c>
      <c r="M147" s="51" t="s">
        <v>34</v>
      </c>
      <c r="N147" s="29"/>
      <c r="O147" s="29"/>
      <c r="P147" s="32">
        <f t="shared" si="4"/>
        <v>6.3118551273952411E-2</v>
      </c>
      <c r="Q147" s="31">
        <f t="shared" si="5"/>
        <v>3597</v>
      </c>
    </row>
    <row r="148" spans="1:17" x14ac:dyDescent="0.3">
      <c r="A148" s="51" t="s">
        <v>122</v>
      </c>
      <c r="B148" s="51" t="s">
        <v>24</v>
      </c>
      <c r="C148" s="74" t="s">
        <v>123</v>
      </c>
      <c r="D148" s="51" t="s">
        <v>15</v>
      </c>
      <c r="E148" s="75" t="s">
        <v>26</v>
      </c>
      <c r="F148" s="52">
        <v>3138</v>
      </c>
      <c r="G148" s="52">
        <v>123</v>
      </c>
      <c r="H148" s="52">
        <v>291</v>
      </c>
      <c r="I148" s="52">
        <v>28242</v>
      </c>
      <c r="J148" s="52">
        <v>27550</v>
      </c>
      <c r="K148" s="52">
        <v>87</v>
      </c>
      <c r="L148" s="51" t="s">
        <v>35</v>
      </c>
      <c r="M148" s="51" t="s">
        <v>27</v>
      </c>
      <c r="N148" s="29"/>
      <c r="O148" s="29"/>
      <c r="P148" s="32">
        <f t="shared" si="4"/>
        <v>0.12577012959422137</v>
      </c>
      <c r="Q148" s="31">
        <f t="shared" si="5"/>
        <v>3552</v>
      </c>
    </row>
    <row r="149" spans="1:17" x14ac:dyDescent="0.3">
      <c r="A149" s="51" t="s">
        <v>175</v>
      </c>
      <c r="B149" s="51" t="s">
        <v>40</v>
      </c>
      <c r="C149" s="74" t="s">
        <v>176</v>
      </c>
      <c r="D149" s="51" t="s">
        <v>49</v>
      </c>
      <c r="E149" s="75" t="s">
        <v>56</v>
      </c>
      <c r="F149" s="52">
        <v>2878</v>
      </c>
      <c r="G149" s="52">
        <v>248</v>
      </c>
      <c r="H149" s="52">
        <v>416</v>
      </c>
      <c r="I149" s="52">
        <v>43170</v>
      </c>
      <c r="J149" s="52">
        <v>42667</v>
      </c>
      <c r="K149" s="52">
        <v>75</v>
      </c>
      <c r="L149" s="51" t="s">
        <v>28</v>
      </c>
      <c r="M149" s="51" t="s">
        <v>59</v>
      </c>
      <c r="N149" s="29"/>
      <c r="O149" s="29"/>
      <c r="P149" s="32">
        <f t="shared" si="4"/>
        <v>8.2047718322909427E-2</v>
      </c>
      <c r="Q149" s="31">
        <f t="shared" si="5"/>
        <v>3542</v>
      </c>
    </row>
    <row r="150" spans="1:17" x14ac:dyDescent="0.3">
      <c r="A150" s="51" t="s">
        <v>94</v>
      </c>
      <c r="B150" s="51" t="s">
        <v>13</v>
      </c>
      <c r="C150" s="74" t="s">
        <v>95</v>
      </c>
      <c r="D150" s="51" t="s">
        <v>42</v>
      </c>
      <c r="E150" s="75" t="s">
        <v>46</v>
      </c>
      <c r="F150" s="52">
        <v>3128</v>
      </c>
      <c r="G150" s="52">
        <v>211</v>
      </c>
      <c r="H150" s="52">
        <v>197</v>
      </c>
      <c r="I150" s="52">
        <v>59432</v>
      </c>
      <c r="J150" s="52">
        <v>59182</v>
      </c>
      <c r="K150" s="52">
        <v>238</v>
      </c>
      <c r="L150" s="76"/>
      <c r="M150" s="51" t="s">
        <v>34</v>
      </c>
      <c r="N150" s="29"/>
      <c r="O150" s="29"/>
      <c r="P150" s="32">
        <f t="shared" si="4"/>
        <v>5.9496567505720827E-2</v>
      </c>
      <c r="Q150" s="31">
        <f t="shared" si="5"/>
        <v>3536</v>
      </c>
    </row>
    <row r="151" spans="1:17" x14ac:dyDescent="0.3">
      <c r="A151" s="51" t="s">
        <v>202</v>
      </c>
      <c r="B151" s="51" t="s">
        <v>30</v>
      </c>
      <c r="C151" s="74" t="s">
        <v>203</v>
      </c>
      <c r="D151" s="51" t="s">
        <v>42</v>
      </c>
      <c r="E151" s="75" t="s">
        <v>85</v>
      </c>
      <c r="F151" s="52">
        <v>3068</v>
      </c>
      <c r="G151" s="52">
        <v>137</v>
      </c>
      <c r="H151" s="52">
        <v>329</v>
      </c>
      <c r="I151" s="52">
        <v>39884</v>
      </c>
      <c r="J151" s="52">
        <v>39404</v>
      </c>
      <c r="K151" s="52">
        <v>266</v>
      </c>
      <c r="L151" s="51" t="s">
        <v>22</v>
      </c>
      <c r="M151" s="51" t="s">
        <v>34</v>
      </c>
      <c r="N151" s="29"/>
      <c r="O151" s="29"/>
      <c r="P151" s="32">
        <f t="shared" si="4"/>
        <v>8.860696018453515E-2</v>
      </c>
      <c r="Q151" s="31">
        <f t="shared" si="5"/>
        <v>3534</v>
      </c>
    </row>
    <row r="152" spans="1:17" x14ac:dyDescent="0.3">
      <c r="A152" s="51" t="s">
        <v>494</v>
      </c>
      <c r="B152" s="51" t="s">
        <v>30</v>
      </c>
      <c r="C152" s="74" t="s">
        <v>495</v>
      </c>
      <c r="D152" s="51" t="s">
        <v>15</v>
      </c>
      <c r="E152" s="75" t="s">
        <v>79</v>
      </c>
      <c r="F152" s="52">
        <v>2603</v>
      </c>
      <c r="G152" s="52">
        <v>690</v>
      </c>
      <c r="H152" s="52">
        <v>205</v>
      </c>
      <c r="I152" s="52">
        <v>13015</v>
      </c>
      <c r="J152" s="52">
        <v>12130</v>
      </c>
      <c r="K152" s="52">
        <v>20</v>
      </c>
      <c r="L152" s="51" t="s">
        <v>22</v>
      </c>
      <c r="M152" s="51" t="s">
        <v>59</v>
      </c>
      <c r="N152" s="29"/>
      <c r="O152" s="29"/>
      <c r="P152" s="32">
        <f t="shared" si="4"/>
        <v>0.26876680752977333</v>
      </c>
      <c r="Q152" s="31">
        <f t="shared" si="5"/>
        <v>3498</v>
      </c>
    </row>
    <row r="153" spans="1:17" x14ac:dyDescent="0.3">
      <c r="A153" s="51" t="s">
        <v>347</v>
      </c>
      <c r="B153" s="51" t="s">
        <v>13</v>
      </c>
      <c r="C153" s="74" t="s">
        <v>230</v>
      </c>
      <c r="D153" s="51" t="s">
        <v>20</v>
      </c>
      <c r="E153" s="75" t="s">
        <v>21</v>
      </c>
      <c r="F153" s="52">
        <v>3239</v>
      </c>
      <c r="G153" s="52">
        <v>43</v>
      </c>
      <c r="H153" s="52">
        <v>211</v>
      </c>
      <c r="I153" s="52">
        <v>22673</v>
      </c>
      <c r="J153" s="52">
        <v>22171</v>
      </c>
      <c r="K153" s="52">
        <v>230</v>
      </c>
      <c r="L153" s="51" t="s">
        <v>22</v>
      </c>
      <c r="M153" s="51" t="s">
        <v>27</v>
      </c>
      <c r="N153" s="29"/>
      <c r="O153" s="29"/>
      <c r="P153" s="32">
        <f t="shared" si="4"/>
        <v>0.15405989502933004</v>
      </c>
      <c r="Q153" s="31">
        <f t="shared" si="5"/>
        <v>3493</v>
      </c>
    </row>
    <row r="154" spans="1:17" x14ac:dyDescent="0.3">
      <c r="A154" s="51" t="s">
        <v>289</v>
      </c>
      <c r="B154" s="51" t="s">
        <v>13</v>
      </c>
      <c r="C154" s="74" t="s">
        <v>223</v>
      </c>
      <c r="D154" s="51" t="s">
        <v>49</v>
      </c>
      <c r="E154" s="75" t="s">
        <v>128</v>
      </c>
      <c r="F154" s="52">
        <v>3092</v>
      </c>
      <c r="G154" s="52">
        <v>106</v>
      </c>
      <c r="H154" s="52">
        <v>291</v>
      </c>
      <c r="I154" s="52">
        <v>27828</v>
      </c>
      <c r="J154" s="52">
        <v>27217</v>
      </c>
      <c r="K154" s="52">
        <v>102</v>
      </c>
      <c r="L154" s="76"/>
      <c r="M154" s="51" t="s">
        <v>59</v>
      </c>
      <c r="N154" s="29"/>
      <c r="O154" s="29"/>
      <c r="P154" s="32">
        <f t="shared" si="4"/>
        <v>0.12537731780940059</v>
      </c>
      <c r="Q154" s="31">
        <f t="shared" si="5"/>
        <v>3489</v>
      </c>
    </row>
    <row r="155" spans="1:17" x14ac:dyDescent="0.3">
      <c r="A155" s="51" t="s">
        <v>135</v>
      </c>
      <c r="B155" s="51" t="s">
        <v>13</v>
      </c>
      <c r="C155" s="74" t="s">
        <v>136</v>
      </c>
      <c r="D155" s="51" t="s">
        <v>49</v>
      </c>
      <c r="E155" s="75" t="s">
        <v>128</v>
      </c>
      <c r="F155" s="52">
        <v>2358</v>
      </c>
      <c r="G155" s="52">
        <v>784</v>
      </c>
      <c r="H155" s="52">
        <v>344</v>
      </c>
      <c r="I155" s="52">
        <v>35370</v>
      </c>
      <c r="J155" s="52">
        <v>34475</v>
      </c>
      <c r="K155" s="52">
        <v>216</v>
      </c>
      <c r="L155" s="76"/>
      <c r="M155" s="51" t="s">
        <v>27</v>
      </c>
      <c r="N155" s="29"/>
      <c r="O155" s="29"/>
      <c r="P155" s="32">
        <f t="shared" si="4"/>
        <v>9.8558100084817649E-2</v>
      </c>
      <c r="Q155" s="31">
        <f t="shared" si="5"/>
        <v>3486</v>
      </c>
    </row>
    <row r="156" spans="1:17" x14ac:dyDescent="0.3">
      <c r="A156" s="51" t="s">
        <v>384</v>
      </c>
      <c r="B156" s="51" t="s">
        <v>24</v>
      </c>
      <c r="C156" s="74" t="s">
        <v>219</v>
      </c>
      <c r="D156" s="51" t="s">
        <v>15</v>
      </c>
      <c r="E156" s="75" t="s">
        <v>26</v>
      </c>
      <c r="F156" s="52">
        <v>2728</v>
      </c>
      <c r="G156" s="52">
        <v>533</v>
      </c>
      <c r="H156" s="52">
        <v>215</v>
      </c>
      <c r="I156" s="52">
        <v>40920</v>
      </c>
      <c r="J156" s="52">
        <v>40816</v>
      </c>
      <c r="K156" s="52">
        <v>137</v>
      </c>
      <c r="L156" s="51" t="s">
        <v>22</v>
      </c>
      <c r="M156" s="51" t="s">
        <v>59</v>
      </c>
      <c r="N156" s="29"/>
      <c r="O156" s="29"/>
      <c r="P156" s="32">
        <f t="shared" si="4"/>
        <v>8.4946236559139784E-2</v>
      </c>
      <c r="Q156" s="31">
        <f t="shared" si="5"/>
        <v>3476</v>
      </c>
    </row>
    <row r="157" spans="1:17" x14ac:dyDescent="0.3">
      <c r="A157" s="51" t="s">
        <v>545</v>
      </c>
      <c r="B157" s="51" t="s">
        <v>13</v>
      </c>
      <c r="C157" s="74" t="s">
        <v>546</v>
      </c>
      <c r="D157" s="51" t="s">
        <v>71</v>
      </c>
      <c r="E157" s="75" t="s">
        <v>141</v>
      </c>
      <c r="F157" s="52">
        <v>3440</v>
      </c>
      <c r="G157" s="52">
        <v>13</v>
      </c>
      <c r="H157" s="52">
        <v>20</v>
      </c>
      <c r="I157" s="52">
        <v>58480</v>
      </c>
      <c r="J157" s="52">
        <v>58146</v>
      </c>
      <c r="K157" s="52">
        <v>210</v>
      </c>
      <c r="L157" s="51" t="s">
        <v>35</v>
      </c>
      <c r="M157" s="51" t="s">
        <v>27</v>
      </c>
      <c r="N157" s="29" t="s">
        <v>592</v>
      </c>
      <c r="O157" s="29"/>
      <c r="P157" s="32">
        <f t="shared" si="4"/>
        <v>5.9387824897400819E-2</v>
      </c>
      <c r="Q157" s="31">
        <f t="shared" si="5"/>
        <v>3473</v>
      </c>
    </row>
    <row r="158" spans="1:17" x14ac:dyDescent="0.3">
      <c r="A158" s="51" t="s">
        <v>291</v>
      </c>
      <c r="B158" s="51" t="s">
        <v>24</v>
      </c>
      <c r="C158" s="74" t="s">
        <v>292</v>
      </c>
      <c r="D158" s="51" t="s">
        <v>15</v>
      </c>
      <c r="E158" s="75" t="s">
        <v>26</v>
      </c>
      <c r="F158" s="52">
        <v>2936</v>
      </c>
      <c r="G158" s="52">
        <v>439</v>
      </c>
      <c r="H158" s="52">
        <v>44</v>
      </c>
      <c r="I158" s="52">
        <v>38168</v>
      </c>
      <c r="J158" s="52">
        <v>37571</v>
      </c>
      <c r="K158" s="52">
        <v>22</v>
      </c>
      <c r="L158" s="51" t="s">
        <v>35</v>
      </c>
      <c r="M158" s="51" t="s">
        <v>34</v>
      </c>
      <c r="N158" s="29"/>
      <c r="O158" s="29"/>
      <c r="P158" s="32">
        <f t="shared" si="4"/>
        <v>8.9577656675749323E-2</v>
      </c>
      <c r="Q158" s="31">
        <f t="shared" si="5"/>
        <v>3419</v>
      </c>
    </row>
    <row r="159" spans="1:17" x14ac:dyDescent="0.3">
      <c r="A159" s="51" t="s">
        <v>410</v>
      </c>
      <c r="B159" s="51" t="s">
        <v>30</v>
      </c>
      <c r="C159" s="74" t="s">
        <v>327</v>
      </c>
      <c r="D159" s="51" t="s">
        <v>42</v>
      </c>
      <c r="E159" s="75" t="s">
        <v>85</v>
      </c>
      <c r="F159" s="52">
        <v>2234</v>
      </c>
      <c r="G159" s="52">
        <v>653</v>
      </c>
      <c r="H159" s="52">
        <v>432</v>
      </c>
      <c r="I159" s="52">
        <v>11170</v>
      </c>
      <c r="J159" s="52">
        <v>10569</v>
      </c>
      <c r="K159" s="52">
        <v>198</v>
      </c>
      <c r="L159" s="51" t="s">
        <v>28</v>
      </c>
      <c r="M159" s="51" t="s">
        <v>59</v>
      </c>
      <c r="N159" s="29"/>
      <c r="O159" s="29"/>
      <c r="P159" s="32">
        <f t="shared" si="4"/>
        <v>0.29713518352730528</v>
      </c>
      <c r="Q159" s="31">
        <f t="shared" si="5"/>
        <v>3319</v>
      </c>
    </row>
    <row r="160" spans="1:17" x14ac:dyDescent="0.3">
      <c r="A160" s="51" t="s">
        <v>350</v>
      </c>
      <c r="B160" s="51" t="s">
        <v>40</v>
      </c>
      <c r="C160" s="74" t="s">
        <v>351</v>
      </c>
      <c r="D160" s="51" t="s">
        <v>20</v>
      </c>
      <c r="E160" s="75" t="s">
        <v>53</v>
      </c>
      <c r="F160" s="52">
        <v>2418</v>
      </c>
      <c r="G160" s="52">
        <v>754</v>
      </c>
      <c r="H160" s="52">
        <v>54</v>
      </c>
      <c r="I160" s="52">
        <v>43524</v>
      </c>
      <c r="J160" s="52">
        <v>42743</v>
      </c>
      <c r="K160" s="52">
        <v>182</v>
      </c>
      <c r="L160" s="51" t="s">
        <v>17</v>
      </c>
      <c r="M160" s="51" t="s">
        <v>34</v>
      </c>
      <c r="N160" s="29"/>
      <c r="O160" s="29"/>
      <c r="P160" s="32">
        <f t="shared" si="4"/>
        <v>7.412002573292896E-2</v>
      </c>
      <c r="Q160" s="31">
        <f t="shared" si="5"/>
        <v>3226</v>
      </c>
    </row>
    <row r="161" spans="1:17" x14ac:dyDescent="0.3">
      <c r="A161" s="51" t="s">
        <v>550</v>
      </c>
      <c r="B161" s="51" t="s">
        <v>40</v>
      </c>
      <c r="C161" s="74" t="s">
        <v>74</v>
      </c>
      <c r="D161" s="51" t="s">
        <v>49</v>
      </c>
      <c r="E161" s="75" t="s">
        <v>56</v>
      </c>
      <c r="F161" s="52">
        <v>2581</v>
      </c>
      <c r="G161" s="52">
        <v>517</v>
      </c>
      <c r="H161" s="52">
        <v>117</v>
      </c>
      <c r="I161" s="52">
        <v>23229</v>
      </c>
      <c r="J161" s="52">
        <v>22331</v>
      </c>
      <c r="K161" s="52">
        <v>70</v>
      </c>
      <c r="L161" s="51" t="s">
        <v>28</v>
      </c>
      <c r="M161" s="51" t="s">
        <v>59</v>
      </c>
      <c r="N161" s="29"/>
      <c r="O161" s="29"/>
      <c r="P161" s="32">
        <f t="shared" si="4"/>
        <v>0.13840458048129492</v>
      </c>
      <c r="Q161" s="31">
        <f t="shared" si="5"/>
        <v>3215</v>
      </c>
    </row>
    <row r="162" spans="1:17" x14ac:dyDescent="0.3">
      <c r="A162" s="51" t="s">
        <v>534</v>
      </c>
      <c r="B162" s="51" t="s">
        <v>40</v>
      </c>
      <c r="C162" s="74" t="s">
        <v>300</v>
      </c>
      <c r="D162" s="51" t="s">
        <v>42</v>
      </c>
      <c r="E162" s="75" t="s">
        <v>43</v>
      </c>
      <c r="F162" s="52">
        <v>2751</v>
      </c>
      <c r="G162" s="52">
        <v>33</v>
      </c>
      <c r="H162" s="52">
        <v>430</v>
      </c>
      <c r="I162" s="52">
        <v>44016</v>
      </c>
      <c r="J162" s="52">
        <v>43415</v>
      </c>
      <c r="K162" s="52">
        <v>129</v>
      </c>
      <c r="L162" s="76"/>
      <c r="M162" s="51" t="s">
        <v>59</v>
      </c>
      <c r="N162" s="29"/>
      <c r="O162" s="29"/>
      <c r="P162" s="32">
        <f t="shared" si="4"/>
        <v>7.3018902217375503E-2</v>
      </c>
      <c r="Q162" s="31">
        <f t="shared" si="5"/>
        <v>3214</v>
      </c>
    </row>
    <row r="163" spans="1:17" x14ac:dyDescent="0.3">
      <c r="A163" s="51" t="s">
        <v>105</v>
      </c>
      <c r="B163" s="51" t="s">
        <v>30</v>
      </c>
      <c r="C163" s="74" t="s">
        <v>106</v>
      </c>
      <c r="D163" s="51" t="s">
        <v>71</v>
      </c>
      <c r="E163" s="75" t="s">
        <v>82</v>
      </c>
      <c r="F163" s="52">
        <v>3095</v>
      </c>
      <c r="G163" s="52">
        <v>39</v>
      </c>
      <c r="H163" s="52">
        <v>78</v>
      </c>
      <c r="I163" s="52">
        <v>55710</v>
      </c>
      <c r="J163" s="52">
        <v>54808</v>
      </c>
      <c r="K163" s="52">
        <v>93</v>
      </c>
      <c r="L163" s="76"/>
      <c r="M163" s="51" t="s">
        <v>34</v>
      </c>
      <c r="N163" s="29"/>
      <c r="O163" s="29"/>
      <c r="P163" s="32">
        <f t="shared" si="4"/>
        <v>5.7655717106444085E-2</v>
      </c>
      <c r="Q163" s="31">
        <f t="shared" si="5"/>
        <v>3212</v>
      </c>
    </row>
    <row r="164" spans="1:17" x14ac:dyDescent="0.3">
      <c r="A164" s="51" t="s">
        <v>303</v>
      </c>
      <c r="B164" s="51" t="s">
        <v>40</v>
      </c>
      <c r="C164" s="74" t="s">
        <v>111</v>
      </c>
      <c r="D164" s="51" t="s">
        <v>71</v>
      </c>
      <c r="E164" s="75" t="s">
        <v>72</v>
      </c>
      <c r="F164" s="52">
        <v>3008</v>
      </c>
      <c r="G164" s="52">
        <v>94</v>
      </c>
      <c r="H164" s="52">
        <v>37</v>
      </c>
      <c r="I164" s="52">
        <v>15040</v>
      </c>
      <c r="J164" s="52">
        <v>14639</v>
      </c>
      <c r="K164" s="52">
        <v>277</v>
      </c>
      <c r="L164" s="76"/>
      <c r="M164" s="51" t="s">
        <v>59</v>
      </c>
      <c r="N164" s="29"/>
      <c r="O164" s="29"/>
      <c r="P164" s="32">
        <f t="shared" si="4"/>
        <v>0.20871010638297871</v>
      </c>
      <c r="Q164" s="31">
        <f t="shared" si="5"/>
        <v>3139</v>
      </c>
    </row>
    <row r="165" spans="1:17" x14ac:dyDescent="0.3">
      <c r="A165" s="51" t="s">
        <v>277</v>
      </c>
      <c r="B165" s="51" t="s">
        <v>30</v>
      </c>
      <c r="C165" s="74" t="s">
        <v>278</v>
      </c>
      <c r="D165" s="51" t="s">
        <v>15</v>
      </c>
      <c r="E165" s="75" t="s">
        <v>79</v>
      </c>
      <c r="F165" s="52">
        <v>1970</v>
      </c>
      <c r="G165" s="52">
        <v>675</v>
      </c>
      <c r="H165" s="52">
        <v>478</v>
      </c>
      <c r="I165" s="52">
        <v>9850</v>
      </c>
      <c r="J165" s="52">
        <v>8924</v>
      </c>
      <c r="K165" s="52">
        <v>117</v>
      </c>
      <c r="L165" s="76"/>
      <c r="M165" s="51" t="s">
        <v>59</v>
      </c>
      <c r="N165" s="29"/>
      <c r="O165" s="29"/>
      <c r="P165" s="32">
        <f t="shared" si="4"/>
        <v>0.31705583756345179</v>
      </c>
      <c r="Q165" s="31">
        <f t="shared" si="5"/>
        <v>3123</v>
      </c>
    </row>
    <row r="166" spans="1:17" x14ac:dyDescent="0.3">
      <c r="A166" s="51" t="s">
        <v>231</v>
      </c>
      <c r="B166" s="51" t="s">
        <v>30</v>
      </c>
      <c r="C166" s="74" t="s">
        <v>199</v>
      </c>
      <c r="D166" s="51" t="s">
        <v>49</v>
      </c>
      <c r="E166" s="75" t="s">
        <v>209</v>
      </c>
      <c r="F166" s="52">
        <v>2647</v>
      </c>
      <c r="G166" s="52">
        <v>304</v>
      </c>
      <c r="H166" s="52">
        <v>170</v>
      </c>
      <c r="I166" s="52">
        <v>18529</v>
      </c>
      <c r="J166" s="52">
        <v>17841</v>
      </c>
      <c r="K166" s="52">
        <v>46</v>
      </c>
      <c r="L166" s="51" t="s">
        <v>28</v>
      </c>
      <c r="M166" s="51" t="s">
        <v>59</v>
      </c>
      <c r="N166" s="29"/>
      <c r="O166" s="29"/>
      <c r="P166" s="32">
        <f t="shared" si="4"/>
        <v>0.16843866371633656</v>
      </c>
      <c r="Q166" s="31">
        <f t="shared" si="5"/>
        <v>3121</v>
      </c>
    </row>
    <row r="167" spans="1:17" x14ac:dyDescent="0.3">
      <c r="A167" s="51" t="s">
        <v>305</v>
      </c>
      <c r="B167" s="51" t="s">
        <v>24</v>
      </c>
      <c r="C167" s="74" t="s">
        <v>306</v>
      </c>
      <c r="D167" s="51" t="s">
        <v>20</v>
      </c>
      <c r="E167" s="75" t="s">
        <v>100</v>
      </c>
      <c r="F167" s="52">
        <v>2746</v>
      </c>
      <c r="G167" s="52">
        <v>156</v>
      </c>
      <c r="H167" s="52">
        <v>203</v>
      </c>
      <c r="I167" s="52">
        <v>32952</v>
      </c>
      <c r="J167" s="52">
        <v>32147</v>
      </c>
      <c r="K167" s="52">
        <v>147</v>
      </c>
      <c r="L167" s="51" t="s">
        <v>17</v>
      </c>
      <c r="M167" s="51" t="s">
        <v>34</v>
      </c>
      <c r="N167" s="29"/>
      <c r="O167" s="29"/>
      <c r="P167" s="32">
        <f t="shared" si="4"/>
        <v>9.422796795338674E-2</v>
      </c>
      <c r="Q167" s="31">
        <f t="shared" si="5"/>
        <v>3105</v>
      </c>
    </row>
    <row r="168" spans="1:17" x14ac:dyDescent="0.3">
      <c r="A168" s="51" t="s">
        <v>204</v>
      </c>
      <c r="B168" s="51" t="s">
        <v>30</v>
      </c>
      <c r="C168" s="74" t="s">
        <v>152</v>
      </c>
      <c r="D168" s="51" t="s">
        <v>32</v>
      </c>
      <c r="E168" s="75" t="s">
        <v>33</v>
      </c>
      <c r="F168" s="52">
        <v>2103</v>
      </c>
      <c r="G168" s="52">
        <v>892</v>
      </c>
      <c r="H168" s="52">
        <v>103</v>
      </c>
      <c r="I168" s="52">
        <v>39957</v>
      </c>
      <c r="J168" s="52">
        <v>39466</v>
      </c>
      <c r="K168" s="52">
        <v>28</v>
      </c>
      <c r="L168" s="76"/>
      <c r="M168" s="51" t="s">
        <v>59</v>
      </c>
      <c r="N168" s="29"/>
      <c r="O168" s="29"/>
      <c r="P168" s="32">
        <f t="shared" si="4"/>
        <v>7.7533348349475686E-2</v>
      </c>
      <c r="Q168" s="31">
        <f t="shared" si="5"/>
        <v>3098</v>
      </c>
    </row>
    <row r="169" spans="1:17" x14ac:dyDescent="0.3">
      <c r="A169" s="51" t="s">
        <v>264</v>
      </c>
      <c r="B169" s="51" t="s">
        <v>13</v>
      </c>
      <c r="C169" s="74" t="s">
        <v>265</v>
      </c>
      <c r="D169" s="51" t="s">
        <v>32</v>
      </c>
      <c r="E169" s="75" t="s">
        <v>145</v>
      </c>
      <c r="F169" s="52">
        <v>1957</v>
      </c>
      <c r="G169" s="52">
        <v>877</v>
      </c>
      <c r="H169" s="52">
        <v>238</v>
      </c>
      <c r="I169" s="52">
        <v>17613</v>
      </c>
      <c r="J169" s="52">
        <v>16865</v>
      </c>
      <c r="K169" s="52">
        <v>297</v>
      </c>
      <c r="L169" s="51" t="s">
        <v>28</v>
      </c>
      <c r="M169" s="51" t="s">
        <v>59</v>
      </c>
      <c r="N169" s="29"/>
      <c r="O169" s="29"/>
      <c r="P169" s="32">
        <f t="shared" si="4"/>
        <v>0.17441662408448305</v>
      </c>
      <c r="Q169" s="31">
        <f t="shared" si="5"/>
        <v>3072</v>
      </c>
    </row>
    <row r="170" spans="1:17" x14ac:dyDescent="0.3">
      <c r="A170" s="51" t="s">
        <v>156</v>
      </c>
      <c r="B170" s="51" t="s">
        <v>24</v>
      </c>
      <c r="C170" s="74" t="s">
        <v>157</v>
      </c>
      <c r="D170" s="51" t="s">
        <v>42</v>
      </c>
      <c r="E170" s="75" t="s">
        <v>65</v>
      </c>
      <c r="F170" s="52">
        <v>1686</v>
      </c>
      <c r="G170" s="52">
        <v>904</v>
      </c>
      <c r="H170" s="52">
        <v>472</v>
      </c>
      <c r="I170" s="52">
        <v>18546</v>
      </c>
      <c r="J170" s="52">
        <v>18171</v>
      </c>
      <c r="K170" s="52">
        <v>52</v>
      </c>
      <c r="L170" s="51" t="s">
        <v>22</v>
      </c>
      <c r="M170" s="51" t="s">
        <v>59</v>
      </c>
      <c r="N170" s="29"/>
      <c r="O170" s="29"/>
      <c r="P170" s="32">
        <f t="shared" si="4"/>
        <v>0.16510298716704411</v>
      </c>
      <c r="Q170" s="31">
        <f t="shared" si="5"/>
        <v>3062</v>
      </c>
    </row>
    <row r="171" spans="1:17" x14ac:dyDescent="0.3">
      <c r="A171" s="51" t="s">
        <v>213</v>
      </c>
      <c r="B171" s="51" t="s">
        <v>40</v>
      </c>
      <c r="C171" s="74" t="s">
        <v>214</v>
      </c>
      <c r="D171" s="51" t="s">
        <v>49</v>
      </c>
      <c r="E171" s="75" t="s">
        <v>56</v>
      </c>
      <c r="F171" s="52">
        <v>1841</v>
      </c>
      <c r="G171" s="52">
        <v>851</v>
      </c>
      <c r="H171" s="52">
        <v>342</v>
      </c>
      <c r="I171" s="52">
        <v>34979</v>
      </c>
      <c r="J171" s="52">
        <v>34154</v>
      </c>
      <c r="K171" s="52">
        <v>255</v>
      </c>
      <c r="L171" s="51" t="s">
        <v>35</v>
      </c>
      <c r="M171" s="51" t="s">
        <v>59</v>
      </c>
      <c r="N171" s="29"/>
      <c r="O171" s="29"/>
      <c r="P171" s="32">
        <f t="shared" si="4"/>
        <v>8.6737756939878216E-2</v>
      </c>
      <c r="Q171" s="31">
        <f t="shared" si="5"/>
        <v>3034</v>
      </c>
    </row>
    <row r="172" spans="1:17" x14ac:dyDescent="0.3">
      <c r="A172" s="51" t="s">
        <v>183</v>
      </c>
      <c r="B172" s="51" t="s">
        <v>30</v>
      </c>
      <c r="C172" s="74" t="s">
        <v>184</v>
      </c>
      <c r="D172" s="51" t="s">
        <v>32</v>
      </c>
      <c r="E172" s="75" t="s">
        <v>33</v>
      </c>
      <c r="F172" s="52">
        <v>2610</v>
      </c>
      <c r="G172" s="52">
        <v>126</v>
      </c>
      <c r="H172" s="52">
        <v>288</v>
      </c>
      <c r="I172" s="52">
        <v>15660</v>
      </c>
      <c r="J172" s="52">
        <v>15145</v>
      </c>
      <c r="K172" s="52">
        <v>73</v>
      </c>
      <c r="L172" s="76"/>
      <c r="M172" s="51" t="s">
        <v>34</v>
      </c>
      <c r="N172" s="29"/>
      <c r="O172" s="29"/>
      <c r="P172" s="32">
        <f t="shared" si="4"/>
        <v>0.19310344827586207</v>
      </c>
      <c r="Q172" s="31">
        <f t="shared" si="5"/>
        <v>3024</v>
      </c>
    </row>
    <row r="173" spans="1:17" x14ac:dyDescent="0.3">
      <c r="A173" s="51" t="s">
        <v>262</v>
      </c>
      <c r="B173" s="51" t="s">
        <v>24</v>
      </c>
      <c r="C173" s="74" t="s">
        <v>263</v>
      </c>
      <c r="D173" s="51" t="s">
        <v>49</v>
      </c>
      <c r="E173" s="75" t="s">
        <v>50</v>
      </c>
      <c r="F173" s="52">
        <v>2719</v>
      </c>
      <c r="G173" s="52">
        <v>17</v>
      </c>
      <c r="H173" s="52">
        <v>285</v>
      </c>
      <c r="I173" s="52">
        <v>40785</v>
      </c>
      <c r="J173" s="52">
        <v>40281</v>
      </c>
      <c r="K173" s="52">
        <v>40</v>
      </c>
      <c r="L173" s="51" t="s">
        <v>22</v>
      </c>
      <c r="M173" s="51" t="s">
        <v>27</v>
      </c>
      <c r="N173" s="29"/>
      <c r="O173" s="29"/>
      <c r="P173" s="32">
        <f t="shared" si="4"/>
        <v>7.4071349760941527E-2</v>
      </c>
      <c r="Q173" s="31">
        <f t="shared" si="5"/>
        <v>3021</v>
      </c>
    </row>
    <row r="174" spans="1:17" x14ac:dyDescent="0.3">
      <c r="A174" s="51" t="s">
        <v>60</v>
      </c>
      <c r="B174" s="51" t="s">
        <v>40</v>
      </c>
      <c r="C174" s="74" t="s">
        <v>61</v>
      </c>
      <c r="D174" s="51" t="s">
        <v>15</v>
      </c>
      <c r="E174" s="75" t="s">
        <v>62</v>
      </c>
      <c r="F174" s="52">
        <v>1946</v>
      </c>
      <c r="G174" s="52">
        <v>686</v>
      </c>
      <c r="H174" s="52">
        <v>377</v>
      </c>
      <c r="I174" s="52">
        <v>23352</v>
      </c>
      <c r="J174" s="52">
        <v>22982</v>
      </c>
      <c r="K174" s="52">
        <v>213</v>
      </c>
      <c r="L174" s="51" t="s">
        <v>28</v>
      </c>
      <c r="M174" s="51" t="s">
        <v>59</v>
      </c>
      <c r="N174" s="29"/>
      <c r="O174" s="29"/>
      <c r="P174" s="32">
        <f t="shared" si="4"/>
        <v>0.12885405960945528</v>
      </c>
      <c r="Q174" s="31">
        <f t="shared" si="5"/>
        <v>3009</v>
      </c>
    </row>
    <row r="175" spans="1:17" x14ac:dyDescent="0.3">
      <c r="A175" s="51" t="s">
        <v>535</v>
      </c>
      <c r="B175" s="51" t="s">
        <v>30</v>
      </c>
      <c r="C175" s="74" t="s">
        <v>536</v>
      </c>
      <c r="D175" s="51" t="s">
        <v>42</v>
      </c>
      <c r="E175" s="75" t="s">
        <v>85</v>
      </c>
      <c r="F175" s="52">
        <v>2107</v>
      </c>
      <c r="G175" s="52">
        <v>550</v>
      </c>
      <c r="H175" s="52">
        <v>349</v>
      </c>
      <c r="I175" s="52">
        <v>35819</v>
      </c>
      <c r="J175" s="52">
        <v>35340</v>
      </c>
      <c r="K175" s="52">
        <v>191</v>
      </c>
      <c r="L175" s="51" t="s">
        <v>35</v>
      </c>
      <c r="M175" s="51" t="s">
        <v>34</v>
      </c>
      <c r="N175" s="29"/>
      <c r="O175" s="29"/>
      <c r="P175" s="32">
        <f t="shared" si="4"/>
        <v>8.3921940869371006E-2</v>
      </c>
      <c r="Q175" s="31">
        <f t="shared" si="5"/>
        <v>3006</v>
      </c>
    </row>
    <row r="176" spans="1:17" x14ac:dyDescent="0.3">
      <c r="A176" s="51" t="s">
        <v>401</v>
      </c>
      <c r="B176" s="51" t="s">
        <v>24</v>
      </c>
      <c r="C176" s="74" t="s">
        <v>117</v>
      </c>
      <c r="D176" s="51" t="s">
        <v>42</v>
      </c>
      <c r="E176" s="75" t="s">
        <v>65</v>
      </c>
      <c r="F176" s="52">
        <v>2509</v>
      </c>
      <c r="G176" s="52">
        <v>324</v>
      </c>
      <c r="H176" s="52">
        <v>171</v>
      </c>
      <c r="I176" s="52">
        <v>35126</v>
      </c>
      <c r="J176" s="52">
        <v>34685</v>
      </c>
      <c r="K176" s="52">
        <v>277</v>
      </c>
      <c r="L176" s="51" t="s">
        <v>22</v>
      </c>
      <c r="M176" s="51" t="s">
        <v>27</v>
      </c>
      <c r="N176" s="29"/>
      <c r="O176" s="29"/>
      <c r="P176" s="32">
        <f t="shared" si="4"/>
        <v>8.5520696919660646E-2</v>
      </c>
      <c r="Q176" s="31">
        <f t="shared" si="5"/>
        <v>3004</v>
      </c>
    </row>
    <row r="177" spans="1:17" x14ac:dyDescent="0.3">
      <c r="A177" s="51" t="s">
        <v>146</v>
      </c>
      <c r="B177" s="51" t="s">
        <v>13</v>
      </c>
      <c r="C177" s="74" t="s">
        <v>147</v>
      </c>
      <c r="D177" s="51" t="s">
        <v>32</v>
      </c>
      <c r="E177" s="75" t="s">
        <v>145</v>
      </c>
      <c r="F177" s="52">
        <v>2164</v>
      </c>
      <c r="G177" s="52">
        <v>549</v>
      </c>
      <c r="H177" s="52">
        <v>274</v>
      </c>
      <c r="I177" s="52">
        <v>28132</v>
      </c>
      <c r="J177" s="52">
        <v>27361</v>
      </c>
      <c r="K177" s="52">
        <v>177</v>
      </c>
      <c r="L177" s="51" t="s">
        <v>35</v>
      </c>
      <c r="M177" s="51" t="s">
        <v>27</v>
      </c>
      <c r="N177" s="29"/>
      <c r="O177" s="29"/>
      <c r="P177" s="32">
        <f t="shared" si="4"/>
        <v>0.10617801791554102</v>
      </c>
      <c r="Q177" s="31">
        <f t="shared" si="5"/>
        <v>2987</v>
      </c>
    </row>
    <row r="178" spans="1:17" x14ac:dyDescent="0.3">
      <c r="A178" s="51" t="s">
        <v>148</v>
      </c>
      <c r="B178" s="51" t="s">
        <v>24</v>
      </c>
      <c r="C178" s="74" t="s">
        <v>149</v>
      </c>
      <c r="D178" s="51" t="s">
        <v>32</v>
      </c>
      <c r="E178" s="75" t="s">
        <v>150</v>
      </c>
      <c r="F178" s="52">
        <v>2754</v>
      </c>
      <c r="G178" s="52">
        <v>130</v>
      </c>
      <c r="H178" s="52">
        <v>90</v>
      </c>
      <c r="I178" s="52">
        <v>22032</v>
      </c>
      <c r="J178" s="52">
        <v>21288</v>
      </c>
      <c r="K178" s="52">
        <v>112</v>
      </c>
      <c r="L178" s="51" t="s">
        <v>28</v>
      </c>
      <c r="M178" s="51" t="s">
        <v>27</v>
      </c>
      <c r="N178" s="29"/>
      <c r="O178" s="29"/>
      <c r="P178" s="32">
        <f t="shared" si="4"/>
        <v>0.13498547567175018</v>
      </c>
      <c r="Q178" s="31">
        <f t="shared" si="5"/>
        <v>2974</v>
      </c>
    </row>
    <row r="179" spans="1:17" x14ac:dyDescent="0.3">
      <c r="A179" s="51" t="s">
        <v>290</v>
      </c>
      <c r="B179" s="51" t="s">
        <v>13</v>
      </c>
      <c r="C179" s="74" t="s">
        <v>61</v>
      </c>
      <c r="D179" s="51" t="s">
        <v>20</v>
      </c>
      <c r="E179" s="75" t="s">
        <v>21</v>
      </c>
      <c r="F179" s="52">
        <v>2147</v>
      </c>
      <c r="G179" s="52">
        <v>430</v>
      </c>
      <c r="H179" s="52">
        <v>393</v>
      </c>
      <c r="I179" s="52">
        <v>17176</v>
      </c>
      <c r="J179" s="52">
        <v>16483</v>
      </c>
      <c r="K179" s="52">
        <v>170</v>
      </c>
      <c r="L179" s="76"/>
      <c r="M179" s="51" t="s">
        <v>27</v>
      </c>
      <c r="N179" s="29"/>
      <c r="O179" s="29"/>
      <c r="P179" s="32">
        <f t="shared" si="4"/>
        <v>0.17291569632044715</v>
      </c>
      <c r="Q179" s="31">
        <f t="shared" si="5"/>
        <v>2970</v>
      </c>
    </row>
    <row r="180" spans="1:17" x14ac:dyDescent="0.3">
      <c r="A180" s="51" t="s">
        <v>23</v>
      </c>
      <c r="B180" s="51" t="s">
        <v>24</v>
      </c>
      <c r="C180" s="74" t="s">
        <v>25</v>
      </c>
      <c r="D180" s="51" t="s">
        <v>15</v>
      </c>
      <c r="E180" s="75" t="s">
        <v>26</v>
      </c>
      <c r="F180" s="52">
        <v>2795</v>
      </c>
      <c r="G180" s="52">
        <v>105</v>
      </c>
      <c r="H180" s="52">
        <v>49</v>
      </c>
      <c r="I180" s="52">
        <v>53105</v>
      </c>
      <c r="J180" s="52">
        <v>52307</v>
      </c>
      <c r="K180" s="52">
        <v>204</v>
      </c>
      <c r="L180" s="51" t="s">
        <v>28</v>
      </c>
      <c r="M180" s="51" t="s">
        <v>27</v>
      </c>
      <c r="N180" s="29"/>
      <c r="O180" s="29"/>
      <c r="P180" s="32">
        <f t="shared" si="4"/>
        <v>5.5531494209584788E-2</v>
      </c>
      <c r="Q180" s="31">
        <f t="shared" si="5"/>
        <v>2949</v>
      </c>
    </row>
    <row r="181" spans="1:17" x14ac:dyDescent="0.3">
      <c r="A181" s="51" t="s">
        <v>151</v>
      </c>
      <c r="B181" s="51" t="s">
        <v>40</v>
      </c>
      <c r="C181" s="74" t="s">
        <v>152</v>
      </c>
      <c r="D181" s="51" t="s">
        <v>42</v>
      </c>
      <c r="E181" s="75" t="s">
        <v>43</v>
      </c>
      <c r="F181" s="52">
        <v>2200</v>
      </c>
      <c r="G181" s="52">
        <v>504</v>
      </c>
      <c r="H181" s="52">
        <v>239</v>
      </c>
      <c r="I181" s="52">
        <v>37400</v>
      </c>
      <c r="J181" s="52">
        <v>36938</v>
      </c>
      <c r="K181" s="52">
        <v>225</v>
      </c>
      <c r="L181" s="51" t="s">
        <v>22</v>
      </c>
      <c r="M181" s="51" t="s">
        <v>59</v>
      </c>
      <c r="N181" s="29"/>
      <c r="O181" s="29"/>
      <c r="P181" s="32">
        <f t="shared" si="4"/>
        <v>7.8689839572192513E-2</v>
      </c>
      <c r="Q181" s="31">
        <f t="shared" si="5"/>
        <v>2943</v>
      </c>
    </row>
    <row r="182" spans="1:17" x14ac:dyDescent="0.3">
      <c r="A182" s="51" t="s">
        <v>513</v>
      </c>
      <c r="B182" s="51" t="s">
        <v>40</v>
      </c>
      <c r="C182" s="74" t="s">
        <v>487</v>
      </c>
      <c r="D182" s="51" t="s">
        <v>15</v>
      </c>
      <c r="E182" s="75" t="s">
        <v>62</v>
      </c>
      <c r="F182" s="52">
        <v>1741</v>
      </c>
      <c r="G182" s="52">
        <v>831</v>
      </c>
      <c r="H182" s="52">
        <v>345</v>
      </c>
      <c r="I182" s="52">
        <v>17410</v>
      </c>
      <c r="J182" s="52">
        <v>16844</v>
      </c>
      <c r="K182" s="52">
        <v>58</v>
      </c>
      <c r="L182" s="51" t="s">
        <v>28</v>
      </c>
      <c r="M182" s="51" t="s">
        <v>34</v>
      </c>
      <c r="N182" s="29"/>
      <c r="O182" s="29"/>
      <c r="P182" s="32">
        <f t="shared" si="4"/>
        <v>0.16754738655944859</v>
      </c>
      <c r="Q182" s="31">
        <f t="shared" si="5"/>
        <v>2917</v>
      </c>
    </row>
    <row r="183" spans="1:17" x14ac:dyDescent="0.3">
      <c r="A183" s="51" t="s">
        <v>29</v>
      </c>
      <c r="B183" s="51" t="s">
        <v>30</v>
      </c>
      <c r="C183" s="74" t="s">
        <v>31</v>
      </c>
      <c r="D183" s="51" t="s">
        <v>32</v>
      </c>
      <c r="E183" s="75" t="s">
        <v>33</v>
      </c>
      <c r="F183" s="52">
        <v>2404</v>
      </c>
      <c r="G183" s="52">
        <v>363</v>
      </c>
      <c r="H183" s="52">
        <v>138</v>
      </c>
      <c r="I183" s="52">
        <v>19232</v>
      </c>
      <c r="J183" s="52">
        <v>18636</v>
      </c>
      <c r="K183" s="52">
        <v>128</v>
      </c>
      <c r="L183" s="51" t="s">
        <v>35</v>
      </c>
      <c r="M183" s="51" t="s">
        <v>34</v>
      </c>
      <c r="N183" s="29"/>
      <c r="O183" s="29"/>
      <c r="P183" s="32">
        <f t="shared" si="4"/>
        <v>0.15105033277870217</v>
      </c>
      <c r="Q183" s="31">
        <f t="shared" si="5"/>
        <v>2905</v>
      </c>
    </row>
    <row r="184" spans="1:17" x14ac:dyDescent="0.3">
      <c r="A184" s="51" t="s">
        <v>57</v>
      </c>
      <c r="B184" s="51" t="s">
        <v>30</v>
      </c>
      <c r="C184" s="74" t="s">
        <v>58</v>
      </c>
      <c r="D184" s="51" t="s">
        <v>32</v>
      </c>
      <c r="E184" s="75" t="s">
        <v>33</v>
      </c>
      <c r="F184" s="52">
        <v>1792</v>
      </c>
      <c r="G184" s="52">
        <v>614</v>
      </c>
      <c r="H184" s="52">
        <v>497</v>
      </c>
      <c r="I184" s="52">
        <v>25088</v>
      </c>
      <c r="J184" s="52">
        <v>24675</v>
      </c>
      <c r="K184" s="52">
        <v>65</v>
      </c>
      <c r="L184" s="51" t="s">
        <v>35</v>
      </c>
      <c r="M184" s="51" t="s">
        <v>59</v>
      </c>
      <c r="N184" s="29"/>
      <c r="O184" s="29"/>
      <c r="P184" s="32">
        <f t="shared" si="4"/>
        <v>0.11571269132653061</v>
      </c>
      <c r="Q184" s="31">
        <f t="shared" si="5"/>
        <v>2903</v>
      </c>
    </row>
    <row r="185" spans="1:17" x14ac:dyDescent="0.3">
      <c r="A185" s="51" t="s">
        <v>294</v>
      </c>
      <c r="B185" s="51" t="s">
        <v>30</v>
      </c>
      <c r="C185" s="74" t="s">
        <v>102</v>
      </c>
      <c r="D185" s="51" t="s">
        <v>32</v>
      </c>
      <c r="E185" s="75" t="s">
        <v>33</v>
      </c>
      <c r="F185" s="52">
        <v>1947</v>
      </c>
      <c r="G185" s="52">
        <v>842</v>
      </c>
      <c r="H185" s="52">
        <v>101</v>
      </c>
      <c r="I185" s="52">
        <v>21417</v>
      </c>
      <c r="J185" s="52">
        <v>20967</v>
      </c>
      <c r="K185" s="52">
        <v>186</v>
      </c>
      <c r="L185" s="51" t="s">
        <v>22</v>
      </c>
      <c r="M185" s="51" t="s">
        <v>59</v>
      </c>
      <c r="N185" s="29"/>
      <c r="O185" s="29"/>
      <c r="P185" s="32">
        <f t="shared" si="4"/>
        <v>0.13493953401503478</v>
      </c>
      <c r="Q185" s="31">
        <f t="shared" si="5"/>
        <v>2890</v>
      </c>
    </row>
    <row r="186" spans="1:17" x14ac:dyDescent="0.3">
      <c r="A186" s="51" t="s">
        <v>481</v>
      </c>
      <c r="B186" s="51" t="s">
        <v>13</v>
      </c>
      <c r="C186" s="74" t="s">
        <v>482</v>
      </c>
      <c r="D186" s="51" t="s">
        <v>49</v>
      </c>
      <c r="E186" s="75" t="s">
        <v>128</v>
      </c>
      <c r="F186" s="52">
        <v>2692</v>
      </c>
      <c r="G186" s="52">
        <v>115</v>
      </c>
      <c r="H186" s="52">
        <v>64</v>
      </c>
      <c r="I186" s="52">
        <v>21536</v>
      </c>
      <c r="J186" s="52">
        <v>21120</v>
      </c>
      <c r="K186" s="52">
        <v>224</v>
      </c>
      <c r="L186" s="51" t="s">
        <v>22</v>
      </c>
      <c r="M186" s="51" t="s">
        <v>59</v>
      </c>
      <c r="N186" s="29"/>
      <c r="O186" s="29"/>
      <c r="P186" s="32">
        <f t="shared" si="4"/>
        <v>0.13331166419019316</v>
      </c>
      <c r="Q186" s="31">
        <f t="shared" si="5"/>
        <v>2871</v>
      </c>
    </row>
    <row r="187" spans="1:17" x14ac:dyDescent="0.3">
      <c r="A187" s="51" t="s">
        <v>307</v>
      </c>
      <c r="B187" s="51" t="s">
        <v>40</v>
      </c>
      <c r="C187" s="74" t="s">
        <v>308</v>
      </c>
      <c r="D187" s="51" t="s">
        <v>49</v>
      </c>
      <c r="E187" s="75" t="s">
        <v>56</v>
      </c>
      <c r="F187" s="52">
        <v>2291</v>
      </c>
      <c r="G187" s="52">
        <v>78</v>
      </c>
      <c r="H187" s="52">
        <v>485</v>
      </c>
      <c r="I187" s="52">
        <v>18328</v>
      </c>
      <c r="J187" s="52">
        <v>18101</v>
      </c>
      <c r="K187" s="52">
        <v>10</v>
      </c>
      <c r="L187" s="51" t="s">
        <v>22</v>
      </c>
      <c r="M187" s="51" t="s">
        <v>34</v>
      </c>
      <c r="N187" s="29" t="s">
        <v>592</v>
      </c>
      <c r="O187" s="29"/>
      <c r="P187" s="32">
        <f t="shared" si="4"/>
        <v>0.15571802706241816</v>
      </c>
      <c r="Q187" s="31">
        <f t="shared" si="5"/>
        <v>2854</v>
      </c>
    </row>
    <row r="188" spans="1:17" x14ac:dyDescent="0.3">
      <c r="A188" s="51" t="s">
        <v>133</v>
      </c>
      <c r="B188" s="51" t="s">
        <v>30</v>
      </c>
      <c r="C188" s="74" t="s">
        <v>134</v>
      </c>
      <c r="D188" s="51" t="s">
        <v>42</v>
      </c>
      <c r="E188" s="75" t="s">
        <v>85</v>
      </c>
      <c r="F188" s="52">
        <v>2174</v>
      </c>
      <c r="G188" s="52">
        <v>658</v>
      </c>
      <c r="H188" s="52">
        <v>15</v>
      </c>
      <c r="I188" s="52">
        <v>13044</v>
      </c>
      <c r="J188" s="52">
        <v>12206</v>
      </c>
      <c r="K188" s="52">
        <v>137</v>
      </c>
      <c r="L188" s="51" t="s">
        <v>28</v>
      </c>
      <c r="M188" s="51" t="s">
        <v>27</v>
      </c>
      <c r="N188" s="29"/>
      <c r="O188" s="29"/>
      <c r="P188" s="32">
        <f t="shared" si="4"/>
        <v>0.21826126954921804</v>
      </c>
      <c r="Q188" s="31">
        <f t="shared" si="5"/>
        <v>2847</v>
      </c>
    </row>
    <row r="189" spans="1:17" x14ac:dyDescent="0.3">
      <c r="A189" s="51" t="s">
        <v>498</v>
      </c>
      <c r="B189" s="51" t="s">
        <v>13</v>
      </c>
      <c r="C189" s="74" t="s">
        <v>499</v>
      </c>
      <c r="D189" s="51" t="s">
        <v>42</v>
      </c>
      <c r="E189" s="75" t="s">
        <v>46</v>
      </c>
      <c r="F189" s="52">
        <v>1877</v>
      </c>
      <c r="G189" s="52">
        <v>745</v>
      </c>
      <c r="H189" s="52">
        <v>225</v>
      </c>
      <c r="I189" s="52">
        <v>11262</v>
      </c>
      <c r="J189" s="52">
        <v>10967</v>
      </c>
      <c r="K189" s="52">
        <v>41</v>
      </c>
      <c r="L189" s="51" t="s">
        <v>35</v>
      </c>
      <c r="M189" s="51" t="s">
        <v>34</v>
      </c>
      <c r="N189" s="29"/>
      <c r="O189" s="29"/>
      <c r="P189" s="32">
        <f t="shared" si="4"/>
        <v>0.25279701651571657</v>
      </c>
      <c r="Q189" s="31">
        <f t="shared" si="5"/>
        <v>2847</v>
      </c>
    </row>
    <row r="190" spans="1:17" x14ac:dyDescent="0.3">
      <c r="A190" s="51" t="s">
        <v>238</v>
      </c>
      <c r="B190" s="51" t="s">
        <v>13</v>
      </c>
      <c r="C190" s="74" t="s">
        <v>147</v>
      </c>
      <c r="D190" s="51" t="s">
        <v>32</v>
      </c>
      <c r="E190" s="75" t="s">
        <v>145</v>
      </c>
      <c r="F190" s="52">
        <v>1575</v>
      </c>
      <c r="G190" s="52">
        <v>771</v>
      </c>
      <c r="H190" s="52">
        <v>486</v>
      </c>
      <c r="I190" s="52">
        <v>25200</v>
      </c>
      <c r="J190" s="52">
        <v>24826</v>
      </c>
      <c r="K190" s="52">
        <v>17</v>
      </c>
      <c r="L190" s="51" t="s">
        <v>35</v>
      </c>
      <c r="M190" s="51" t="s">
        <v>59</v>
      </c>
      <c r="N190" s="29"/>
      <c r="O190" s="29"/>
      <c r="P190" s="32">
        <f t="shared" si="4"/>
        <v>0.11238095238095239</v>
      </c>
      <c r="Q190" s="31">
        <f t="shared" si="5"/>
        <v>2832</v>
      </c>
    </row>
    <row r="191" spans="1:17" x14ac:dyDescent="0.3">
      <c r="A191" s="51" t="s">
        <v>166</v>
      </c>
      <c r="B191" s="51" t="s">
        <v>30</v>
      </c>
      <c r="C191" s="74" t="s">
        <v>167</v>
      </c>
      <c r="D191" s="51" t="s">
        <v>20</v>
      </c>
      <c r="E191" s="75" t="s">
        <v>109</v>
      </c>
      <c r="F191" s="52">
        <v>2180</v>
      </c>
      <c r="G191" s="52">
        <v>263</v>
      </c>
      <c r="H191" s="52">
        <v>387</v>
      </c>
      <c r="I191" s="52">
        <v>30520</v>
      </c>
      <c r="J191" s="52">
        <v>30059</v>
      </c>
      <c r="K191" s="52">
        <v>174</v>
      </c>
      <c r="L191" s="76"/>
      <c r="M191" s="51" t="s">
        <v>34</v>
      </c>
      <c r="N191" s="29"/>
      <c r="O191" s="29"/>
      <c r="P191" s="32">
        <f t="shared" si="4"/>
        <v>9.2726081258191345E-2</v>
      </c>
      <c r="Q191" s="31">
        <f t="shared" si="5"/>
        <v>2830</v>
      </c>
    </row>
    <row r="192" spans="1:17" x14ac:dyDescent="0.3">
      <c r="A192" s="51" t="s">
        <v>433</v>
      </c>
      <c r="B192" s="51" t="s">
        <v>40</v>
      </c>
      <c r="C192" s="74" t="s">
        <v>434</v>
      </c>
      <c r="D192" s="51" t="s">
        <v>15</v>
      </c>
      <c r="E192" s="75" t="s">
        <v>62</v>
      </c>
      <c r="F192" s="52">
        <v>1814</v>
      </c>
      <c r="G192" s="52">
        <v>653</v>
      </c>
      <c r="H192" s="52">
        <v>363</v>
      </c>
      <c r="I192" s="52">
        <v>25396</v>
      </c>
      <c r="J192" s="52">
        <v>25286</v>
      </c>
      <c r="K192" s="52">
        <v>39</v>
      </c>
      <c r="L192" s="51" t="s">
        <v>17</v>
      </c>
      <c r="M192" s="51" t="s">
        <v>59</v>
      </c>
      <c r="N192" s="29" t="s">
        <v>592</v>
      </c>
      <c r="O192" s="29"/>
      <c r="P192" s="32">
        <f t="shared" si="4"/>
        <v>0.11143487163332809</v>
      </c>
      <c r="Q192" s="31">
        <f t="shared" si="5"/>
        <v>2830</v>
      </c>
    </row>
    <row r="193" spans="1:17" x14ac:dyDescent="0.3">
      <c r="A193" s="51" t="s">
        <v>429</v>
      </c>
      <c r="B193" s="51" t="s">
        <v>40</v>
      </c>
      <c r="C193" s="74" t="s">
        <v>247</v>
      </c>
      <c r="D193" s="51" t="s">
        <v>42</v>
      </c>
      <c r="E193" s="75" t="s">
        <v>43</v>
      </c>
      <c r="F193" s="52">
        <v>1869</v>
      </c>
      <c r="G193" s="52">
        <v>453</v>
      </c>
      <c r="H193" s="52">
        <v>490</v>
      </c>
      <c r="I193" s="52">
        <v>14952</v>
      </c>
      <c r="J193" s="52">
        <v>14309</v>
      </c>
      <c r="K193" s="52">
        <v>275</v>
      </c>
      <c r="L193" s="51" t="s">
        <v>35</v>
      </c>
      <c r="M193" s="51" t="s">
        <v>27</v>
      </c>
      <c r="N193" s="29"/>
      <c r="O193" s="29"/>
      <c r="P193" s="32">
        <f t="shared" si="4"/>
        <v>0.18806848582129482</v>
      </c>
      <c r="Q193" s="31">
        <f t="shared" si="5"/>
        <v>2812</v>
      </c>
    </row>
    <row r="194" spans="1:17" x14ac:dyDescent="0.3">
      <c r="A194" s="51" t="s">
        <v>450</v>
      </c>
      <c r="B194" s="51" t="s">
        <v>40</v>
      </c>
      <c r="C194" s="74" t="s">
        <v>130</v>
      </c>
      <c r="D194" s="51" t="s">
        <v>49</v>
      </c>
      <c r="E194" s="75" t="s">
        <v>56</v>
      </c>
      <c r="F194" s="52">
        <v>2382</v>
      </c>
      <c r="G194" s="52">
        <v>265</v>
      </c>
      <c r="H194" s="52">
        <v>134</v>
      </c>
      <c r="I194" s="52">
        <v>38112</v>
      </c>
      <c r="J194" s="52">
        <v>37437</v>
      </c>
      <c r="K194" s="52">
        <v>249</v>
      </c>
      <c r="L194" s="51" t="s">
        <v>35</v>
      </c>
      <c r="M194" s="51" t="s">
        <v>59</v>
      </c>
      <c r="N194" s="29"/>
      <c r="O194" s="29"/>
      <c r="P194" s="32">
        <f t="shared" ref="P194:P257" si="6">(F194+G194+H194)/I194</f>
        <v>7.2969143576826198E-2</v>
      </c>
      <c r="Q194" s="31">
        <f t="shared" ref="Q194:Q257" si="7">F194+G194+H194</f>
        <v>2781</v>
      </c>
    </row>
    <row r="195" spans="1:17" x14ac:dyDescent="0.3">
      <c r="A195" s="51" t="s">
        <v>337</v>
      </c>
      <c r="B195" s="51" t="s">
        <v>40</v>
      </c>
      <c r="C195" s="74" t="s">
        <v>125</v>
      </c>
      <c r="D195" s="51" t="s">
        <v>32</v>
      </c>
      <c r="E195" s="75" t="s">
        <v>68</v>
      </c>
      <c r="F195" s="52">
        <v>2120</v>
      </c>
      <c r="G195" s="52">
        <v>158</v>
      </c>
      <c r="H195" s="52">
        <v>488</v>
      </c>
      <c r="I195" s="52">
        <v>12720</v>
      </c>
      <c r="J195" s="52">
        <v>12085</v>
      </c>
      <c r="K195" s="52">
        <v>17</v>
      </c>
      <c r="L195" s="51" t="s">
        <v>22</v>
      </c>
      <c r="M195" s="51" t="s">
        <v>59</v>
      </c>
      <c r="N195" s="29"/>
      <c r="O195" s="29"/>
      <c r="P195" s="32">
        <f t="shared" si="6"/>
        <v>0.21745283018867925</v>
      </c>
      <c r="Q195" s="31">
        <f t="shared" si="7"/>
        <v>2766</v>
      </c>
    </row>
    <row r="196" spans="1:17" x14ac:dyDescent="0.3">
      <c r="A196" s="51" t="s">
        <v>311</v>
      </c>
      <c r="B196" s="51" t="s">
        <v>24</v>
      </c>
      <c r="C196" s="74" t="s">
        <v>257</v>
      </c>
      <c r="D196" s="51" t="s">
        <v>32</v>
      </c>
      <c r="E196" s="75" t="s">
        <v>150</v>
      </c>
      <c r="F196" s="52">
        <v>2070</v>
      </c>
      <c r="G196" s="52">
        <v>275</v>
      </c>
      <c r="H196" s="52">
        <v>386</v>
      </c>
      <c r="I196" s="52">
        <v>39330</v>
      </c>
      <c r="J196" s="52">
        <v>38627</v>
      </c>
      <c r="K196" s="52">
        <v>114</v>
      </c>
      <c r="L196" s="51" t="s">
        <v>35</v>
      </c>
      <c r="M196" s="51" t="s">
        <v>59</v>
      </c>
      <c r="N196" s="29"/>
      <c r="O196" s="29"/>
      <c r="P196" s="32">
        <f t="shared" si="6"/>
        <v>6.9438087973557078E-2</v>
      </c>
      <c r="Q196" s="31">
        <f t="shared" si="7"/>
        <v>2731</v>
      </c>
    </row>
    <row r="197" spans="1:17" x14ac:dyDescent="0.3">
      <c r="A197" s="51" t="s">
        <v>144</v>
      </c>
      <c r="B197" s="51" t="s">
        <v>13</v>
      </c>
      <c r="C197" s="74" t="s">
        <v>55</v>
      </c>
      <c r="D197" s="51" t="s">
        <v>32</v>
      </c>
      <c r="E197" s="75" t="s">
        <v>145</v>
      </c>
      <c r="F197" s="52">
        <v>1950</v>
      </c>
      <c r="G197" s="52">
        <v>295</v>
      </c>
      <c r="H197" s="52">
        <v>478</v>
      </c>
      <c r="I197" s="52">
        <v>37050</v>
      </c>
      <c r="J197" s="52">
        <v>36272</v>
      </c>
      <c r="K197" s="52">
        <v>119</v>
      </c>
      <c r="L197" s="76"/>
      <c r="M197" s="51" t="s">
        <v>27</v>
      </c>
      <c r="N197" s="29"/>
      <c r="O197" s="29"/>
      <c r="P197" s="32">
        <f t="shared" si="6"/>
        <v>7.349527665317139E-2</v>
      </c>
      <c r="Q197" s="31">
        <f t="shared" si="7"/>
        <v>2723</v>
      </c>
    </row>
    <row r="198" spans="1:17" x14ac:dyDescent="0.3">
      <c r="A198" s="51" t="s">
        <v>103</v>
      </c>
      <c r="B198" s="51" t="s">
        <v>30</v>
      </c>
      <c r="C198" s="74" t="s">
        <v>104</v>
      </c>
      <c r="D198" s="51" t="s">
        <v>42</v>
      </c>
      <c r="E198" s="75" t="s">
        <v>85</v>
      </c>
      <c r="F198" s="52">
        <v>2566</v>
      </c>
      <c r="G198" s="52">
        <v>118</v>
      </c>
      <c r="H198" s="52">
        <v>37</v>
      </c>
      <c r="I198" s="52">
        <v>12830</v>
      </c>
      <c r="J198" s="52">
        <v>12264</v>
      </c>
      <c r="K198" s="52">
        <v>221</v>
      </c>
      <c r="L198" s="51" t="s">
        <v>28</v>
      </c>
      <c r="M198" s="51" t="s">
        <v>59</v>
      </c>
      <c r="N198" s="29"/>
      <c r="O198" s="29"/>
      <c r="P198" s="32">
        <f t="shared" si="6"/>
        <v>0.21208106001558846</v>
      </c>
      <c r="Q198" s="31">
        <f t="shared" si="7"/>
        <v>2721</v>
      </c>
    </row>
    <row r="199" spans="1:17" x14ac:dyDescent="0.3">
      <c r="A199" s="51" t="s">
        <v>218</v>
      </c>
      <c r="B199" s="51" t="s">
        <v>13</v>
      </c>
      <c r="C199" s="74" t="s">
        <v>219</v>
      </c>
      <c r="D199" s="51" t="s">
        <v>71</v>
      </c>
      <c r="E199" s="75" t="s">
        <v>141</v>
      </c>
      <c r="F199" s="52">
        <v>1436</v>
      </c>
      <c r="G199" s="52">
        <v>765</v>
      </c>
      <c r="H199" s="52">
        <v>496</v>
      </c>
      <c r="I199" s="52">
        <v>12924</v>
      </c>
      <c r="J199" s="52">
        <v>12701</v>
      </c>
      <c r="K199" s="52">
        <v>197</v>
      </c>
      <c r="L199" s="51" t="s">
        <v>28</v>
      </c>
      <c r="M199" s="51" t="s">
        <v>59</v>
      </c>
      <c r="N199" s="29"/>
      <c r="O199" s="29"/>
      <c r="P199" s="32">
        <f t="shared" si="6"/>
        <v>0.20868152274837512</v>
      </c>
      <c r="Q199" s="31">
        <f t="shared" si="7"/>
        <v>2697</v>
      </c>
    </row>
    <row r="200" spans="1:17" x14ac:dyDescent="0.3">
      <c r="A200" s="51" t="s">
        <v>131</v>
      </c>
      <c r="B200" s="51" t="s">
        <v>24</v>
      </c>
      <c r="C200" s="74" t="s">
        <v>132</v>
      </c>
      <c r="D200" s="51" t="s">
        <v>15</v>
      </c>
      <c r="E200" s="75" t="s">
        <v>26</v>
      </c>
      <c r="F200" s="52">
        <v>1543</v>
      </c>
      <c r="G200" s="52">
        <v>820</v>
      </c>
      <c r="H200" s="52">
        <v>333</v>
      </c>
      <c r="I200" s="52">
        <v>12344</v>
      </c>
      <c r="J200" s="52">
        <v>11496</v>
      </c>
      <c r="K200" s="52">
        <v>241</v>
      </c>
      <c r="L200" s="76"/>
      <c r="M200" s="51" t="s">
        <v>34</v>
      </c>
      <c r="N200" s="29"/>
      <c r="O200" s="29"/>
      <c r="P200" s="32">
        <f t="shared" si="6"/>
        <v>0.21840570317563188</v>
      </c>
      <c r="Q200" s="31">
        <f t="shared" si="7"/>
        <v>2696</v>
      </c>
    </row>
    <row r="201" spans="1:17" x14ac:dyDescent="0.3">
      <c r="A201" s="51" t="s">
        <v>295</v>
      </c>
      <c r="B201" s="51" t="s">
        <v>40</v>
      </c>
      <c r="C201" s="74" t="s">
        <v>296</v>
      </c>
      <c r="D201" s="51" t="s">
        <v>49</v>
      </c>
      <c r="E201" s="75" t="s">
        <v>56</v>
      </c>
      <c r="F201" s="52">
        <v>2072</v>
      </c>
      <c r="G201" s="52">
        <v>532</v>
      </c>
      <c r="H201" s="52">
        <v>71</v>
      </c>
      <c r="I201" s="52">
        <v>37296</v>
      </c>
      <c r="J201" s="52">
        <v>36467</v>
      </c>
      <c r="K201" s="52">
        <v>25</v>
      </c>
      <c r="L201" s="51" t="s">
        <v>35</v>
      </c>
      <c r="M201" s="51" t="s">
        <v>27</v>
      </c>
      <c r="N201" s="29"/>
      <c r="O201" s="29"/>
      <c r="P201" s="32">
        <f t="shared" si="6"/>
        <v>7.172350922350923E-2</v>
      </c>
      <c r="Q201" s="31">
        <f t="shared" si="7"/>
        <v>2675</v>
      </c>
    </row>
    <row r="202" spans="1:17" x14ac:dyDescent="0.3">
      <c r="A202" s="51" t="s">
        <v>196</v>
      </c>
      <c r="B202" s="51" t="s">
        <v>30</v>
      </c>
      <c r="C202" s="74" t="s">
        <v>197</v>
      </c>
      <c r="D202" s="51" t="s">
        <v>15</v>
      </c>
      <c r="E202" s="75" t="s">
        <v>79</v>
      </c>
      <c r="F202" s="52">
        <v>1674</v>
      </c>
      <c r="G202" s="52">
        <v>929</v>
      </c>
      <c r="H202" s="52">
        <v>37</v>
      </c>
      <c r="I202" s="52">
        <v>21762</v>
      </c>
      <c r="J202" s="52">
        <v>20998</v>
      </c>
      <c r="K202" s="52">
        <v>255</v>
      </c>
      <c r="L202" s="51" t="s">
        <v>35</v>
      </c>
      <c r="M202" s="51" t="s">
        <v>27</v>
      </c>
      <c r="N202" s="29"/>
      <c r="O202" s="29"/>
      <c r="P202" s="32">
        <f t="shared" si="6"/>
        <v>0.12131237937689551</v>
      </c>
      <c r="Q202" s="31">
        <f t="shared" si="7"/>
        <v>2640</v>
      </c>
    </row>
    <row r="203" spans="1:17" x14ac:dyDescent="0.3">
      <c r="A203" s="51" t="s">
        <v>547</v>
      </c>
      <c r="B203" s="51" t="s">
        <v>13</v>
      </c>
      <c r="C203" s="74" t="s">
        <v>548</v>
      </c>
      <c r="D203" s="51" t="s">
        <v>20</v>
      </c>
      <c r="E203" s="75" t="s">
        <v>21</v>
      </c>
      <c r="F203" s="52">
        <v>2166</v>
      </c>
      <c r="G203" s="52">
        <v>354</v>
      </c>
      <c r="H203" s="52">
        <v>117</v>
      </c>
      <c r="I203" s="52">
        <v>10830</v>
      </c>
      <c r="J203" s="52">
        <v>10245</v>
      </c>
      <c r="K203" s="52">
        <v>24</v>
      </c>
      <c r="L203" s="51" t="s">
        <v>35</v>
      </c>
      <c r="M203" s="51" t="s">
        <v>34</v>
      </c>
      <c r="N203" s="29"/>
      <c r="O203" s="29"/>
      <c r="P203" s="32">
        <f t="shared" si="6"/>
        <v>0.24349030470914126</v>
      </c>
      <c r="Q203" s="31">
        <f t="shared" si="7"/>
        <v>2637</v>
      </c>
    </row>
    <row r="204" spans="1:17" x14ac:dyDescent="0.3">
      <c r="A204" s="51" t="s">
        <v>270</v>
      </c>
      <c r="B204" s="51" t="s">
        <v>13</v>
      </c>
      <c r="C204" s="74" t="s">
        <v>271</v>
      </c>
      <c r="D204" s="51" t="s">
        <v>49</v>
      </c>
      <c r="E204" s="75" t="s">
        <v>128</v>
      </c>
      <c r="F204" s="52">
        <v>2493</v>
      </c>
      <c r="G204" s="52">
        <v>97</v>
      </c>
      <c r="H204" s="52">
        <v>44</v>
      </c>
      <c r="I204" s="52">
        <v>42381</v>
      </c>
      <c r="J204" s="52">
        <v>41991</v>
      </c>
      <c r="K204" s="52">
        <v>242</v>
      </c>
      <c r="L204" s="51" t="s">
        <v>35</v>
      </c>
      <c r="M204" s="51" t="s">
        <v>27</v>
      </c>
      <c r="N204" s="29" t="s">
        <v>600</v>
      </c>
      <c r="O204" s="29"/>
      <c r="P204" s="32">
        <f t="shared" si="6"/>
        <v>6.2150491965739366E-2</v>
      </c>
      <c r="Q204" s="31">
        <f t="shared" si="7"/>
        <v>2634</v>
      </c>
    </row>
    <row r="205" spans="1:17" x14ac:dyDescent="0.3">
      <c r="A205" s="51" t="s">
        <v>478</v>
      </c>
      <c r="B205" s="51" t="s">
        <v>40</v>
      </c>
      <c r="C205" s="74" t="s">
        <v>355</v>
      </c>
      <c r="D205" s="51" t="s">
        <v>42</v>
      </c>
      <c r="E205" s="75" t="s">
        <v>43</v>
      </c>
      <c r="F205" s="52">
        <v>2089</v>
      </c>
      <c r="G205" s="52">
        <v>476</v>
      </c>
      <c r="H205" s="52">
        <v>69</v>
      </c>
      <c r="I205" s="52">
        <v>16712</v>
      </c>
      <c r="J205" s="52">
        <v>16309</v>
      </c>
      <c r="K205" s="52">
        <v>64</v>
      </c>
      <c r="L205" s="51" t="s">
        <v>28</v>
      </c>
      <c r="M205" s="51" t="s">
        <v>59</v>
      </c>
      <c r="N205" s="29"/>
      <c r="O205" s="29"/>
      <c r="P205" s="32">
        <f t="shared" si="6"/>
        <v>0.15761129727142173</v>
      </c>
      <c r="Q205" s="31">
        <f t="shared" si="7"/>
        <v>2634</v>
      </c>
    </row>
    <row r="206" spans="1:17" x14ac:dyDescent="0.3">
      <c r="A206" s="51" t="s">
        <v>319</v>
      </c>
      <c r="B206" s="51" t="s">
        <v>13</v>
      </c>
      <c r="C206" s="74" t="s">
        <v>320</v>
      </c>
      <c r="D206" s="51" t="s">
        <v>71</v>
      </c>
      <c r="E206" s="75" t="s">
        <v>141</v>
      </c>
      <c r="F206" s="52">
        <v>1702</v>
      </c>
      <c r="G206" s="52">
        <v>750</v>
      </c>
      <c r="H206" s="52">
        <v>179</v>
      </c>
      <c r="I206" s="52">
        <v>34040</v>
      </c>
      <c r="J206" s="52">
        <v>33174</v>
      </c>
      <c r="K206" s="52">
        <v>76</v>
      </c>
      <c r="L206" s="51" t="s">
        <v>17</v>
      </c>
      <c r="M206" s="51" t="s">
        <v>34</v>
      </c>
      <c r="N206" s="29"/>
      <c r="O206" s="29"/>
      <c r="P206" s="32">
        <f t="shared" si="6"/>
        <v>7.7291421856639245E-2</v>
      </c>
      <c r="Q206" s="31">
        <f t="shared" si="7"/>
        <v>2631</v>
      </c>
    </row>
    <row r="207" spans="1:17" x14ac:dyDescent="0.3">
      <c r="A207" s="51" t="s">
        <v>329</v>
      </c>
      <c r="B207" s="51" t="s">
        <v>24</v>
      </c>
      <c r="C207" s="74" t="s">
        <v>330</v>
      </c>
      <c r="D207" s="51" t="s">
        <v>49</v>
      </c>
      <c r="E207" s="75" t="s">
        <v>50</v>
      </c>
      <c r="F207" s="52">
        <v>2283</v>
      </c>
      <c r="G207" s="52">
        <v>210</v>
      </c>
      <c r="H207" s="52">
        <v>130</v>
      </c>
      <c r="I207" s="52">
        <v>22830</v>
      </c>
      <c r="J207" s="52">
        <v>22617</v>
      </c>
      <c r="K207" s="52">
        <v>143</v>
      </c>
      <c r="L207" s="51" t="s">
        <v>22</v>
      </c>
      <c r="M207" s="51" t="s">
        <v>59</v>
      </c>
      <c r="N207" s="29"/>
      <c r="O207" s="29"/>
      <c r="P207" s="32">
        <f t="shared" si="6"/>
        <v>0.11489268506351293</v>
      </c>
      <c r="Q207" s="31">
        <f t="shared" si="7"/>
        <v>2623</v>
      </c>
    </row>
    <row r="208" spans="1:17" x14ac:dyDescent="0.3">
      <c r="A208" s="51" t="s">
        <v>222</v>
      </c>
      <c r="B208" s="51" t="s">
        <v>13</v>
      </c>
      <c r="C208" s="74" t="s">
        <v>223</v>
      </c>
      <c r="D208" s="51" t="s">
        <v>49</v>
      </c>
      <c r="E208" s="75" t="s">
        <v>128</v>
      </c>
      <c r="F208" s="52">
        <v>2214</v>
      </c>
      <c r="G208" s="52">
        <v>249</v>
      </c>
      <c r="H208" s="52">
        <v>152</v>
      </c>
      <c r="I208" s="52">
        <v>15498</v>
      </c>
      <c r="J208" s="52">
        <v>14800</v>
      </c>
      <c r="K208" s="52">
        <v>180</v>
      </c>
      <c r="L208" s="76"/>
      <c r="M208" s="51" t="s">
        <v>34</v>
      </c>
      <c r="N208" s="29"/>
      <c r="O208" s="29"/>
      <c r="P208" s="32">
        <f t="shared" si="6"/>
        <v>0.16873144921925409</v>
      </c>
      <c r="Q208" s="31">
        <f t="shared" si="7"/>
        <v>2615</v>
      </c>
    </row>
    <row r="209" spans="1:17" x14ac:dyDescent="0.3">
      <c r="A209" s="51" t="s">
        <v>110</v>
      </c>
      <c r="B209" s="51" t="s">
        <v>13</v>
      </c>
      <c r="C209" s="74" t="s">
        <v>111</v>
      </c>
      <c r="D209" s="51" t="s">
        <v>42</v>
      </c>
      <c r="E209" s="75" t="s">
        <v>46</v>
      </c>
      <c r="F209" s="52">
        <v>2278</v>
      </c>
      <c r="G209" s="52">
        <v>10</v>
      </c>
      <c r="H209" s="52">
        <v>321</v>
      </c>
      <c r="I209" s="52">
        <v>13668</v>
      </c>
      <c r="J209" s="52">
        <v>12676</v>
      </c>
      <c r="K209" s="52">
        <v>275</v>
      </c>
      <c r="L209" s="51" t="s">
        <v>17</v>
      </c>
      <c r="M209" s="51" t="s">
        <v>34</v>
      </c>
      <c r="N209" s="29"/>
      <c r="O209" s="29"/>
      <c r="P209" s="32">
        <f t="shared" si="6"/>
        <v>0.19088381621305239</v>
      </c>
      <c r="Q209" s="31">
        <f t="shared" si="7"/>
        <v>2609</v>
      </c>
    </row>
    <row r="210" spans="1:17" x14ac:dyDescent="0.3">
      <c r="A210" s="51" t="s">
        <v>335</v>
      </c>
      <c r="B210" s="51" t="s">
        <v>30</v>
      </c>
      <c r="C210" s="74" t="s">
        <v>336</v>
      </c>
      <c r="D210" s="51" t="s">
        <v>32</v>
      </c>
      <c r="E210" s="75" t="s">
        <v>33</v>
      </c>
      <c r="F210" s="52">
        <v>1762</v>
      </c>
      <c r="G210" s="52">
        <v>405</v>
      </c>
      <c r="H210" s="52">
        <v>423</v>
      </c>
      <c r="I210" s="52">
        <v>22906</v>
      </c>
      <c r="J210" s="52">
        <v>21925</v>
      </c>
      <c r="K210" s="52">
        <v>25</v>
      </c>
      <c r="L210" s="51" t="s">
        <v>17</v>
      </c>
      <c r="M210" s="51" t="s">
        <v>27</v>
      </c>
      <c r="N210" s="29"/>
      <c r="O210" s="29"/>
      <c r="P210" s="32">
        <f t="shared" si="6"/>
        <v>0.11307081114118571</v>
      </c>
      <c r="Q210" s="31">
        <f t="shared" si="7"/>
        <v>2590</v>
      </c>
    </row>
    <row r="211" spans="1:17" x14ac:dyDescent="0.3">
      <c r="A211" s="51" t="s">
        <v>544</v>
      </c>
      <c r="B211" s="51" t="s">
        <v>13</v>
      </c>
      <c r="C211" s="74" t="s">
        <v>426</v>
      </c>
      <c r="D211" s="51" t="s">
        <v>49</v>
      </c>
      <c r="E211" s="75" t="s">
        <v>128</v>
      </c>
      <c r="F211" s="52">
        <v>1952</v>
      </c>
      <c r="G211" s="52">
        <v>344</v>
      </c>
      <c r="H211" s="52">
        <v>287</v>
      </c>
      <c r="I211" s="52">
        <v>15616</v>
      </c>
      <c r="J211" s="52">
        <v>15403</v>
      </c>
      <c r="K211" s="52">
        <v>235</v>
      </c>
      <c r="L211" s="51" t="s">
        <v>22</v>
      </c>
      <c r="M211" s="51" t="s">
        <v>59</v>
      </c>
      <c r="N211" s="29" t="s">
        <v>27</v>
      </c>
      <c r="O211" s="29" t="s">
        <v>600</v>
      </c>
      <c r="P211" s="32">
        <f t="shared" si="6"/>
        <v>0.16540727459016394</v>
      </c>
      <c r="Q211" s="31">
        <f t="shared" si="7"/>
        <v>2583</v>
      </c>
    </row>
    <row r="212" spans="1:17" x14ac:dyDescent="0.3">
      <c r="A212" s="51" t="s">
        <v>476</v>
      </c>
      <c r="B212" s="51" t="s">
        <v>30</v>
      </c>
      <c r="C212" s="74" t="s">
        <v>477</v>
      </c>
      <c r="D212" s="51" t="s">
        <v>42</v>
      </c>
      <c r="E212" s="75" t="s">
        <v>85</v>
      </c>
      <c r="F212" s="52">
        <v>1377</v>
      </c>
      <c r="G212" s="52">
        <v>796</v>
      </c>
      <c r="H212" s="52">
        <v>387</v>
      </c>
      <c r="I212" s="52">
        <v>22032</v>
      </c>
      <c r="J212" s="52">
        <v>21869</v>
      </c>
      <c r="K212" s="52">
        <v>189</v>
      </c>
      <c r="L212" s="76"/>
      <c r="M212" s="51" t="s">
        <v>59</v>
      </c>
      <c r="N212" s="29"/>
      <c r="O212" s="29"/>
      <c r="P212" s="32">
        <f t="shared" si="6"/>
        <v>0.11619462599854757</v>
      </c>
      <c r="Q212" s="31">
        <f t="shared" si="7"/>
        <v>2560</v>
      </c>
    </row>
    <row r="213" spans="1:17" x14ac:dyDescent="0.3">
      <c r="A213" s="51" t="s">
        <v>396</v>
      </c>
      <c r="B213" s="51" t="s">
        <v>30</v>
      </c>
      <c r="C213" s="74" t="s">
        <v>397</v>
      </c>
      <c r="D213" s="51" t="s">
        <v>20</v>
      </c>
      <c r="E213" s="75" t="s">
        <v>109</v>
      </c>
      <c r="F213" s="52">
        <v>1813</v>
      </c>
      <c r="G213" s="52">
        <v>623</v>
      </c>
      <c r="H213" s="52">
        <v>72</v>
      </c>
      <c r="I213" s="52">
        <v>19943</v>
      </c>
      <c r="J213" s="52">
        <v>18959</v>
      </c>
      <c r="K213" s="52">
        <v>85</v>
      </c>
      <c r="L213" s="51" t="s">
        <v>28</v>
      </c>
      <c r="M213" s="51" t="s">
        <v>34</v>
      </c>
      <c r="N213" s="29"/>
      <c r="O213" s="29"/>
      <c r="P213" s="32">
        <f t="shared" si="6"/>
        <v>0.12575841147269717</v>
      </c>
      <c r="Q213" s="31">
        <f t="shared" si="7"/>
        <v>2508</v>
      </c>
    </row>
    <row r="214" spans="1:17" x14ac:dyDescent="0.3">
      <c r="A214" s="51" t="s">
        <v>177</v>
      </c>
      <c r="B214" s="51" t="s">
        <v>30</v>
      </c>
      <c r="C214" s="74" t="s">
        <v>178</v>
      </c>
      <c r="D214" s="51" t="s">
        <v>32</v>
      </c>
      <c r="E214" s="75" t="s">
        <v>33</v>
      </c>
      <c r="F214" s="52">
        <v>1881</v>
      </c>
      <c r="G214" s="52">
        <v>501</v>
      </c>
      <c r="H214" s="52">
        <v>99</v>
      </c>
      <c r="I214" s="52">
        <v>20691</v>
      </c>
      <c r="J214" s="52">
        <v>19987</v>
      </c>
      <c r="K214" s="52">
        <v>289</v>
      </c>
      <c r="L214" s="76"/>
      <c r="M214" s="51" t="s">
        <v>34</v>
      </c>
      <c r="N214" s="29"/>
      <c r="O214" s="29"/>
      <c r="P214" s="32">
        <f t="shared" si="6"/>
        <v>0.11990720603160794</v>
      </c>
      <c r="Q214" s="31">
        <f t="shared" si="7"/>
        <v>2481</v>
      </c>
    </row>
    <row r="215" spans="1:17" x14ac:dyDescent="0.3">
      <c r="A215" s="51" t="s">
        <v>90</v>
      </c>
      <c r="B215" s="51" t="s">
        <v>40</v>
      </c>
      <c r="C215" s="74" t="s">
        <v>91</v>
      </c>
      <c r="D215" s="51" t="s">
        <v>71</v>
      </c>
      <c r="E215" s="75" t="s">
        <v>72</v>
      </c>
      <c r="F215" s="52">
        <v>1606</v>
      </c>
      <c r="G215" s="52">
        <v>547</v>
      </c>
      <c r="H215" s="52">
        <v>316</v>
      </c>
      <c r="I215" s="52">
        <v>32120</v>
      </c>
      <c r="J215" s="52">
        <v>31736</v>
      </c>
      <c r="K215" s="52">
        <v>225</v>
      </c>
      <c r="L215" s="51" t="s">
        <v>22</v>
      </c>
      <c r="M215" s="51" t="s">
        <v>27</v>
      </c>
      <c r="N215" s="29" t="s">
        <v>600</v>
      </c>
      <c r="O215" s="29"/>
      <c r="P215" s="32">
        <f t="shared" si="6"/>
        <v>7.6867995018679955E-2</v>
      </c>
      <c r="Q215" s="31">
        <f t="shared" si="7"/>
        <v>2469</v>
      </c>
    </row>
    <row r="216" spans="1:17" x14ac:dyDescent="0.3">
      <c r="A216" s="51" t="s">
        <v>274</v>
      </c>
      <c r="B216" s="51" t="s">
        <v>13</v>
      </c>
      <c r="C216" s="74" t="s">
        <v>275</v>
      </c>
      <c r="D216" s="51" t="s">
        <v>49</v>
      </c>
      <c r="E216" s="75" t="s">
        <v>128</v>
      </c>
      <c r="F216" s="52">
        <v>1606</v>
      </c>
      <c r="G216" s="52">
        <v>451</v>
      </c>
      <c r="H216" s="52">
        <v>405</v>
      </c>
      <c r="I216" s="52">
        <v>20878</v>
      </c>
      <c r="J216" s="52">
        <v>20190</v>
      </c>
      <c r="K216" s="52">
        <v>219</v>
      </c>
      <c r="L216" s="51" t="s">
        <v>35</v>
      </c>
      <c r="M216" s="51" t="s">
        <v>34</v>
      </c>
      <c r="N216" s="29"/>
      <c r="O216" s="29"/>
      <c r="P216" s="32">
        <f t="shared" si="6"/>
        <v>0.11792317271769326</v>
      </c>
      <c r="Q216" s="31">
        <f t="shared" si="7"/>
        <v>2462</v>
      </c>
    </row>
    <row r="217" spans="1:17" x14ac:dyDescent="0.3">
      <c r="A217" s="51" t="s">
        <v>406</v>
      </c>
      <c r="B217" s="51" t="s">
        <v>40</v>
      </c>
      <c r="C217" s="74" t="s">
        <v>407</v>
      </c>
      <c r="D217" s="51" t="s">
        <v>49</v>
      </c>
      <c r="E217" s="75" t="s">
        <v>56</v>
      </c>
      <c r="F217" s="52">
        <v>1871</v>
      </c>
      <c r="G217" s="52">
        <v>252</v>
      </c>
      <c r="H217" s="52">
        <v>335</v>
      </c>
      <c r="I217" s="52">
        <v>29936</v>
      </c>
      <c r="J217" s="52">
        <v>29576</v>
      </c>
      <c r="K217" s="52">
        <v>288</v>
      </c>
      <c r="L217" s="51" t="s">
        <v>28</v>
      </c>
      <c r="M217" s="51" t="s">
        <v>34</v>
      </c>
      <c r="N217" s="29"/>
      <c r="O217" s="29"/>
      <c r="P217" s="32">
        <f t="shared" si="6"/>
        <v>8.2108498129342594E-2</v>
      </c>
      <c r="Q217" s="31">
        <f t="shared" si="7"/>
        <v>2458</v>
      </c>
    </row>
    <row r="218" spans="1:17" x14ac:dyDescent="0.3">
      <c r="A218" s="51" t="s">
        <v>185</v>
      </c>
      <c r="B218" s="51" t="s">
        <v>13</v>
      </c>
      <c r="C218" s="74" t="s">
        <v>130</v>
      </c>
      <c r="D218" s="51" t="s">
        <v>20</v>
      </c>
      <c r="E218" s="75" t="s">
        <v>21</v>
      </c>
      <c r="F218" s="52">
        <v>1292</v>
      </c>
      <c r="G218" s="52">
        <v>626</v>
      </c>
      <c r="H218" s="52">
        <v>496</v>
      </c>
      <c r="I218" s="52">
        <v>25840</v>
      </c>
      <c r="J218" s="52">
        <v>24916</v>
      </c>
      <c r="K218" s="52">
        <v>149</v>
      </c>
      <c r="L218" s="51" t="s">
        <v>28</v>
      </c>
      <c r="M218" s="51" t="s">
        <v>59</v>
      </c>
      <c r="N218" s="29"/>
      <c r="O218" s="29"/>
      <c r="P218" s="32">
        <f t="shared" si="6"/>
        <v>9.3421052631578946E-2</v>
      </c>
      <c r="Q218" s="31">
        <f t="shared" si="7"/>
        <v>2414</v>
      </c>
    </row>
    <row r="219" spans="1:17" x14ac:dyDescent="0.3">
      <c r="A219" s="51" t="s">
        <v>229</v>
      </c>
      <c r="B219" s="51" t="s">
        <v>30</v>
      </c>
      <c r="C219" s="74" t="s">
        <v>230</v>
      </c>
      <c r="D219" s="51" t="s">
        <v>71</v>
      </c>
      <c r="E219" s="75" t="s">
        <v>82</v>
      </c>
      <c r="F219" s="52">
        <v>1431</v>
      </c>
      <c r="G219" s="52">
        <v>951</v>
      </c>
      <c r="H219" s="52">
        <v>26</v>
      </c>
      <c r="I219" s="52">
        <v>8586</v>
      </c>
      <c r="J219" s="52">
        <v>8396</v>
      </c>
      <c r="K219" s="52">
        <v>150</v>
      </c>
      <c r="L219" s="51" t="s">
        <v>28</v>
      </c>
      <c r="M219" s="51" t="s">
        <v>34</v>
      </c>
      <c r="N219" s="29"/>
      <c r="O219" s="29"/>
      <c r="P219" s="32">
        <f t="shared" si="6"/>
        <v>0.28045655718611695</v>
      </c>
      <c r="Q219" s="31">
        <f t="shared" si="7"/>
        <v>2408</v>
      </c>
    </row>
    <row r="220" spans="1:17" x14ac:dyDescent="0.3">
      <c r="A220" s="51" t="s">
        <v>98</v>
      </c>
      <c r="B220" s="51" t="s">
        <v>24</v>
      </c>
      <c r="C220" s="74" t="s">
        <v>99</v>
      </c>
      <c r="D220" s="51" t="s">
        <v>20</v>
      </c>
      <c r="E220" s="75" t="s">
        <v>100</v>
      </c>
      <c r="F220" s="52">
        <v>2076</v>
      </c>
      <c r="G220" s="52">
        <v>195</v>
      </c>
      <c r="H220" s="52">
        <v>104</v>
      </c>
      <c r="I220" s="52">
        <v>33216</v>
      </c>
      <c r="J220" s="52">
        <v>32244</v>
      </c>
      <c r="K220" s="52">
        <v>51</v>
      </c>
      <c r="L220" s="51" t="s">
        <v>35</v>
      </c>
      <c r="M220" s="51" t="s">
        <v>59</v>
      </c>
      <c r="N220" s="29"/>
      <c r="O220" s="29"/>
      <c r="P220" s="32">
        <f t="shared" si="6"/>
        <v>7.1501685934489398E-2</v>
      </c>
      <c r="Q220" s="31">
        <f t="shared" si="7"/>
        <v>2375</v>
      </c>
    </row>
    <row r="221" spans="1:17" x14ac:dyDescent="0.3">
      <c r="A221" s="51" t="s">
        <v>419</v>
      </c>
      <c r="B221" s="51" t="s">
        <v>13</v>
      </c>
      <c r="C221" s="74" t="s">
        <v>420</v>
      </c>
      <c r="D221" s="51" t="s">
        <v>42</v>
      </c>
      <c r="E221" s="75" t="s">
        <v>46</v>
      </c>
      <c r="F221" s="52">
        <v>2120</v>
      </c>
      <c r="G221" s="52">
        <v>38</v>
      </c>
      <c r="H221" s="52">
        <v>212</v>
      </c>
      <c r="I221" s="52">
        <v>12720</v>
      </c>
      <c r="J221" s="52">
        <v>12564</v>
      </c>
      <c r="K221" s="52">
        <v>21</v>
      </c>
      <c r="L221" s="51" t="s">
        <v>35</v>
      </c>
      <c r="M221" s="51" t="s">
        <v>59</v>
      </c>
      <c r="N221" s="29"/>
      <c r="O221" s="29"/>
      <c r="P221" s="32">
        <f t="shared" si="6"/>
        <v>0.18632075471698112</v>
      </c>
      <c r="Q221" s="31">
        <f t="shared" si="7"/>
        <v>2370</v>
      </c>
    </row>
    <row r="222" spans="1:17" x14ac:dyDescent="0.3">
      <c r="A222" s="51" t="s">
        <v>484</v>
      </c>
      <c r="B222" s="51" t="s">
        <v>24</v>
      </c>
      <c r="C222" s="74" t="s">
        <v>245</v>
      </c>
      <c r="D222" s="51" t="s">
        <v>42</v>
      </c>
      <c r="E222" s="75" t="s">
        <v>65</v>
      </c>
      <c r="F222" s="52">
        <v>2143</v>
      </c>
      <c r="G222" s="52">
        <v>12</v>
      </c>
      <c r="H222" s="52">
        <v>204</v>
      </c>
      <c r="I222" s="52">
        <v>40717</v>
      </c>
      <c r="J222" s="52">
        <v>40125</v>
      </c>
      <c r="K222" s="52">
        <v>248</v>
      </c>
      <c r="L222" s="51" t="s">
        <v>22</v>
      </c>
      <c r="M222" s="51" t="s">
        <v>34</v>
      </c>
      <c r="N222" s="29"/>
      <c r="O222" s="29"/>
      <c r="P222" s="32">
        <f t="shared" si="6"/>
        <v>5.7936488444630008E-2</v>
      </c>
      <c r="Q222" s="31">
        <f t="shared" si="7"/>
        <v>2359</v>
      </c>
    </row>
    <row r="223" spans="1:17" x14ac:dyDescent="0.3">
      <c r="A223" s="51" t="s">
        <v>382</v>
      </c>
      <c r="B223" s="51" t="s">
        <v>13</v>
      </c>
      <c r="C223" s="74" t="s">
        <v>383</v>
      </c>
      <c r="D223" s="51" t="s">
        <v>15</v>
      </c>
      <c r="E223" s="75" t="s">
        <v>16</v>
      </c>
      <c r="F223" s="52">
        <v>1644</v>
      </c>
      <c r="G223" s="52">
        <v>546</v>
      </c>
      <c r="H223" s="52">
        <v>150</v>
      </c>
      <c r="I223" s="52">
        <v>27948</v>
      </c>
      <c r="J223" s="52">
        <v>27184</v>
      </c>
      <c r="K223" s="52">
        <v>300</v>
      </c>
      <c r="L223" s="51" t="s">
        <v>28</v>
      </c>
      <c r="M223" s="51" t="s">
        <v>34</v>
      </c>
      <c r="N223" s="29"/>
      <c r="O223" s="29"/>
      <c r="P223" s="32">
        <f t="shared" si="6"/>
        <v>8.3726921425504502E-2</v>
      </c>
      <c r="Q223" s="31">
        <f t="shared" si="7"/>
        <v>2340</v>
      </c>
    </row>
    <row r="224" spans="1:17" x14ac:dyDescent="0.3">
      <c r="A224" s="51" t="s">
        <v>360</v>
      </c>
      <c r="B224" s="51" t="s">
        <v>13</v>
      </c>
      <c r="C224" s="74" t="s">
        <v>361</v>
      </c>
      <c r="D224" s="51" t="s">
        <v>71</v>
      </c>
      <c r="E224" s="75" t="s">
        <v>141</v>
      </c>
      <c r="F224" s="52">
        <v>1330</v>
      </c>
      <c r="G224" s="52">
        <v>925</v>
      </c>
      <c r="H224" s="52">
        <v>35</v>
      </c>
      <c r="I224" s="52">
        <v>15960</v>
      </c>
      <c r="J224" s="52">
        <v>15379</v>
      </c>
      <c r="K224" s="52">
        <v>229</v>
      </c>
      <c r="L224" s="51" t="s">
        <v>28</v>
      </c>
      <c r="M224" s="51" t="s">
        <v>59</v>
      </c>
      <c r="N224" s="29"/>
      <c r="O224" s="29"/>
      <c r="P224" s="32">
        <f t="shared" si="6"/>
        <v>0.14348370927318296</v>
      </c>
      <c r="Q224" s="31">
        <f t="shared" si="7"/>
        <v>2290</v>
      </c>
    </row>
    <row r="225" spans="1:17" x14ac:dyDescent="0.3">
      <c r="A225" s="51" t="s">
        <v>241</v>
      </c>
      <c r="B225" s="51" t="s">
        <v>24</v>
      </c>
      <c r="C225" s="74" t="s">
        <v>242</v>
      </c>
      <c r="D225" s="51" t="s">
        <v>71</v>
      </c>
      <c r="E225" s="75" t="s">
        <v>212</v>
      </c>
      <c r="F225" s="52">
        <v>1766</v>
      </c>
      <c r="G225" s="52">
        <v>92</v>
      </c>
      <c r="H225" s="52">
        <v>424</v>
      </c>
      <c r="I225" s="52">
        <v>24724</v>
      </c>
      <c r="J225" s="52">
        <v>24333</v>
      </c>
      <c r="K225" s="52">
        <v>52</v>
      </c>
      <c r="L225" s="76"/>
      <c r="M225" s="51" t="s">
        <v>34</v>
      </c>
      <c r="N225" s="29"/>
      <c r="O225" s="29"/>
      <c r="P225" s="32">
        <f t="shared" si="6"/>
        <v>9.2298980747451867E-2</v>
      </c>
      <c r="Q225" s="31">
        <f t="shared" si="7"/>
        <v>2282</v>
      </c>
    </row>
    <row r="226" spans="1:17" x14ac:dyDescent="0.3">
      <c r="A226" s="51" t="s">
        <v>194</v>
      </c>
      <c r="B226" s="51" t="s">
        <v>24</v>
      </c>
      <c r="C226" s="74" t="s">
        <v>195</v>
      </c>
      <c r="D226" s="51" t="s">
        <v>15</v>
      </c>
      <c r="E226" s="75" t="s">
        <v>26</v>
      </c>
      <c r="F226" s="52">
        <v>1855</v>
      </c>
      <c r="G226" s="52">
        <v>200</v>
      </c>
      <c r="H226" s="52">
        <v>174</v>
      </c>
      <c r="I226" s="52">
        <v>16695</v>
      </c>
      <c r="J226" s="52">
        <v>16330</v>
      </c>
      <c r="K226" s="52">
        <v>123</v>
      </c>
      <c r="L226" s="51" t="s">
        <v>28</v>
      </c>
      <c r="M226" s="51" t="s">
        <v>27</v>
      </c>
      <c r="N226" s="29"/>
      <c r="O226" s="29"/>
      <c r="P226" s="32">
        <f t="shared" si="6"/>
        <v>0.13351302785265048</v>
      </c>
      <c r="Q226" s="31">
        <f t="shared" si="7"/>
        <v>2229</v>
      </c>
    </row>
    <row r="227" spans="1:17" x14ac:dyDescent="0.3">
      <c r="A227" s="51" t="s">
        <v>439</v>
      </c>
      <c r="B227" s="51" t="s">
        <v>30</v>
      </c>
      <c r="C227" s="74" t="s">
        <v>440</v>
      </c>
      <c r="D227" s="51" t="s">
        <v>42</v>
      </c>
      <c r="E227" s="75" t="s">
        <v>85</v>
      </c>
      <c r="F227" s="52">
        <v>1741</v>
      </c>
      <c r="G227" s="52">
        <v>164</v>
      </c>
      <c r="H227" s="52">
        <v>318</v>
      </c>
      <c r="I227" s="52">
        <v>8705</v>
      </c>
      <c r="J227" s="52">
        <v>8272</v>
      </c>
      <c r="K227" s="52">
        <v>121</v>
      </c>
      <c r="L227" s="76"/>
      <c r="M227" s="51" t="s">
        <v>27</v>
      </c>
      <c r="N227" s="29"/>
      <c r="O227" s="29"/>
      <c r="P227" s="32">
        <f t="shared" si="6"/>
        <v>0.25537047673750718</v>
      </c>
      <c r="Q227" s="31">
        <f t="shared" si="7"/>
        <v>2223</v>
      </c>
    </row>
    <row r="228" spans="1:17" x14ac:dyDescent="0.3">
      <c r="A228" s="51" t="s">
        <v>328</v>
      </c>
      <c r="B228" s="51" t="s">
        <v>30</v>
      </c>
      <c r="C228" s="74" t="s">
        <v>203</v>
      </c>
      <c r="D228" s="51" t="s">
        <v>42</v>
      </c>
      <c r="E228" s="75" t="s">
        <v>85</v>
      </c>
      <c r="F228" s="52">
        <v>985</v>
      </c>
      <c r="G228" s="52">
        <v>932</v>
      </c>
      <c r="H228" s="52">
        <v>287</v>
      </c>
      <c r="I228" s="52">
        <v>6895</v>
      </c>
      <c r="J228" s="52">
        <v>6757</v>
      </c>
      <c r="K228" s="52">
        <v>64</v>
      </c>
      <c r="L228" s="51" t="s">
        <v>35</v>
      </c>
      <c r="M228" s="51" t="s">
        <v>59</v>
      </c>
      <c r="N228" s="29"/>
      <c r="O228" s="29"/>
      <c r="P228" s="32">
        <f t="shared" si="6"/>
        <v>0.31965192168237855</v>
      </c>
      <c r="Q228" s="31">
        <f t="shared" si="7"/>
        <v>2204</v>
      </c>
    </row>
    <row r="229" spans="1:17" x14ac:dyDescent="0.3">
      <c r="A229" s="51" t="s">
        <v>386</v>
      </c>
      <c r="B229" s="51" t="s">
        <v>24</v>
      </c>
      <c r="C229" s="74" t="s">
        <v>387</v>
      </c>
      <c r="D229" s="51" t="s">
        <v>20</v>
      </c>
      <c r="E229" s="75" t="s">
        <v>100</v>
      </c>
      <c r="F229" s="52">
        <v>1963</v>
      </c>
      <c r="G229" s="52">
        <v>213</v>
      </c>
      <c r="H229" s="52">
        <v>19</v>
      </c>
      <c r="I229" s="52">
        <v>39260</v>
      </c>
      <c r="J229" s="52">
        <v>38771</v>
      </c>
      <c r="K229" s="52">
        <v>145</v>
      </c>
      <c r="L229" s="76"/>
      <c r="M229" s="51" t="s">
        <v>59</v>
      </c>
      <c r="N229" s="29"/>
      <c r="O229" s="29"/>
      <c r="P229" s="32">
        <f t="shared" si="6"/>
        <v>5.5909322465613857E-2</v>
      </c>
      <c r="Q229" s="31">
        <f t="shared" si="7"/>
        <v>2195</v>
      </c>
    </row>
    <row r="230" spans="1:17" x14ac:dyDescent="0.3">
      <c r="A230" s="51" t="s">
        <v>112</v>
      </c>
      <c r="B230" s="51" t="s">
        <v>40</v>
      </c>
      <c r="C230" s="74" t="s">
        <v>113</v>
      </c>
      <c r="D230" s="51" t="s">
        <v>49</v>
      </c>
      <c r="E230" s="75" t="s">
        <v>56</v>
      </c>
      <c r="F230" s="52">
        <v>1407</v>
      </c>
      <c r="G230" s="52">
        <v>400</v>
      </c>
      <c r="H230" s="52">
        <v>351</v>
      </c>
      <c r="I230" s="52">
        <v>16884</v>
      </c>
      <c r="J230" s="52">
        <v>15954</v>
      </c>
      <c r="K230" s="52">
        <v>113</v>
      </c>
      <c r="L230" s="51" t="s">
        <v>17</v>
      </c>
      <c r="M230" s="51" t="s">
        <v>27</v>
      </c>
      <c r="N230" s="29"/>
      <c r="O230" s="29"/>
      <c r="P230" s="32">
        <f t="shared" si="6"/>
        <v>0.12781331438047855</v>
      </c>
      <c r="Q230" s="31">
        <f t="shared" si="7"/>
        <v>2158</v>
      </c>
    </row>
    <row r="231" spans="1:17" x14ac:dyDescent="0.3">
      <c r="A231" s="51" t="s">
        <v>244</v>
      </c>
      <c r="B231" s="51" t="s">
        <v>13</v>
      </c>
      <c r="C231" s="74" t="s">
        <v>245</v>
      </c>
      <c r="D231" s="51" t="s">
        <v>15</v>
      </c>
      <c r="E231" s="75" t="s">
        <v>16</v>
      </c>
      <c r="F231" s="52">
        <v>1000</v>
      </c>
      <c r="G231" s="52">
        <v>978</v>
      </c>
      <c r="H231" s="52">
        <v>162</v>
      </c>
      <c r="I231" s="52">
        <v>6000</v>
      </c>
      <c r="J231" s="52">
        <v>5221</v>
      </c>
      <c r="K231" s="52">
        <v>223</v>
      </c>
      <c r="L231" s="51" t="s">
        <v>22</v>
      </c>
      <c r="M231" s="51" t="s">
        <v>34</v>
      </c>
      <c r="N231" s="29"/>
      <c r="O231" s="29"/>
      <c r="P231" s="32">
        <f t="shared" si="6"/>
        <v>0.35666666666666669</v>
      </c>
      <c r="Q231" s="31">
        <f t="shared" si="7"/>
        <v>2140</v>
      </c>
    </row>
    <row r="232" spans="1:17" x14ac:dyDescent="0.3">
      <c r="A232" s="51" t="s">
        <v>314</v>
      </c>
      <c r="B232" s="51" t="s">
        <v>30</v>
      </c>
      <c r="C232" s="74" t="s">
        <v>31</v>
      </c>
      <c r="D232" s="51" t="s">
        <v>42</v>
      </c>
      <c r="E232" s="75" t="s">
        <v>85</v>
      </c>
      <c r="F232" s="52">
        <v>1878</v>
      </c>
      <c r="G232" s="52">
        <v>62</v>
      </c>
      <c r="H232" s="52">
        <v>179</v>
      </c>
      <c r="I232" s="52">
        <v>37560</v>
      </c>
      <c r="J232" s="52">
        <v>36874</v>
      </c>
      <c r="K232" s="52">
        <v>142</v>
      </c>
      <c r="L232" s="51" t="s">
        <v>35</v>
      </c>
      <c r="M232" s="51" t="s">
        <v>27</v>
      </c>
      <c r="N232" s="29"/>
      <c r="O232" s="29"/>
      <c r="P232" s="32">
        <f t="shared" si="6"/>
        <v>5.6416400425985093E-2</v>
      </c>
      <c r="Q232" s="31">
        <f t="shared" si="7"/>
        <v>2119</v>
      </c>
    </row>
    <row r="233" spans="1:17" x14ac:dyDescent="0.3">
      <c r="A233" s="51" t="s">
        <v>531</v>
      </c>
      <c r="B233" s="51" t="s">
        <v>30</v>
      </c>
      <c r="C233" s="74" t="s">
        <v>395</v>
      </c>
      <c r="D233" s="51" t="s">
        <v>15</v>
      </c>
      <c r="E233" s="75" t="s">
        <v>79</v>
      </c>
      <c r="F233" s="52">
        <v>1164</v>
      </c>
      <c r="G233" s="52">
        <v>616</v>
      </c>
      <c r="H233" s="52">
        <v>324</v>
      </c>
      <c r="I233" s="52">
        <v>6984</v>
      </c>
      <c r="J233" s="52">
        <v>6636</v>
      </c>
      <c r="K233" s="52">
        <v>82</v>
      </c>
      <c r="L233" s="51" t="s">
        <v>17</v>
      </c>
      <c r="M233" s="51" t="s">
        <v>34</v>
      </c>
      <c r="N233" s="29"/>
      <c r="O233" s="29"/>
      <c r="P233" s="32">
        <f t="shared" si="6"/>
        <v>0.30126002290950743</v>
      </c>
      <c r="Q233" s="31">
        <f t="shared" si="7"/>
        <v>2104</v>
      </c>
    </row>
    <row r="234" spans="1:17" x14ac:dyDescent="0.3">
      <c r="A234" s="51" t="s">
        <v>114</v>
      </c>
      <c r="B234" s="51" t="s">
        <v>40</v>
      </c>
      <c r="C234" s="74" t="s">
        <v>115</v>
      </c>
      <c r="D234" s="51" t="s">
        <v>20</v>
      </c>
      <c r="E234" s="75" t="s">
        <v>53</v>
      </c>
      <c r="F234" s="52">
        <v>1652</v>
      </c>
      <c r="G234" s="52">
        <v>89</v>
      </c>
      <c r="H234" s="52">
        <v>357</v>
      </c>
      <c r="I234" s="52">
        <v>29736</v>
      </c>
      <c r="J234" s="52">
        <v>28771</v>
      </c>
      <c r="K234" s="52">
        <v>215</v>
      </c>
      <c r="L234" s="51" t="s">
        <v>28</v>
      </c>
      <c r="M234" s="51" t="s">
        <v>27</v>
      </c>
      <c r="N234" s="29"/>
      <c r="O234" s="29"/>
      <c r="P234" s="32">
        <f t="shared" si="6"/>
        <v>7.055421038471886E-2</v>
      </c>
      <c r="Q234" s="31">
        <f t="shared" si="7"/>
        <v>2098</v>
      </c>
    </row>
    <row r="235" spans="1:17" x14ac:dyDescent="0.3">
      <c r="A235" s="51" t="s">
        <v>523</v>
      </c>
      <c r="B235" s="51" t="s">
        <v>30</v>
      </c>
      <c r="C235" s="74" t="s">
        <v>524</v>
      </c>
      <c r="D235" s="51" t="s">
        <v>71</v>
      </c>
      <c r="E235" s="75" t="s">
        <v>82</v>
      </c>
      <c r="F235" s="52">
        <v>1488</v>
      </c>
      <c r="G235" s="52">
        <v>417</v>
      </c>
      <c r="H235" s="52">
        <v>168</v>
      </c>
      <c r="I235" s="52">
        <v>19344</v>
      </c>
      <c r="J235" s="52">
        <v>18395</v>
      </c>
      <c r="K235" s="52">
        <v>30</v>
      </c>
      <c r="L235" s="51" t="s">
        <v>28</v>
      </c>
      <c r="M235" s="51" t="s">
        <v>59</v>
      </c>
      <c r="N235" s="29"/>
      <c r="O235" s="29"/>
      <c r="P235" s="32">
        <f t="shared" si="6"/>
        <v>0.1071650124069479</v>
      </c>
      <c r="Q235" s="31">
        <f t="shared" si="7"/>
        <v>2073</v>
      </c>
    </row>
    <row r="236" spans="1:17" x14ac:dyDescent="0.3">
      <c r="A236" s="51" t="s">
        <v>234</v>
      </c>
      <c r="B236" s="51" t="s">
        <v>13</v>
      </c>
      <c r="C236" s="74" t="s">
        <v>235</v>
      </c>
      <c r="D236" s="51" t="s">
        <v>49</v>
      </c>
      <c r="E236" s="75" t="s">
        <v>128</v>
      </c>
      <c r="F236" s="52">
        <v>1238</v>
      </c>
      <c r="G236" s="52">
        <v>366</v>
      </c>
      <c r="H236" s="52">
        <v>444</v>
      </c>
      <c r="I236" s="52">
        <v>19808</v>
      </c>
      <c r="J236" s="52">
        <v>19334</v>
      </c>
      <c r="K236" s="52">
        <v>123</v>
      </c>
      <c r="L236" s="76"/>
      <c r="M236" s="51" t="s">
        <v>59</v>
      </c>
      <c r="N236" s="29"/>
      <c r="O236" s="29"/>
      <c r="P236" s="32">
        <f t="shared" si="6"/>
        <v>0.10339256865912763</v>
      </c>
      <c r="Q236" s="31">
        <f t="shared" si="7"/>
        <v>2048</v>
      </c>
    </row>
    <row r="237" spans="1:17" x14ac:dyDescent="0.3">
      <c r="A237" s="51" t="s">
        <v>389</v>
      </c>
      <c r="B237" s="51" t="s">
        <v>30</v>
      </c>
      <c r="C237" s="74" t="s">
        <v>390</v>
      </c>
      <c r="D237" s="51" t="s">
        <v>71</v>
      </c>
      <c r="E237" s="75" t="s">
        <v>82</v>
      </c>
      <c r="F237" s="52">
        <v>1176</v>
      </c>
      <c r="G237" s="52">
        <v>464</v>
      </c>
      <c r="H237" s="52">
        <v>394</v>
      </c>
      <c r="I237" s="52">
        <v>14112</v>
      </c>
      <c r="J237" s="52">
        <v>13588</v>
      </c>
      <c r="K237" s="52">
        <v>272</v>
      </c>
      <c r="L237" s="76"/>
      <c r="M237" s="51" t="s">
        <v>34</v>
      </c>
      <c r="N237" s="29"/>
      <c r="O237" s="29"/>
      <c r="P237" s="32">
        <f t="shared" si="6"/>
        <v>0.1441326530612245</v>
      </c>
      <c r="Q237" s="31">
        <f t="shared" si="7"/>
        <v>2034</v>
      </c>
    </row>
    <row r="238" spans="1:17" x14ac:dyDescent="0.3">
      <c r="A238" s="51" t="s">
        <v>88</v>
      </c>
      <c r="B238" s="51" t="s">
        <v>40</v>
      </c>
      <c r="C238" s="74" t="s">
        <v>89</v>
      </c>
      <c r="D238" s="51" t="s">
        <v>20</v>
      </c>
      <c r="E238" s="75" t="s">
        <v>53</v>
      </c>
      <c r="F238" s="52">
        <v>1570</v>
      </c>
      <c r="G238" s="52">
        <v>187</v>
      </c>
      <c r="H238" s="52">
        <v>260</v>
      </c>
      <c r="I238" s="52">
        <v>25120</v>
      </c>
      <c r="J238" s="52">
        <v>24613</v>
      </c>
      <c r="K238" s="52">
        <v>133</v>
      </c>
      <c r="L238" s="51" t="s">
        <v>35</v>
      </c>
      <c r="M238" s="51" t="s">
        <v>27</v>
      </c>
      <c r="N238" s="29"/>
      <c r="O238" s="29"/>
      <c r="P238" s="32">
        <f t="shared" si="6"/>
        <v>8.0294585987261149E-2</v>
      </c>
      <c r="Q238" s="31">
        <f t="shared" si="7"/>
        <v>2017</v>
      </c>
    </row>
    <row r="239" spans="1:17" x14ac:dyDescent="0.3">
      <c r="A239" s="51" t="s">
        <v>226</v>
      </c>
      <c r="B239" s="51" t="s">
        <v>40</v>
      </c>
      <c r="C239" s="74" t="s">
        <v>227</v>
      </c>
      <c r="D239" s="51" t="s">
        <v>49</v>
      </c>
      <c r="E239" s="75" t="s">
        <v>56</v>
      </c>
      <c r="F239" s="52">
        <v>1263</v>
      </c>
      <c r="G239" s="52">
        <v>397</v>
      </c>
      <c r="H239" s="52">
        <v>357</v>
      </c>
      <c r="I239" s="52">
        <v>25260</v>
      </c>
      <c r="J239" s="52">
        <v>24615</v>
      </c>
      <c r="K239" s="52">
        <v>137</v>
      </c>
      <c r="L239" s="51" t="s">
        <v>35</v>
      </c>
      <c r="M239" s="51" t="s">
        <v>34</v>
      </c>
      <c r="N239" s="29"/>
      <c r="O239" s="29"/>
      <c r="P239" s="32">
        <f t="shared" si="6"/>
        <v>7.984956452889945E-2</v>
      </c>
      <c r="Q239" s="31">
        <f t="shared" si="7"/>
        <v>2017</v>
      </c>
    </row>
    <row r="240" spans="1:17" x14ac:dyDescent="0.3">
      <c r="A240" s="51" t="s">
        <v>279</v>
      </c>
      <c r="B240" s="51" t="s">
        <v>40</v>
      </c>
      <c r="C240" s="74" t="s">
        <v>163</v>
      </c>
      <c r="D240" s="51" t="s">
        <v>32</v>
      </c>
      <c r="E240" s="75" t="s">
        <v>68</v>
      </c>
      <c r="F240" s="52">
        <v>780</v>
      </c>
      <c r="G240" s="52">
        <v>928</v>
      </c>
      <c r="H240" s="52">
        <v>301</v>
      </c>
      <c r="I240" s="52">
        <v>8580</v>
      </c>
      <c r="J240" s="52">
        <v>8081</v>
      </c>
      <c r="K240" s="52">
        <v>91</v>
      </c>
      <c r="L240" s="51" t="s">
        <v>28</v>
      </c>
      <c r="M240" s="51" t="s">
        <v>34</v>
      </c>
      <c r="N240" s="29"/>
      <c r="O240" s="29"/>
      <c r="P240" s="32">
        <f t="shared" si="6"/>
        <v>0.23414918414918415</v>
      </c>
      <c r="Q240" s="31">
        <f t="shared" si="7"/>
        <v>2009</v>
      </c>
    </row>
    <row r="241" spans="1:17" x14ac:dyDescent="0.3">
      <c r="A241" s="51" t="s">
        <v>12</v>
      </c>
      <c r="B241" s="51" t="s">
        <v>13</v>
      </c>
      <c r="C241" s="74" t="s">
        <v>14</v>
      </c>
      <c r="D241" s="51" t="s">
        <v>15</v>
      </c>
      <c r="E241" s="75" t="s">
        <v>16</v>
      </c>
      <c r="F241" s="52">
        <v>1461</v>
      </c>
      <c r="G241" s="52">
        <v>184</v>
      </c>
      <c r="H241" s="52">
        <v>344</v>
      </c>
      <c r="I241" s="52">
        <v>21915</v>
      </c>
      <c r="J241" s="52">
        <v>21675</v>
      </c>
      <c r="K241" s="52">
        <v>15</v>
      </c>
      <c r="L241" s="51" t="s">
        <v>17</v>
      </c>
      <c r="M241" s="51" t="s">
        <v>59</v>
      </c>
      <c r="N241" s="29" t="s">
        <v>600</v>
      </c>
      <c r="O241" s="29"/>
      <c r="P241" s="32">
        <f t="shared" si="6"/>
        <v>9.0759753593429152E-2</v>
      </c>
      <c r="Q241" s="31">
        <f t="shared" si="7"/>
        <v>1989</v>
      </c>
    </row>
    <row r="242" spans="1:17" x14ac:dyDescent="0.3">
      <c r="A242" s="51" t="s">
        <v>168</v>
      </c>
      <c r="B242" s="51" t="s">
        <v>30</v>
      </c>
      <c r="C242" s="74" t="s">
        <v>169</v>
      </c>
      <c r="D242" s="51" t="s">
        <v>71</v>
      </c>
      <c r="E242" s="75" t="s">
        <v>82</v>
      </c>
      <c r="F242" s="52">
        <v>904</v>
      </c>
      <c r="G242" s="52">
        <v>973</v>
      </c>
      <c r="H242" s="52">
        <v>63</v>
      </c>
      <c r="I242" s="52">
        <v>11752</v>
      </c>
      <c r="J242" s="52">
        <v>11580</v>
      </c>
      <c r="K242" s="52">
        <v>84</v>
      </c>
      <c r="L242" s="51" t="s">
        <v>28</v>
      </c>
      <c r="M242" s="51" t="s">
        <v>34</v>
      </c>
      <c r="N242" s="29" t="s">
        <v>27</v>
      </c>
      <c r="O242" s="29" t="s">
        <v>600</v>
      </c>
      <c r="P242" s="32">
        <f t="shared" si="6"/>
        <v>0.1650782845473111</v>
      </c>
      <c r="Q242" s="31">
        <f t="shared" si="7"/>
        <v>1940</v>
      </c>
    </row>
    <row r="243" spans="1:17" x14ac:dyDescent="0.3">
      <c r="A243" s="51" t="s">
        <v>205</v>
      </c>
      <c r="B243" s="51" t="s">
        <v>30</v>
      </c>
      <c r="C243" s="74" t="s">
        <v>206</v>
      </c>
      <c r="D243" s="51" t="s">
        <v>32</v>
      </c>
      <c r="E243" s="75" t="s">
        <v>33</v>
      </c>
      <c r="F243" s="52">
        <v>1816</v>
      </c>
      <c r="G243" s="52">
        <v>29</v>
      </c>
      <c r="H243" s="52">
        <v>41</v>
      </c>
      <c r="I243" s="52">
        <v>19976</v>
      </c>
      <c r="J243" s="52">
        <v>19262</v>
      </c>
      <c r="K243" s="52">
        <v>283</v>
      </c>
      <c r="L243" s="51" t="s">
        <v>28</v>
      </c>
      <c r="M243" s="51" t="s">
        <v>27</v>
      </c>
      <c r="N243" s="29"/>
      <c r="O243" s="29"/>
      <c r="P243" s="32">
        <f t="shared" si="6"/>
        <v>9.4413295955146179E-2</v>
      </c>
      <c r="Q243" s="31">
        <f t="shared" si="7"/>
        <v>1886</v>
      </c>
    </row>
    <row r="244" spans="1:17" x14ac:dyDescent="0.3">
      <c r="A244" s="51" t="s">
        <v>514</v>
      </c>
      <c r="B244" s="51" t="s">
        <v>13</v>
      </c>
      <c r="C244" s="74" t="s">
        <v>515</v>
      </c>
      <c r="D244" s="51" t="s">
        <v>42</v>
      </c>
      <c r="E244" s="75" t="s">
        <v>46</v>
      </c>
      <c r="F244" s="52">
        <v>1556</v>
      </c>
      <c r="G244" s="52">
        <v>195</v>
      </c>
      <c r="H244" s="52">
        <v>131</v>
      </c>
      <c r="I244" s="52">
        <v>9336</v>
      </c>
      <c r="J244" s="52">
        <v>8875</v>
      </c>
      <c r="K244" s="52">
        <v>137</v>
      </c>
      <c r="L244" s="51" t="s">
        <v>22</v>
      </c>
      <c r="M244" s="51" t="s">
        <v>27</v>
      </c>
      <c r="N244" s="29"/>
      <c r="O244" s="29"/>
      <c r="P244" s="32">
        <f t="shared" si="6"/>
        <v>0.2015852613538989</v>
      </c>
      <c r="Q244" s="31">
        <f t="shared" si="7"/>
        <v>1882</v>
      </c>
    </row>
    <row r="245" spans="1:17" x14ac:dyDescent="0.3">
      <c r="A245" s="51" t="s">
        <v>399</v>
      </c>
      <c r="B245" s="51" t="s">
        <v>13</v>
      </c>
      <c r="C245" s="74" t="s">
        <v>400</v>
      </c>
      <c r="D245" s="51" t="s">
        <v>49</v>
      </c>
      <c r="E245" s="75" t="s">
        <v>128</v>
      </c>
      <c r="F245" s="52">
        <v>1048</v>
      </c>
      <c r="G245" s="52">
        <v>374</v>
      </c>
      <c r="H245" s="52">
        <v>450</v>
      </c>
      <c r="I245" s="52">
        <v>9432</v>
      </c>
      <c r="J245" s="52">
        <v>8882</v>
      </c>
      <c r="K245" s="52">
        <v>158</v>
      </c>
      <c r="L245" s="51" t="s">
        <v>28</v>
      </c>
      <c r="M245" s="51" t="s">
        <v>27</v>
      </c>
      <c r="N245" s="29"/>
      <c r="O245" s="29"/>
      <c r="P245" s="32">
        <f t="shared" si="6"/>
        <v>0.19847328244274809</v>
      </c>
      <c r="Q245" s="31">
        <f t="shared" si="7"/>
        <v>1872</v>
      </c>
    </row>
    <row r="246" spans="1:17" x14ac:dyDescent="0.3">
      <c r="A246" s="51" t="s">
        <v>372</v>
      </c>
      <c r="B246" s="51" t="s">
        <v>24</v>
      </c>
      <c r="C246" s="74" t="s">
        <v>373</v>
      </c>
      <c r="D246" s="51" t="s">
        <v>49</v>
      </c>
      <c r="E246" s="75" t="s">
        <v>50</v>
      </c>
      <c r="F246" s="52">
        <v>606</v>
      </c>
      <c r="G246" s="52">
        <v>789</v>
      </c>
      <c r="H246" s="52">
        <v>470</v>
      </c>
      <c r="I246" s="52">
        <v>7878</v>
      </c>
      <c r="J246" s="52">
        <v>7389</v>
      </c>
      <c r="K246" s="52">
        <v>239</v>
      </c>
      <c r="L246" s="51" t="s">
        <v>28</v>
      </c>
      <c r="M246" s="51" t="s">
        <v>34</v>
      </c>
      <c r="N246" s="29"/>
      <c r="O246" s="29"/>
      <c r="P246" s="32">
        <f t="shared" si="6"/>
        <v>0.23673521198273673</v>
      </c>
      <c r="Q246" s="31">
        <f t="shared" si="7"/>
        <v>1865</v>
      </c>
    </row>
    <row r="247" spans="1:17" x14ac:dyDescent="0.3">
      <c r="A247" s="51" t="s">
        <v>447</v>
      </c>
      <c r="B247" s="51" t="s">
        <v>30</v>
      </c>
      <c r="C247" s="74" t="s">
        <v>423</v>
      </c>
      <c r="D247" s="51" t="s">
        <v>20</v>
      </c>
      <c r="E247" s="75" t="s">
        <v>109</v>
      </c>
      <c r="F247" s="52">
        <v>1430</v>
      </c>
      <c r="G247" s="52">
        <v>376</v>
      </c>
      <c r="H247" s="52">
        <v>33</v>
      </c>
      <c r="I247" s="52">
        <v>21450</v>
      </c>
      <c r="J247" s="52">
        <v>20509</v>
      </c>
      <c r="K247" s="52">
        <v>251</v>
      </c>
      <c r="L247" s="51" t="s">
        <v>17</v>
      </c>
      <c r="M247" s="51" t="s">
        <v>59</v>
      </c>
      <c r="N247" s="29"/>
      <c r="O247" s="29"/>
      <c r="P247" s="32">
        <f t="shared" si="6"/>
        <v>8.5734265734265735E-2</v>
      </c>
      <c r="Q247" s="31">
        <f t="shared" si="7"/>
        <v>1839</v>
      </c>
    </row>
    <row r="248" spans="1:17" x14ac:dyDescent="0.3">
      <c r="A248" s="51" t="s">
        <v>451</v>
      </c>
      <c r="B248" s="51" t="s">
        <v>40</v>
      </c>
      <c r="C248" s="74" t="s">
        <v>452</v>
      </c>
      <c r="D248" s="51" t="s">
        <v>20</v>
      </c>
      <c r="E248" s="75" t="s">
        <v>53</v>
      </c>
      <c r="F248" s="52">
        <v>1272</v>
      </c>
      <c r="G248" s="52">
        <v>465</v>
      </c>
      <c r="H248" s="52">
        <v>99</v>
      </c>
      <c r="I248" s="52">
        <v>24168</v>
      </c>
      <c r="J248" s="52">
        <v>23719</v>
      </c>
      <c r="K248" s="52">
        <v>42</v>
      </c>
      <c r="L248" s="76"/>
      <c r="M248" s="51" t="s">
        <v>27</v>
      </c>
      <c r="N248" s="29"/>
      <c r="O248" s="29"/>
      <c r="P248" s="32">
        <f t="shared" si="6"/>
        <v>7.5968222442899705E-2</v>
      </c>
      <c r="Q248" s="31">
        <f t="shared" si="7"/>
        <v>1836</v>
      </c>
    </row>
    <row r="249" spans="1:17" x14ac:dyDescent="0.3">
      <c r="A249" s="51" t="s">
        <v>430</v>
      </c>
      <c r="B249" s="51" t="s">
        <v>13</v>
      </c>
      <c r="C249" s="74" t="s">
        <v>169</v>
      </c>
      <c r="D249" s="51" t="s">
        <v>15</v>
      </c>
      <c r="E249" s="75" t="s">
        <v>16</v>
      </c>
      <c r="F249" s="52">
        <v>1188</v>
      </c>
      <c r="G249" s="52">
        <v>470</v>
      </c>
      <c r="H249" s="52">
        <v>174</v>
      </c>
      <c r="I249" s="52">
        <v>7128</v>
      </c>
      <c r="J249" s="52">
        <v>6145</v>
      </c>
      <c r="K249" s="52">
        <v>270</v>
      </c>
      <c r="L249" s="51" t="s">
        <v>35</v>
      </c>
      <c r="M249" s="51" t="s">
        <v>27</v>
      </c>
      <c r="N249" s="29"/>
      <c r="O249" s="29"/>
      <c r="P249" s="32">
        <f t="shared" si="6"/>
        <v>0.25701459034792368</v>
      </c>
      <c r="Q249" s="31">
        <f t="shared" si="7"/>
        <v>1832</v>
      </c>
    </row>
    <row r="250" spans="1:17" x14ac:dyDescent="0.3">
      <c r="A250" s="51" t="s">
        <v>356</v>
      </c>
      <c r="B250" s="51" t="s">
        <v>24</v>
      </c>
      <c r="C250" s="74" t="s">
        <v>357</v>
      </c>
      <c r="D250" s="51" t="s">
        <v>71</v>
      </c>
      <c r="E250" s="75" t="s">
        <v>212</v>
      </c>
      <c r="F250" s="52">
        <v>1018</v>
      </c>
      <c r="G250" s="52">
        <v>447</v>
      </c>
      <c r="H250" s="52">
        <v>332</v>
      </c>
      <c r="I250" s="52">
        <v>18324</v>
      </c>
      <c r="J250" s="52">
        <v>18164</v>
      </c>
      <c r="K250" s="52">
        <v>38</v>
      </c>
      <c r="L250" s="51" t="s">
        <v>22</v>
      </c>
      <c r="M250" s="51" t="s">
        <v>59</v>
      </c>
      <c r="N250" s="29"/>
      <c r="O250" s="29"/>
      <c r="P250" s="32">
        <f t="shared" si="6"/>
        <v>9.8068107400130972E-2</v>
      </c>
      <c r="Q250" s="31">
        <f t="shared" si="7"/>
        <v>1797</v>
      </c>
    </row>
    <row r="251" spans="1:17" x14ac:dyDescent="0.3">
      <c r="A251" s="51" t="s">
        <v>200</v>
      </c>
      <c r="B251" s="51" t="s">
        <v>40</v>
      </c>
      <c r="C251" s="74" t="s">
        <v>102</v>
      </c>
      <c r="D251" s="51" t="s">
        <v>32</v>
      </c>
      <c r="E251" s="75" t="s">
        <v>68</v>
      </c>
      <c r="F251" s="52">
        <v>1249</v>
      </c>
      <c r="G251" s="52">
        <v>116</v>
      </c>
      <c r="H251" s="52">
        <v>420</v>
      </c>
      <c r="I251" s="52">
        <v>8743</v>
      </c>
      <c r="J251" s="52">
        <v>8538</v>
      </c>
      <c r="K251" s="52">
        <v>63</v>
      </c>
      <c r="L251" s="76"/>
      <c r="M251" s="51" t="s">
        <v>27</v>
      </c>
      <c r="N251" s="29"/>
      <c r="O251" s="29"/>
      <c r="P251" s="32">
        <f t="shared" si="6"/>
        <v>0.20416333066453163</v>
      </c>
      <c r="Q251" s="31">
        <f t="shared" si="7"/>
        <v>1785</v>
      </c>
    </row>
    <row r="252" spans="1:17" x14ac:dyDescent="0.3">
      <c r="A252" s="75" t="s">
        <v>338</v>
      </c>
      <c r="B252" s="75" t="s">
        <v>13</v>
      </c>
      <c r="C252" s="74" t="s">
        <v>339</v>
      </c>
      <c r="D252" s="51" t="s">
        <v>71</v>
      </c>
      <c r="E252" s="75" t="s">
        <v>141</v>
      </c>
      <c r="F252" s="52">
        <v>1082</v>
      </c>
      <c r="G252" s="52">
        <v>209</v>
      </c>
      <c r="H252" s="52">
        <v>484</v>
      </c>
      <c r="I252" s="52">
        <v>19476</v>
      </c>
      <c r="J252" s="52">
        <v>18654</v>
      </c>
      <c r="K252" s="52">
        <v>20</v>
      </c>
      <c r="L252" s="76"/>
      <c r="M252" s="51" t="s">
        <v>27</v>
      </c>
      <c r="N252" s="29"/>
      <c r="O252" s="29"/>
      <c r="P252" s="32">
        <f t="shared" si="6"/>
        <v>9.1137810638734856E-2</v>
      </c>
      <c r="Q252" s="31">
        <f t="shared" si="7"/>
        <v>1775</v>
      </c>
    </row>
    <row r="253" spans="1:17" x14ac:dyDescent="0.3">
      <c r="A253" s="75" t="s">
        <v>427</v>
      </c>
      <c r="B253" s="75" t="s">
        <v>24</v>
      </c>
      <c r="C253" s="74" t="s">
        <v>261</v>
      </c>
      <c r="D253" s="51" t="s">
        <v>32</v>
      </c>
      <c r="E253" s="75" t="s">
        <v>150</v>
      </c>
      <c r="F253" s="52">
        <v>1509</v>
      </c>
      <c r="G253" s="52">
        <v>88</v>
      </c>
      <c r="H253" s="52">
        <v>163</v>
      </c>
      <c r="I253" s="52">
        <v>30180</v>
      </c>
      <c r="J253" s="52">
        <v>29689</v>
      </c>
      <c r="K253" s="52">
        <v>119</v>
      </c>
      <c r="L253" s="51" t="s">
        <v>22</v>
      </c>
      <c r="M253" s="51" t="s">
        <v>34</v>
      </c>
      <c r="N253" s="29"/>
      <c r="O253" s="29"/>
      <c r="P253" s="32">
        <f t="shared" si="6"/>
        <v>5.8316766070245198E-2</v>
      </c>
      <c r="Q253" s="31">
        <f t="shared" si="7"/>
        <v>1760</v>
      </c>
    </row>
    <row r="254" spans="1:17" x14ac:dyDescent="0.3">
      <c r="A254" s="75" t="s">
        <v>283</v>
      </c>
      <c r="B254" s="75" t="s">
        <v>24</v>
      </c>
      <c r="C254" s="74" t="s">
        <v>284</v>
      </c>
      <c r="D254" s="51" t="s">
        <v>42</v>
      </c>
      <c r="E254" s="75" t="s">
        <v>65</v>
      </c>
      <c r="F254" s="52">
        <v>736</v>
      </c>
      <c r="G254" s="52">
        <v>771</v>
      </c>
      <c r="H254" s="52">
        <v>225</v>
      </c>
      <c r="I254" s="52">
        <v>5152</v>
      </c>
      <c r="J254" s="52">
        <v>4706</v>
      </c>
      <c r="K254" s="52">
        <v>19</v>
      </c>
      <c r="L254" s="51" t="s">
        <v>17</v>
      </c>
      <c r="M254" s="51" t="s">
        <v>34</v>
      </c>
      <c r="N254" s="29"/>
      <c r="O254" s="29"/>
      <c r="P254" s="32">
        <f t="shared" si="6"/>
        <v>0.33618012422360249</v>
      </c>
      <c r="Q254" s="31">
        <f t="shared" si="7"/>
        <v>1732</v>
      </c>
    </row>
    <row r="255" spans="1:17" x14ac:dyDescent="0.3">
      <c r="A255" s="75" t="s">
        <v>348</v>
      </c>
      <c r="B255" s="75" t="s">
        <v>13</v>
      </c>
      <c r="C255" s="74" t="s">
        <v>67</v>
      </c>
      <c r="D255" s="51" t="s">
        <v>15</v>
      </c>
      <c r="E255" s="75" t="s">
        <v>16</v>
      </c>
      <c r="F255" s="52">
        <v>1076</v>
      </c>
      <c r="G255" s="52">
        <v>313</v>
      </c>
      <c r="H255" s="52">
        <v>306</v>
      </c>
      <c r="I255" s="52">
        <v>11836</v>
      </c>
      <c r="J255" s="52">
        <v>11596</v>
      </c>
      <c r="K255" s="52">
        <v>104</v>
      </c>
      <c r="L255" s="51" t="s">
        <v>17</v>
      </c>
      <c r="M255" s="51" t="s">
        <v>59</v>
      </c>
      <c r="N255" s="29"/>
      <c r="O255" s="29"/>
      <c r="P255" s="32">
        <f t="shared" si="6"/>
        <v>0.14320716458262928</v>
      </c>
      <c r="Q255" s="31">
        <f t="shared" si="7"/>
        <v>1695</v>
      </c>
    </row>
    <row r="256" spans="1:17" x14ac:dyDescent="0.3">
      <c r="A256" s="75" t="s">
        <v>63</v>
      </c>
      <c r="B256" s="75" t="s">
        <v>24</v>
      </c>
      <c r="C256" s="74" t="s">
        <v>64</v>
      </c>
      <c r="D256" s="51" t="s">
        <v>42</v>
      </c>
      <c r="E256" s="75" t="s">
        <v>65</v>
      </c>
      <c r="F256" s="52">
        <v>1171</v>
      </c>
      <c r="G256" s="52">
        <v>286</v>
      </c>
      <c r="H256" s="52">
        <v>231</v>
      </c>
      <c r="I256" s="52">
        <v>22249</v>
      </c>
      <c r="J256" s="52">
        <v>21282</v>
      </c>
      <c r="K256" s="52">
        <v>114</v>
      </c>
      <c r="L256" s="51" t="s">
        <v>17</v>
      </c>
      <c r="M256" s="51" t="s">
        <v>34</v>
      </c>
      <c r="N256" s="29"/>
      <c r="O256" s="29"/>
      <c r="P256" s="32">
        <f t="shared" si="6"/>
        <v>7.5868578363072495E-2</v>
      </c>
      <c r="Q256" s="31">
        <f t="shared" si="7"/>
        <v>1688</v>
      </c>
    </row>
    <row r="257" spans="1:17" x14ac:dyDescent="0.3">
      <c r="A257" s="75" t="s">
        <v>153</v>
      </c>
      <c r="B257" s="75" t="s">
        <v>40</v>
      </c>
      <c r="C257" s="74" t="s">
        <v>154</v>
      </c>
      <c r="D257" s="51" t="s">
        <v>49</v>
      </c>
      <c r="E257" s="75" t="s">
        <v>56</v>
      </c>
      <c r="F257" s="52">
        <v>947</v>
      </c>
      <c r="G257" s="52">
        <v>338</v>
      </c>
      <c r="H257" s="52">
        <v>350</v>
      </c>
      <c r="I257" s="52">
        <v>10417</v>
      </c>
      <c r="J257" s="52">
        <v>9730</v>
      </c>
      <c r="K257" s="52">
        <v>34</v>
      </c>
      <c r="L257" s="51" t="s">
        <v>35</v>
      </c>
      <c r="M257" s="51" t="s">
        <v>27</v>
      </c>
      <c r="N257" s="29"/>
      <c r="O257" s="29"/>
      <c r="P257" s="32">
        <f t="shared" si="6"/>
        <v>0.1569549774407219</v>
      </c>
      <c r="Q257" s="31">
        <f t="shared" si="7"/>
        <v>1635</v>
      </c>
    </row>
    <row r="258" spans="1:17" x14ac:dyDescent="0.3">
      <c r="A258" s="75" t="s">
        <v>454</v>
      </c>
      <c r="B258" s="75" t="s">
        <v>40</v>
      </c>
      <c r="C258" s="74" t="s">
        <v>78</v>
      </c>
      <c r="D258" s="51" t="s">
        <v>20</v>
      </c>
      <c r="E258" s="75" t="s">
        <v>53</v>
      </c>
      <c r="F258" s="52">
        <v>1257</v>
      </c>
      <c r="G258" s="52">
        <v>19</v>
      </c>
      <c r="H258" s="52">
        <v>351</v>
      </c>
      <c r="I258" s="52">
        <v>12570</v>
      </c>
      <c r="J258" s="52">
        <v>11660</v>
      </c>
      <c r="K258" s="52">
        <v>194</v>
      </c>
      <c r="L258" s="51" t="s">
        <v>22</v>
      </c>
      <c r="M258" s="51" t="s">
        <v>59</v>
      </c>
      <c r="N258" s="29" t="s">
        <v>600</v>
      </c>
      <c r="O258" s="29" t="s">
        <v>34</v>
      </c>
      <c r="P258" s="32">
        <f t="shared" ref="P258:P301" si="8">(F258+G258+H258)/I258</f>
        <v>0.12943516308671441</v>
      </c>
      <c r="Q258" s="31">
        <f t="shared" ref="Q258:Q301" si="9">F258+G258+H258</f>
        <v>1627</v>
      </c>
    </row>
    <row r="259" spans="1:17" x14ac:dyDescent="0.3">
      <c r="A259" s="75" t="s">
        <v>394</v>
      </c>
      <c r="B259" s="75" t="s">
        <v>30</v>
      </c>
      <c r="C259" s="74" t="s">
        <v>395</v>
      </c>
      <c r="D259" s="51" t="s">
        <v>42</v>
      </c>
      <c r="E259" s="75" t="s">
        <v>85</v>
      </c>
      <c r="F259" s="52">
        <v>914</v>
      </c>
      <c r="G259" s="52">
        <v>464</v>
      </c>
      <c r="H259" s="52">
        <v>246</v>
      </c>
      <c r="I259" s="52">
        <v>11882</v>
      </c>
      <c r="J259" s="52">
        <v>11500</v>
      </c>
      <c r="K259" s="52">
        <v>282</v>
      </c>
      <c r="L259" s="51" t="s">
        <v>35</v>
      </c>
      <c r="M259" s="51" t="s">
        <v>59</v>
      </c>
      <c r="N259" s="29" t="s">
        <v>27</v>
      </c>
      <c r="O259" s="29" t="s">
        <v>600</v>
      </c>
      <c r="P259" s="32">
        <f t="shared" si="8"/>
        <v>0.13667732704931829</v>
      </c>
      <c r="Q259" s="31">
        <f t="shared" si="9"/>
        <v>1624</v>
      </c>
    </row>
    <row r="260" spans="1:17" x14ac:dyDescent="0.3">
      <c r="A260" s="75" t="s">
        <v>418</v>
      </c>
      <c r="B260" s="75" t="s">
        <v>24</v>
      </c>
      <c r="C260" s="75" t="s">
        <v>341</v>
      </c>
      <c r="D260" s="75" t="s">
        <v>49</v>
      </c>
      <c r="E260" s="75" t="s">
        <v>50</v>
      </c>
      <c r="F260" s="75">
        <v>257</v>
      </c>
      <c r="G260" s="75">
        <v>966</v>
      </c>
      <c r="H260" s="75">
        <v>398</v>
      </c>
      <c r="I260" s="75">
        <v>3341</v>
      </c>
      <c r="J260" s="75">
        <v>2753</v>
      </c>
      <c r="K260" s="75">
        <v>287</v>
      </c>
      <c r="L260" s="75" t="s">
        <v>17</v>
      </c>
      <c r="M260" s="75" t="s">
        <v>59</v>
      </c>
      <c r="N260" s="75"/>
      <c r="O260" s="75"/>
      <c r="P260" s="75">
        <f t="shared" si="8"/>
        <v>0.48518407662376534</v>
      </c>
      <c r="Q260" s="75">
        <f t="shared" si="9"/>
        <v>1621</v>
      </c>
    </row>
    <row r="261" spans="1:17" x14ac:dyDescent="0.3">
      <c r="A261" s="75" t="s">
        <v>80</v>
      </c>
      <c r="B261" s="75" t="s">
        <v>30</v>
      </c>
      <c r="C261" s="75" t="s">
        <v>81</v>
      </c>
      <c r="D261" s="75" t="s">
        <v>71</v>
      </c>
      <c r="E261" s="75" t="s">
        <v>82</v>
      </c>
      <c r="F261" s="75">
        <v>1071</v>
      </c>
      <c r="G261" s="75">
        <v>519</v>
      </c>
      <c r="H261" s="75">
        <v>22</v>
      </c>
      <c r="I261" s="75">
        <v>16065</v>
      </c>
      <c r="J261" s="75">
        <v>15865</v>
      </c>
      <c r="K261" s="75">
        <v>103</v>
      </c>
      <c r="L261" s="75" t="s">
        <v>35</v>
      </c>
      <c r="M261" s="75" t="s">
        <v>27</v>
      </c>
      <c r="N261" s="75"/>
      <c r="O261" s="75"/>
      <c r="P261" s="75">
        <f t="shared" si="8"/>
        <v>0.10034235916588857</v>
      </c>
      <c r="Q261" s="75">
        <f t="shared" si="9"/>
        <v>1612</v>
      </c>
    </row>
    <row r="262" spans="1:17" x14ac:dyDescent="0.3">
      <c r="A262" s="75" t="s">
        <v>280</v>
      </c>
      <c r="B262" s="75" t="s">
        <v>30</v>
      </c>
      <c r="C262" s="75" t="s">
        <v>261</v>
      </c>
      <c r="D262" s="75" t="s">
        <v>32</v>
      </c>
      <c r="E262" s="75" t="s">
        <v>33</v>
      </c>
      <c r="F262" s="75">
        <v>498</v>
      </c>
      <c r="G262" s="75">
        <v>701</v>
      </c>
      <c r="H262" s="75">
        <v>412</v>
      </c>
      <c r="I262" s="75">
        <v>4980</v>
      </c>
      <c r="J262" s="75">
        <v>4185</v>
      </c>
      <c r="K262" s="75">
        <v>185</v>
      </c>
      <c r="L262" s="75"/>
      <c r="M262" s="75" t="s">
        <v>59</v>
      </c>
      <c r="N262" s="75"/>
      <c r="O262" s="75"/>
      <c r="P262" s="75">
        <f t="shared" si="8"/>
        <v>0.32349397590361445</v>
      </c>
      <c r="Q262" s="75">
        <f t="shared" si="9"/>
        <v>1611</v>
      </c>
    </row>
    <row r="263" spans="1:17" x14ac:dyDescent="0.3">
      <c r="A263" s="75" t="s">
        <v>210</v>
      </c>
      <c r="B263" s="75" t="s">
        <v>24</v>
      </c>
      <c r="C263" s="75" t="s">
        <v>211</v>
      </c>
      <c r="D263" s="75" t="s">
        <v>71</v>
      </c>
      <c r="E263" s="75" t="s">
        <v>212</v>
      </c>
      <c r="F263" s="75">
        <v>1094</v>
      </c>
      <c r="G263" s="75">
        <v>472</v>
      </c>
      <c r="H263" s="75">
        <v>21</v>
      </c>
      <c r="I263" s="75">
        <v>9846</v>
      </c>
      <c r="J263" s="75">
        <v>9609</v>
      </c>
      <c r="K263" s="75">
        <v>112</v>
      </c>
      <c r="L263" s="75"/>
      <c r="M263" s="75" t="s">
        <v>34</v>
      </c>
      <c r="N263" s="75"/>
      <c r="O263" s="75"/>
      <c r="P263" s="75">
        <f t="shared" si="8"/>
        <v>0.16118220597196831</v>
      </c>
      <c r="Q263" s="75">
        <f t="shared" si="9"/>
        <v>1587</v>
      </c>
    </row>
    <row r="264" spans="1:17" x14ac:dyDescent="0.3">
      <c r="A264" s="75" t="s">
        <v>424</v>
      </c>
      <c r="B264" s="75" t="s">
        <v>30</v>
      </c>
      <c r="C264" s="75" t="s">
        <v>14</v>
      </c>
      <c r="D264" s="75" t="s">
        <v>49</v>
      </c>
      <c r="E264" s="75" t="s">
        <v>209</v>
      </c>
      <c r="F264" s="75">
        <v>521</v>
      </c>
      <c r="G264" s="75">
        <v>746</v>
      </c>
      <c r="H264" s="75">
        <v>315</v>
      </c>
      <c r="I264" s="75">
        <v>4168</v>
      </c>
      <c r="J264" s="75">
        <v>3399</v>
      </c>
      <c r="K264" s="75">
        <v>282</v>
      </c>
      <c r="L264" s="75" t="s">
        <v>22</v>
      </c>
      <c r="M264" s="75" t="s">
        <v>59</v>
      </c>
      <c r="N264" s="75"/>
      <c r="O264" s="75"/>
      <c r="P264" s="75">
        <f t="shared" si="8"/>
        <v>0.37955854126679461</v>
      </c>
      <c r="Q264" s="75">
        <f t="shared" si="9"/>
        <v>1582</v>
      </c>
    </row>
    <row r="265" spans="1:17" x14ac:dyDescent="0.3">
      <c r="A265" s="75" t="s">
        <v>201</v>
      </c>
      <c r="B265" s="75" t="s">
        <v>13</v>
      </c>
      <c r="C265" s="75" t="s">
        <v>159</v>
      </c>
      <c r="D265" s="75" t="s">
        <v>49</v>
      </c>
      <c r="E265" s="75" t="s">
        <v>128</v>
      </c>
      <c r="F265" s="75">
        <v>954</v>
      </c>
      <c r="G265" s="75">
        <v>324</v>
      </c>
      <c r="H265" s="75">
        <v>288</v>
      </c>
      <c r="I265" s="75">
        <v>19080</v>
      </c>
      <c r="J265" s="75">
        <v>18859</v>
      </c>
      <c r="K265" s="75">
        <v>21</v>
      </c>
      <c r="L265" s="75" t="s">
        <v>35</v>
      </c>
      <c r="M265" s="75" t="s">
        <v>59</v>
      </c>
      <c r="N265" s="75"/>
      <c r="O265" s="75"/>
      <c r="P265" s="75">
        <f t="shared" si="8"/>
        <v>8.2075471698113203E-2</v>
      </c>
      <c r="Q265" s="75">
        <f t="shared" si="9"/>
        <v>1566</v>
      </c>
    </row>
    <row r="266" spans="1:17" x14ac:dyDescent="0.3">
      <c r="A266" s="75" t="s">
        <v>538</v>
      </c>
      <c r="B266" s="75" t="s">
        <v>40</v>
      </c>
      <c r="C266" s="75" t="s">
        <v>539</v>
      </c>
      <c r="D266" s="75" t="s">
        <v>20</v>
      </c>
      <c r="E266" s="75" t="s">
        <v>53</v>
      </c>
      <c r="F266" s="75">
        <v>880</v>
      </c>
      <c r="G266" s="75">
        <v>297</v>
      </c>
      <c r="H266" s="75">
        <v>345</v>
      </c>
      <c r="I266" s="75">
        <v>12320</v>
      </c>
      <c r="J266" s="75">
        <v>11978</v>
      </c>
      <c r="K266" s="75">
        <v>238</v>
      </c>
      <c r="L266" s="75"/>
      <c r="M266" s="75" t="s">
        <v>27</v>
      </c>
      <c r="N266" s="75" t="s">
        <v>600</v>
      </c>
      <c r="O266" s="75"/>
      <c r="P266" s="75">
        <f t="shared" si="8"/>
        <v>0.12353896103896105</v>
      </c>
      <c r="Q266" s="75">
        <f t="shared" si="9"/>
        <v>1522</v>
      </c>
    </row>
    <row r="267" spans="1:17" x14ac:dyDescent="0.3">
      <c r="A267" s="75" t="s">
        <v>412</v>
      </c>
      <c r="B267" s="75" t="s">
        <v>13</v>
      </c>
      <c r="C267" s="75" t="s">
        <v>45</v>
      </c>
      <c r="D267" s="75" t="s">
        <v>20</v>
      </c>
      <c r="E267" s="75" t="s">
        <v>21</v>
      </c>
      <c r="F267" s="75">
        <v>941</v>
      </c>
      <c r="G267" s="75">
        <v>121</v>
      </c>
      <c r="H267" s="75">
        <v>458</v>
      </c>
      <c r="I267" s="75">
        <v>14115</v>
      </c>
      <c r="J267" s="75">
        <v>13838</v>
      </c>
      <c r="K267" s="75">
        <v>87</v>
      </c>
      <c r="L267" s="75" t="s">
        <v>17</v>
      </c>
      <c r="M267" s="75" t="s">
        <v>34</v>
      </c>
      <c r="N267" s="75"/>
      <c r="O267" s="75"/>
      <c r="P267" s="75">
        <f t="shared" si="8"/>
        <v>0.10768685795253277</v>
      </c>
      <c r="Q267" s="75">
        <f t="shared" si="9"/>
        <v>1520</v>
      </c>
    </row>
    <row r="268" spans="1:17" x14ac:dyDescent="0.3">
      <c r="A268" s="75" t="s">
        <v>469</v>
      </c>
      <c r="B268" s="75" t="s">
        <v>40</v>
      </c>
      <c r="C268" s="75" t="s">
        <v>470</v>
      </c>
      <c r="D268" s="75" t="s">
        <v>49</v>
      </c>
      <c r="E268" s="75" t="s">
        <v>56</v>
      </c>
      <c r="F268" s="75">
        <v>400</v>
      </c>
      <c r="G268" s="75">
        <v>680</v>
      </c>
      <c r="H268" s="75">
        <v>434</v>
      </c>
      <c r="I268" s="75">
        <v>6400</v>
      </c>
      <c r="J268" s="75">
        <v>5472</v>
      </c>
      <c r="K268" s="75">
        <v>160</v>
      </c>
      <c r="L268" s="75" t="s">
        <v>22</v>
      </c>
      <c r="M268" s="75" t="s">
        <v>59</v>
      </c>
      <c r="N268" s="75"/>
      <c r="O268" s="75"/>
      <c r="P268" s="75">
        <f t="shared" si="8"/>
        <v>0.23656250000000001</v>
      </c>
      <c r="Q268" s="75">
        <f t="shared" si="9"/>
        <v>1514</v>
      </c>
    </row>
    <row r="269" spans="1:17" x14ac:dyDescent="0.3">
      <c r="A269" s="75" t="s">
        <v>129</v>
      </c>
      <c r="B269" s="75" t="s">
        <v>30</v>
      </c>
      <c r="C269" s="75" t="s">
        <v>130</v>
      </c>
      <c r="D269" s="75" t="s">
        <v>15</v>
      </c>
      <c r="E269" s="75" t="s">
        <v>79</v>
      </c>
      <c r="F269" s="75">
        <v>456</v>
      </c>
      <c r="G269" s="75">
        <v>629</v>
      </c>
      <c r="H269" s="75">
        <v>428</v>
      </c>
      <c r="I269" s="75">
        <v>8208</v>
      </c>
      <c r="J269" s="75">
        <v>7377</v>
      </c>
      <c r="K269" s="75">
        <v>205</v>
      </c>
      <c r="L269" s="75" t="s">
        <v>35</v>
      </c>
      <c r="M269" s="75" t="s">
        <v>59</v>
      </c>
      <c r="N269" s="75"/>
      <c r="O269" s="75"/>
      <c r="P269" s="75">
        <f t="shared" si="8"/>
        <v>0.18433235867446393</v>
      </c>
      <c r="Q269" s="75">
        <f t="shared" si="9"/>
        <v>1513</v>
      </c>
    </row>
    <row r="270" spans="1:17" x14ac:dyDescent="0.3">
      <c r="A270" s="75" t="s">
        <v>139</v>
      </c>
      <c r="B270" s="75" t="s">
        <v>13</v>
      </c>
      <c r="C270" s="75" t="s">
        <v>140</v>
      </c>
      <c r="D270" s="75" t="s">
        <v>71</v>
      </c>
      <c r="E270" s="75" t="s">
        <v>141</v>
      </c>
      <c r="F270" s="75">
        <v>1108</v>
      </c>
      <c r="G270" s="75">
        <v>177</v>
      </c>
      <c r="H270" s="75">
        <v>212</v>
      </c>
      <c r="I270" s="75">
        <v>8864</v>
      </c>
      <c r="J270" s="75">
        <v>8710</v>
      </c>
      <c r="K270" s="75">
        <v>97</v>
      </c>
      <c r="L270" s="75" t="s">
        <v>35</v>
      </c>
      <c r="M270" s="75" t="s">
        <v>27</v>
      </c>
      <c r="N270" s="75"/>
      <c r="O270" s="75"/>
      <c r="P270" s="75">
        <f t="shared" si="8"/>
        <v>0.16888537906137185</v>
      </c>
      <c r="Q270" s="75">
        <f t="shared" si="9"/>
        <v>1497</v>
      </c>
    </row>
    <row r="271" spans="1:17" x14ac:dyDescent="0.3">
      <c r="A271" s="75" t="s">
        <v>155</v>
      </c>
      <c r="B271" s="75" t="s">
        <v>24</v>
      </c>
      <c r="C271" s="75" t="s">
        <v>143</v>
      </c>
      <c r="D271" s="75" t="s">
        <v>42</v>
      </c>
      <c r="E271" s="75" t="s">
        <v>65</v>
      </c>
      <c r="F271" s="75">
        <v>804</v>
      </c>
      <c r="G271" s="75">
        <v>639</v>
      </c>
      <c r="H271" s="75">
        <v>43</v>
      </c>
      <c r="I271" s="75">
        <v>4020</v>
      </c>
      <c r="J271" s="75">
        <v>3144</v>
      </c>
      <c r="K271" s="75">
        <v>11</v>
      </c>
      <c r="L271" s="75"/>
      <c r="M271" s="75" t="s">
        <v>34</v>
      </c>
      <c r="N271" s="75" t="s">
        <v>601</v>
      </c>
      <c r="O271" s="75"/>
      <c r="P271" s="75">
        <f t="shared" si="8"/>
        <v>0.36965174129353234</v>
      </c>
      <c r="Q271" s="75">
        <f t="shared" si="9"/>
        <v>1486</v>
      </c>
    </row>
    <row r="272" spans="1:17" x14ac:dyDescent="0.3">
      <c r="A272" s="75" t="s">
        <v>493</v>
      </c>
      <c r="B272" s="75" t="s">
        <v>24</v>
      </c>
      <c r="C272" s="75" t="s">
        <v>461</v>
      </c>
      <c r="D272" s="75" t="s">
        <v>49</v>
      </c>
      <c r="E272" s="75" t="s">
        <v>50</v>
      </c>
      <c r="F272" s="75">
        <v>1206</v>
      </c>
      <c r="G272" s="75">
        <v>238</v>
      </c>
      <c r="H272" s="75">
        <v>36</v>
      </c>
      <c r="I272" s="75">
        <v>9648</v>
      </c>
      <c r="J272" s="75">
        <v>9417</v>
      </c>
      <c r="K272" s="75">
        <v>237</v>
      </c>
      <c r="L272" s="75"/>
      <c r="M272" s="75" t="s">
        <v>27</v>
      </c>
      <c r="N272" s="75"/>
      <c r="O272" s="75"/>
      <c r="P272" s="75">
        <f t="shared" si="8"/>
        <v>0.15339966832504145</v>
      </c>
      <c r="Q272" s="75">
        <f t="shared" si="9"/>
        <v>1480</v>
      </c>
    </row>
    <row r="273" spans="1:17" x14ac:dyDescent="0.3">
      <c r="A273" s="75" t="s">
        <v>459</v>
      </c>
      <c r="B273" s="75" t="s">
        <v>13</v>
      </c>
      <c r="C273" s="75" t="s">
        <v>74</v>
      </c>
      <c r="D273" s="75" t="s">
        <v>42</v>
      </c>
      <c r="E273" s="75" t="s">
        <v>46</v>
      </c>
      <c r="F273" s="75">
        <v>929</v>
      </c>
      <c r="G273" s="75">
        <v>192</v>
      </c>
      <c r="H273" s="75">
        <v>322</v>
      </c>
      <c r="I273" s="75">
        <v>16722</v>
      </c>
      <c r="J273" s="75">
        <v>15996</v>
      </c>
      <c r="K273" s="75">
        <v>145</v>
      </c>
      <c r="L273" s="75" t="s">
        <v>28</v>
      </c>
      <c r="M273" s="75" t="s">
        <v>34</v>
      </c>
      <c r="N273" s="75" t="s">
        <v>27</v>
      </c>
      <c r="O273" s="75" t="s">
        <v>600</v>
      </c>
      <c r="P273" s="75">
        <f t="shared" si="8"/>
        <v>8.6293505561535699E-2</v>
      </c>
      <c r="Q273" s="75">
        <f t="shared" si="9"/>
        <v>1443</v>
      </c>
    </row>
    <row r="274" spans="1:17" x14ac:dyDescent="0.3">
      <c r="A274" s="75" t="s">
        <v>186</v>
      </c>
      <c r="B274" s="75" t="s">
        <v>40</v>
      </c>
      <c r="C274" s="75" t="s">
        <v>187</v>
      </c>
      <c r="D274" s="75" t="s">
        <v>71</v>
      </c>
      <c r="E274" s="75" t="s">
        <v>72</v>
      </c>
      <c r="F274" s="75">
        <v>199</v>
      </c>
      <c r="G274" s="75">
        <v>772</v>
      </c>
      <c r="H274" s="75">
        <v>400</v>
      </c>
      <c r="I274" s="75">
        <v>3582</v>
      </c>
      <c r="J274" s="75">
        <v>2988</v>
      </c>
      <c r="K274" s="75">
        <v>43</v>
      </c>
      <c r="L274" s="75"/>
      <c r="M274" s="75" t="s">
        <v>27</v>
      </c>
      <c r="N274" s="75"/>
      <c r="O274" s="75"/>
      <c r="P274" s="75">
        <f t="shared" si="8"/>
        <v>0.38274706867671693</v>
      </c>
      <c r="Q274" s="75">
        <f t="shared" si="9"/>
        <v>1371</v>
      </c>
    </row>
    <row r="275" spans="1:17" x14ac:dyDescent="0.3">
      <c r="A275" s="75" t="s">
        <v>158</v>
      </c>
      <c r="B275" s="75" t="s">
        <v>40</v>
      </c>
      <c r="C275" s="74" t="s">
        <v>159</v>
      </c>
      <c r="D275" s="51" t="s">
        <v>49</v>
      </c>
      <c r="E275" s="75" t="s">
        <v>56</v>
      </c>
      <c r="F275" s="52">
        <v>1226</v>
      </c>
      <c r="G275" s="52">
        <v>119</v>
      </c>
      <c r="H275" s="52">
        <v>7</v>
      </c>
      <c r="I275" s="52">
        <v>14712</v>
      </c>
      <c r="J275" s="52">
        <v>14049</v>
      </c>
      <c r="K275" s="52">
        <v>123</v>
      </c>
      <c r="L275" s="51" t="s">
        <v>35</v>
      </c>
      <c r="M275" s="51" t="s">
        <v>34</v>
      </c>
      <c r="N275" s="29"/>
      <c r="O275" s="29"/>
      <c r="P275" s="32">
        <f t="shared" si="8"/>
        <v>9.1897770527460579E-2</v>
      </c>
      <c r="Q275" s="31">
        <f t="shared" si="9"/>
        <v>1352</v>
      </c>
    </row>
    <row r="276" spans="1:17" x14ac:dyDescent="0.3">
      <c r="A276" s="75" t="s">
        <v>436</v>
      </c>
      <c r="B276" s="75" t="s">
        <v>40</v>
      </c>
      <c r="C276" s="74" t="s">
        <v>437</v>
      </c>
      <c r="D276" s="51" t="s">
        <v>49</v>
      </c>
      <c r="E276" s="75" t="s">
        <v>56</v>
      </c>
      <c r="F276" s="52">
        <v>602</v>
      </c>
      <c r="G276" s="52">
        <v>594</v>
      </c>
      <c r="H276" s="52">
        <v>156</v>
      </c>
      <c r="I276" s="52">
        <v>4214</v>
      </c>
      <c r="J276" s="52">
        <v>3363</v>
      </c>
      <c r="K276" s="52">
        <v>164</v>
      </c>
      <c r="L276" s="51" t="s">
        <v>28</v>
      </c>
      <c r="M276" s="51" t="s">
        <v>27</v>
      </c>
      <c r="N276" s="29"/>
      <c r="O276" s="29"/>
      <c r="P276" s="32">
        <f t="shared" si="8"/>
        <v>0.32083531086853345</v>
      </c>
      <c r="Q276" s="31">
        <f t="shared" si="9"/>
        <v>1352</v>
      </c>
    </row>
    <row r="277" spans="1:17" x14ac:dyDescent="0.3">
      <c r="A277" s="51" t="s">
        <v>375</v>
      </c>
      <c r="B277" s="51" t="s">
        <v>30</v>
      </c>
      <c r="C277" s="74" t="s">
        <v>376</v>
      </c>
      <c r="D277" s="51" t="s">
        <v>32</v>
      </c>
      <c r="E277" s="75" t="s">
        <v>33</v>
      </c>
      <c r="F277" s="52">
        <v>360</v>
      </c>
      <c r="G277" s="52">
        <v>590</v>
      </c>
      <c r="H277" s="52">
        <v>393</v>
      </c>
      <c r="I277" s="52">
        <v>4680</v>
      </c>
      <c r="J277" s="52">
        <v>4322</v>
      </c>
      <c r="K277" s="52">
        <v>208</v>
      </c>
      <c r="L277" s="51" t="s">
        <v>22</v>
      </c>
      <c r="M277" s="51" t="s">
        <v>59</v>
      </c>
      <c r="N277" s="29"/>
      <c r="O277" s="29"/>
      <c r="P277" s="32">
        <f t="shared" si="8"/>
        <v>0.28696581196581195</v>
      </c>
      <c r="Q277" s="31">
        <f t="shared" si="9"/>
        <v>1343</v>
      </c>
    </row>
    <row r="278" spans="1:17" x14ac:dyDescent="0.3">
      <c r="A278" s="51" t="s">
        <v>404</v>
      </c>
      <c r="B278" s="51" t="s">
        <v>13</v>
      </c>
      <c r="C278" s="74" t="s">
        <v>405</v>
      </c>
      <c r="D278" s="51" t="s">
        <v>15</v>
      </c>
      <c r="E278" s="75" t="s">
        <v>16</v>
      </c>
      <c r="F278" s="52">
        <v>802</v>
      </c>
      <c r="G278" s="52">
        <v>262</v>
      </c>
      <c r="H278" s="52">
        <v>244</v>
      </c>
      <c r="I278" s="52">
        <v>14436</v>
      </c>
      <c r="J278" s="52">
        <v>14280</v>
      </c>
      <c r="K278" s="52">
        <v>49</v>
      </c>
      <c r="L278" s="51" t="s">
        <v>17</v>
      </c>
      <c r="M278" s="51" t="s">
        <v>34</v>
      </c>
      <c r="N278" s="29"/>
      <c r="O278" s="29"/>
      <c r="P278" s="32">
        <f t="shared" si="8"/>
        <v>9.0606816292601824E-2</v>
      </c>
      <c r="Q278" s="31">
        <f t="shared" si="9"/>
        <v>1308</v>
      </c>
    </row>
    <row r="279" spans="1:17" x14ac:dyDescent="0.3">
      <c r="A279" s="51" t="s">
        <v>474</v>
      </c>
      <c r="B279" s="51" t="s">
        <v>13</v>
      </c>
      <c r="C279" s="74" t="s">
        <v>420</v>
      </c>
      <c r="D279" s="51" t="s">
        <v>49</v>
      </c>
      <c r="E279" s="75" t="s">
        <v>128</v>
      </c>
      <c r="F279" s="52">
        <v>827</v>
      </c>
      <c r="G279" s="52">
        <v>77</v>
      </c>
      <c r="H279" s="52">
        <v>402</v>
      </c>
      <c r="I279" s="52">
        <v>14886</v>
      </c>
      <c r="J279" s="52">
        <v>14129</v>
      </c>
      <c r="K279" s="52">
        <v>254</v>
      </c>
      <c r="L279" s="51" t="s">
        <v>22</v>
      </c>
      <c r="M279" s="51" t="s">
        <v>34</v>
      </c>
      <c r="N279" s="29"/>
      <c r="O279" s="29"/>
      <c r="P279" s="32">
        <f t="shared" si="8"/>
        <v>8.7733440816874911E-2</v>
      </c>
      <c r="Q279" s="31">
        <f t="shared" si="9"/>
        <v>1306</v>
      </c>
    </row>
    <row r="280" spans="1:17" x14ac:dyDescent="0.3">
      <c r="A280" s="51" t="s">
        <v>198</v>
      </c>
      <c r="B280" s="51" t="s">
        <v>13</v>
      </c>
      <c r="C280" s="74" t="s">
        <v>199</v>
      </c>
      <c r="D280" s="51" t="s">
        <v>32</v>
      </c>
      <c r="E280" s="75" t="s">
        <v>145</v>
      </c>
      <c r="F280" s="52">
        <v>1121</v>
      </c>
      <c r="G280" s="52">
        <v>135</v>
      </c>
      <c r="H280" s="52">
        <v>18</v>
      </c>
      <c r="I280" s="52">
        <v>15694</v>
      </c>
      <c r="J280" s="52">
        <v>14957</v>
      </c>
      <c r="K280" s="52">
        <v>99</v>
      </c>
      <c r="L280" s="51" t="s">
        <v>35</v>
      </c>
      <c r="M280" s="51" t="s">
        <v>27</v>
      </c>
      <c r="N280" s="29"/>
      <c r="O280" s="29"/>
      <c r="P280" s="32">
        <f t="shared" si="8"/>
        <v>8.1177520071364848E-2</v>
      </c>
      <c r="Q280" s="31">
        <f t="shared" si="9"/>
        <v>1274</v>
      </c>
    </row>
    <row r="281" spans="1:17" x14ac:dyDescent="0.3">
      <c r="A281" s="51" t="s">
        <v>207</v>
      </c>
      <c r="B281" s="51" t="s">
        <v>30</v>
      </c>
      <c r="C281" s="74" t="s">
        <v>208</v>
      </c>
      <c r="D281" s="51" t="s">
        <v>49</v>
      </c>
      <c r="E281" s="75" t="s">
        <v>209</v>
      </c>
      <c r="F281" s="52">
        <v>725</v>
      </c>
      <c r="G281" s="52">
        <v>88</v>
      </c>
      <c r="H281" s="52">
        <v>428</v>
      </c>
      <c r="I281" s="52">
        <v>14500</v>
      </c>
      <c r="J281" s="52">
        <v>13637</v>
      </c>
      <c r="K281" s="52">
        <v>200</v>
      </c>
      <c r="L281" s="51" t="s">
        <v>28</v>
      </c>
      <c r="M281" s="51" t="s">
        <v>59</v>
      </c>
      <c r="N281" s="29" t="s">
        <v>27</v>
      </c>
      <c r="O281" s="29" t="s">
        <v>600</v>
      </c>
      <c r="P281" s="32">
        <f t="shared" si="8"/>
        <v>8.558620689655172E-2</v>
      </c>
      <c r="Q281" s="31">
        <f t="shared" si="9"/>
        <v>1241</v>
      </c>
    </row>
    <row r="282" spans="1:17" x14ac:dyDescent="0.3">
      <c r="A282" s="51" t="s">
        <v>326</v>
      </c>
      <c r="B282" s="51" t="s">
        <v>13</v>
      </c>
      <c r="C282" s="74" t="s">
        <v>327</v>
      </c>
      <c r="D282" s="51" t="s">
        <v>71</v>
      </c>
      <c r="E282" s="75" t="s">
        <v>141</v>
      </c>
      <c r="F282" s="52">
        <v>754</v>
      </c>
      <c r="G282" s="52">
        <v>197</v>
      </c>
      <c r="H282" s="52">
        <v>257</v>
      </c>
      <c r="I282" s="52">
        <v>6786</v>
      </c>
      <c r="J282" s="52">
        <v>6221</v>
      </c>
      <c r="K282" s="52">
        <v>212</v>
      </c>
      <c r="L282" s="51" t="s">
        <v>28</v>
      </c>
      <c r="M282" s="51" t="s">
        <v>27</v>
      </c>
      <c r="N282" s="29"/>
      <c r="O282" s="29"/>
      <c r="P282" s="32">
        <f t="shared" si="8"/>
        <v>0.17801355732390214</v>
      </c>
      <c r="Q282" s="31">
        <f t="shared" si="9"/>
        <v>1208</v>
      </c>
    </row>
    <row r="283" spans="1:17" x14ac:dyDescent="0.3">
      <c r="A283" s="51" t="s">
        <v>101</v>
      </c>
      <c r="B283" s="51" t="s">
        <v>30</v>
      </c>
      <c r="C283" s="74" t="s">
        <v>102</v>
      </c>
      <c r="D283" s="51" t="s">
        <v>71</v>
      </c>
      <c r="E283" s="75" t="s">
        <v>82</v>
      </c>
      <c r="F283" s="52">
        <v>432</v>
      </c>
      <c r="G283" s="52">
        <v>624</v>
      </c>
      <c r="H283" s="52">
        <v>123</v>
      </c>
      <c r="I283" s="52">
        <v>6912</v>
      </c>
      <c r="J283" s="52">
        <v>6259</v>
      </c>
      <c r="K283" s="52">
        <v>79</v>
      </c>
      <c r="L283" s="51" t="s">
        <v>35</v>
      </c>
      <c r="M283" s="51" t="s">
        <v>59</v>
      </c>
      <c r="N283" s="29"/>
      <c r="O283" s="29"/>
      <c r="P283" s="32">
        <f t="shared" si="8"/>
        <v>0.17057291666666666</v>
      </c>
      <c r="Q283" s="31">
        <f t="shared" si="9"/>
        <v>1179</v>
      </c>
    </row>
    <row r="284" spans="1:17" x14ac:dyDescent="0.3">
      <c r="A284" s="51" t="s">
        <v>473</v>
      </c>
      <c r="B284" s="51" t="s">
        <v>40</v>
      </c>
      <c r="C284" s="74" t="s">
        <v>58</v>
      </c>
      <c r="D284" s="51" t="s">
        <v>32</v>
      </c>
      <c r="E284" s="75" t="s">
        <v>68</v>
      </c>
      <c r="F284" s="52">
        <v>886</v>
      </c>
      <c r="G284" s="52">
        <v>126</v>
      </c>
      <c r="H284" s="52">
        <v>153</v>
      </c>
      <c r="I284" s="52">
        <v>4430</v>
      </c>
      <c r="J284" s="52">
        <v>4037</v>
      </c>
      <c r="K284" s="52">
        <v>212</v>
      </c>
      <c r="L284" s="76"/>
      <c r="M284" s="51" t="s">
        <v>34</v>
      </c>
      <c r="N284" s="29"/>
      <c r="O284" s="29"/>
      <c r="P284" s="32">
        <f t="shared" si="8"/>
        <v>0.26297968397291194</v>
      </c>
      <c r="Q284" s="31">
        <f t="shared" si="9"/>
        <v>1165</v>
      </c>
    </row>
    <row r="285" spans="1:17" x14ac:dyDescent="0.3">
      <c r="A285" s="51" t="s">
        <v>527</v>
      </c>
      <c r="B285" s="51" t="s">
        <v>13</v>
      </c>
      <c r="C285" s="74" t="s">
        <v>99</v>
      </c>
      <c r="D285" s="51" t="s">
        <v>20</v>
      </c>
      <c r="E285" s="75" t="s">
        <v>21</v>
      </c>
      <c r="F285" s="52">
        <v>571</v>
      </c>
      <c r="G285" s="52">
        <v>190</v>
      </c>
      <c r="H285" s="52">
        <v>352</v>
      </c>
      <c r="I285" s="52">
        <v>9707</v>
      </c>
      <c r="J285" s="52">
        <v>9418</v>
      </c>
      <c r="K285" s="52">
        <v>231</v>
      </c>
      <c r="L285" s="51" t="s">
        <v>35</v>
      </c>
      <c r="M285" s="51" t="s">
        <v>27</v>
      </c>
      <c r="N285" s="29"/>
      <c r="O285" s="29"/>
      <c r="P285" s="32">
        <f t="shared" si="8"/>
        <v>0.11465952405480581</v>
      </c>
      <c r="Q285" s="31">
        <f t="shared" si="9"/>
        <v>1113</v>
      </c>
    </row>
    <row r="286" spans="1:17" x14ac:dyDescent="0.3">
      <c r="A286" s="74" t="s">
        <v>363</v>
      </c>
      <c r="B286" s="51" t="s">
        <v>30</v>
      </c>
      <c r="C286" s="75" t="s">
        <v>364</v>
      </c>
      <c r="D286" s="52" t="s">
        <v>15</v>
      </c>
      <c r="E286" s="52" t="s">
        <v>79</v>
      </c>
      <c r="F286" s="52">
        <v>142</v>
      </c>
      <c r="G286" s="52">
        <v>784</v>
      </c>
      <c r="H286" s="52">
        <v>183</v>
      </c>
      <c r="I286" s="52">
        <v>1704</v>
      </c>
      <c r="J286" s="51">
        <v>995</v>
      </c>
      <c r="K286" s="51">
        <v>154</v>
      </c>
      <c r="L286" s="29" t="s">
        <v>35</v>
      </c>
      <c r="M286" s="29" t="s">
        <v>59</v>
      </c>
      <c r="N286" s="32"/>
      <c r="O286" s="31"/>
      <c r="P286" s="74">
        <f t="shared" si="8"/>
        <v>0.6508215962441315</v>
      </c>
      <c r="Q286" s="51">
        <f t="shared" si="9"/>
        <v>1109</v>
      </c>
    </row>
    <row r="287" spans="1:17" x14ac:dyDescent="0.3">
      <c r="A287" s="74" t="s">
        <v>448</v>
      </c>
      <c r="B287" s="51" t="s">
        <v>13</v>
      </c>
      <c r="C287" s="75" t="s">
        <v>449</v>
      </c>
      <c r="D287" s="52" t="s">
        <v>32</v>
      </c>
      <c r="E287" s="52" t="s">
        <v>145</v>
      </c>
      <c r="F287" s="52">
        <v>249</v>
      </c>
      <c r="G287" s="52">
        <v>592</v>
      </c>
      <c r="H287" s="52">
        <v>230</v>
      </c>
      <c r="I287" s="52">
        <v>1494</v>
      </c>
      <c r="J287" s="51">
        <v>1044</v>
      </c>
      <c r="K287" s="51">
        <v>201</v>
      </c>
      <c r="L287" s="29" t="s">
        <v>35</v>
      </c>
      <c r="M287" s="29" t="s">
        <v>34</v>
      </c>
      <c r="N287" s="32"/>
      <c r="O287" s="31"/>
      <c r="P287" s="74">
        <f t="shared" si="8"/>
        <v>0.7168674698795181</v>
      </c>
      <c r="Q287" s="51">
        <f t="shared" si="9"/>
        <v>1071</v>
      </c>
    </row>
    <row r="288" spans="1:17" x14ac:dyDescent="0.3">
      <c r="A288" s="74" t="s">
        <v>431</v>
      </c>
      <c r="B288" s="51" t="s">
        <v>30</v>
      </c>
      <c r="C288" s="75" t="s">
        <v>407</v>
      </c>
      <c r="D288" s="52" t="s">
        <v>32</v>
      </c>
      <c r="E288" s="52" t="s">
        <v>33</v>
      </c>
      <c r="F288" s="52">
        <v>84</v>
      </c>
      <c r="G288" s="52">
        <v>897</v>
      </c>
      <c r="H288" s="52">
        <v>85</v>
      </c>
      <c r="I288" s="52">
        <v>588</v>
      </c>
      <c r="J288" s="51">
        <v>8</v>
      </c>
      <c r="K288" s="51">
        <v>12</v>
      </c>
      <c r="L288" s="29"/>
      <c r="M288" s="29" t="s">
        <v>34</v>
      </c>
      <c r="N288" s="32"/>
      <c r="O288" s="31"/>
      <c r="P288" s="74">
        <f t="shared" si="8"/>
        <v>1.8129251700680271</v>
      </c>
      <c r="Q288" s="51">
        <f t="shared" si="9"/>
        <v>1066</v>
      </c>
    </row>
    <row r="289" spans="1:17" x14ac:dyDescent="0.3">
      <c r="A289" s="74" t="s">
        <v>369</v>
      </c>
      <c r="B289" s="51" t="s">
        <v>30</v>
      </c>
      <c r="C289" s="75" t="s">
        <v>199</v>
      </c>
      <c r="D289" s="52" t="s">
        <v>71</v>
      </c>
      <c r="E289" s="52" t="s">
        <v>82</v>
      </c>
      <c r="F289" s="52">
        <v>129</v>
      </c>
      <c r="G289" s="52">
        <v>643</v>
      </c>
      <c r="H289" s="52">
        <v>136</v>
      </c>
      <c r="I289" s="52">
        <v>1290</v>
      </c>
      <c r="J289" s="51">
        <v>839</v>
      </c>
      <c r="K289" s="51">
        <v>238</v>
      </c>
      <c r="L289" s="29" t="s">
        <v>35</v>
      </c>
      <c r="M289" s="29" t="s">
        <v>27</v>
      </c>
      <c r="N289" s="32"/>
      <c r="O289" s="31"/>
      <c r="P289" s="74">
        <f t="shared" si="8"/>
        <v>0.70387596899224802</v>
      </c>
      <c r="Q289" s="51">
        <f t="shared" si="9"/>
        <v>908</v>
      </c>
    </row>
    <row r="290" spans="1:17" x14ac:dyDescent="0.3">
      <c r="A290" s="74" t="s">
        <v>164</v>
      </c>
      <c r="B290" s="51" t="s">
        <v>30</v>
      </c>
      <c r="C290" s="75" t="s">
        <v>165</v>
      </c>
      <c r="D290" s="52" t="s">
        <v>15</v>
      </c>
      <c r="E290" s="52" t="s">
        <v>79</v>
      </c>
      <c r="F290" s="52">
        <v>103</v>
      </c>
      <c r="G290" s="52">
        <v>770</v>
      </c>
      <c r="H290" s="52">
        <v>19</v>
      </c>
      <c r="I290" s="52">
        <v>1030</v>
      </c>
      <c r="J290" s="51">
        <v>410</v>
      </c>
      <c r="K290" s="51">
        <v>262</v>
      </c>
      <c r="L290" s="29" t="s">
        <v>35</v>
      </c>
      <c r="M290" s="29" t="s">
        <v>27</v>
      </c>
      <c r="N290" s="32"/>
      <c r="O290" s="31"/>
      <c r="P290" s="74">
        <f t="shared" si="8"/>
        <v>0.86601941747572819</v>
      </c>
      <c r="Q290" s="51">
        <f t="shared" si="9"/>
        <v>892</v>
      </c>
    </row>
    <row r="291" spans="1:17" x14ac:dyDescent="0.3">
      <c r="A291" s="51" t="s">
        <v>179</v>
      </c>
      <c r="B291" s="51" t="s">
        <v>13</v>
      </c>
      <c r="C291" s="74" t="s">
        <v>180</v>
      </c>
      <c r="D291" s="51" t="s">
        <v>42</v>
      </c>
      <c r="E291" s="75" t="s">
        <v>46</v>
      </c>
      <c r="F291" s="52">
        <v>432</v>
      </c>
      <c r="G291" s="52">
        <v>171</v>
      </c>
      <c r="H291" s="52">
        <v>280</v>
      </c>
      <c r="I291" s="52">
        <v>3024</v>
      </c>
      <c r="J291" s="52">
        <v>2285</v>
      </c>
      <c r="K291" s="52">
        <v>184</v>
      </c>
      <c r="L291" s="51" t="s">
        <v>17</v>
      </c>
      <c r="M291" s="51" t="s">
        <v>34</v>
      </c>
      <c r="N291" s="29"/>
      <c r="O291" s="29"/>
      <c r="P291" s="32">
        <f t="shared" si="8"/>
        <v>0.29199735449735448</v>
      </c>
      <c r="Q291" s="31">
        <f t="shared" si="9"/>
        <v>883</v>
      </c>
    </row>
    <row r="292" spans="1:17" x14ac:dyDescent="0.3">
      <c r="A292" s="51" t="s">
        <v>488</v>
      </c>
      <c r="B292" s="51" t="s">
        <v>40</v>
      </c>
      <c r="C292" s="74" t="s">
        <v>242</v>
      </c>
      <c r="D292" s="51" t="s">
        <v>20</v>
      </c>
      <c r="E292" s="75" t="s">
        <v>53</v>
      </c>
      <c r="F292" s="52">
        <v>562</v>
      </c>
      <c r="G292" s="52">
        <v>158</v>
      </c>
      <c r="H292" s="52">
        <v>149</v>
      </c>
      <c r="I292" s="52">
        <v>3372</v>
      </c>
      <c r="J292" s="52">
        <v>2940</v>
      </c>
      <c r="K292" s="52">
        <v>93</v>
      </c>
      <c r="L292" s="51" t="s">
        <v>17</v>
      </c>
      <c r="M292" s="51" t="s">
        <v>27</v>
      </c>
      <c r="N292" s="29"/>
      <c r="O292" s="29"/>
      <c r="P292" s="32">
        <f t="shared" si="8"/>
        <v>0.25771055753262156</v>
      </c>
      <c r="Q292" s="31">
        <f t="shared" si="9"/>
        <v>869</v>
      </c>
    </row>
    <row r="293" spans="1:17" x14ac:dyDescent="0.3">
      <c r="A293" s="51" t="s">
        <v>107</v>
      </c>
      <c r="B293" s="51" t="s">
        <v>30</v>
      </c>
      <c r="C293" s="74" t="s">
        <v>108</v>
      </c>
      <c r="D293" s="51" t="s">
        <v>20</v>
      </c>
      <c r="E293" s="75" t="s">
        <v>109</v>
      </c>
      <c r="F293" s="52">
        <v>438</v>
      </c>
      <c r="G293" s="52">
        <v>153</v>
      </c>
      <c r="H293" s="52">
        <v>275</v>
      </c>
      <c r="I293" s="52">
        <v>3066</v>
      </c>
      <c r="J293" s="52">
        <v>2701</v>
      </c>
      <c r="K293" s="52">
        <v>282</v>
      </c>
      <c r="L293" s="51" t="s">
        <v>22</v>
      </c>
      <c r="M293" s="51" t="s">
        <v>27</v>
      </c>
      <c r="N293" s="29"/>
      <c r="O293" s="29"/>
      <c r="P293" s="32">
        <f t="shared" si="8"/>
        <v>0.28245270711024134</v>
      </c>
      <c r="Q293" s="31">
        <f t="shared" si="9"/>
        <v>866</v>
      </c>
    </row>
    <row r="294" spans="1:17" x14ac:dyDescent="0.3">
      <c r="A294" s="51" t="s">
        <v>220</v>
      </c>
      <c r="B294" s="51" t="s">
        <v>40</v>
      </c>
      <c r="C294" s="74" t="s">
        <v>221</v>
      </c>
      <c r="D294" s="51" t="s">
        <v>32</v>
      </c>
      <c r="E294" s="75" t="s">
        <v>68</v>
      </c>
      <c r="F294" s="52">
        <v>302</v>
      </c>
      <c r="G294" s="52">
        <v>47</v>
      </c>
      <c r="H294" s="52">
        <v>430</v>
      </c>
      <c r="I294" s="52">
        <v>5738</v>
      </c>
      <c r="J294" s="52">
        <v>4890</v>
      </c>
      <c r="K294" s="52">
        <v>25</v>
      </c>
      <c r="L294" s="51" t="s">
        <v>35</v>
      </c>
      <c r="M294" s="51" t="s">
        <v>27</v>
      </c>
      <c r="N294" s="29"/>
      <c r="O294" s="29"/>
      <c r="P294" s="32">
        <f t="shared" si="8"/>
        <v>0.13576158940397351</v>
      </c>
      <c r="Q294" s="31">
        <f t="shared" si="9"/>
        <v>779</v>
      </c>
    </row>
    <row r="295" spans="1:17" x14ac:dyDescent="0.3">
      <c r="A295" s="51" t="s">
        <v>304</v>
      </c>
      <c r="B295" s="51" t="s">
        <v>13</v>
      </c>
      <c r="C295" s="74" t="s">
        <v>182</v>
      </c>
      <c r="D295" s="51" t="s">
        <v>49</v>
      </c>
      <c r="E295" s="75" t="s">
        <v>128</v>
      </c>
      <c r="F295" s="52">
        <v>305</v>
      </c>
      <c r="G295" s="52">
        <v>187</v>
      </c>
      <c r="H295" s="52">
        <v>243</v>
      </c>
      <c r="I295" s="52">
        <v>4575</v>
      </c>
      <c r="J295" s="52">
        <v>3704</v>
      </c>
      <c r="K295" s="52">
        <v>234</v>
      </c>
      <c r="L295" s="51" t="s">
        <v>28</v>
      </c>
      <c r="M295" s="51" t="s">
        <v>59</v>
      </c>
      <c r="N295" s="29"/>
      <c r="O295" s="29"/>
      <c r="P295" s="32">
        <f t="shared" si="8"/>
        <v>0.16065573770491803</v>
      </c>
      <c r="Q295" s="31">
        <f t="shared" si="9"/>
        <v>735</v>
      </c>
    </row>
    <row r="296" spans="1:17" x14ac:dyDescent="0.3">
      <c r="A296" s="51" t="s">
        <v>250</v>
      </c>
      <c r="B296" s="51" t="s">
        <v>30</v>
      </c>
      <c r="C296" s="74" t="s">
        <v>251</v>
      </c>
      <c r="D296" s="51" t="s">
        <v>42</v>
      </c>
      <c r="E296" s="75" t="s">
        <v>85</v>
      </c>
      <c r="F296" s="52">
        <v>498</v>
      </c>
      <c r="G296" s="52">
        <v>38</v>
      </c>
      <c r="H296" s="52">
        <v>42</v>
      </c>
      <c r="I296" s="52">
        <v>4482</v>
      </c>
      <c r="J296" s="52">
        <v>3647</v>
      </c>
      <c r="K296" s="52">
        <v>32</v>
      </c>
      <c r="L296" s="51" t="s">
        <v>17</v>
      </c>
      <c r="M296" s="51" t="s">
        <v>59</v>
      </c>
      <c r="N296" s="29"/>
      <c r="O296" s="29"/>
      <c r="P296" s="32">
        <f t="shared" si="8"/>
        <v>0.12896028558679162</v>
      </c>
      <c r="Q296" s="31">
        <f t="shared" si="9"/>
        <v>578</v>
      </c>
    </row>
    <row r="297" spans="1:17" x14ac:dyDescent="0.3">
      <c r="A297" s="51" t="s">
        <v>441</v>
      </c>
      <c r="B297" s="51" t="s">
        <v>30</v>
      </c>
      <c r="C297" s="74" t="s">
        <v>442</v>
      </c>
      <c r="D297" s="51" t="s">
        <v>20</v>
      </c>
      <c r="E297" s="75" t="s">
        <v>109</v>
      </c>
      <c r="F297" s="52">
        <v>246</v>
      </c>
      <c r="G297" s="52">
        <v>149</v>
      </c>
      <c r="H297" s="52">
        <v>130</v>
      </c>
      <c r="I297" s="52">
        <v>4674</v>
      </c>
      <c r="J297" s="52">
        <v>4390</v>
      </c>
      <c r="K297" s="52">
        <v>217</v>
      </c>
      <c r="L297" s="51" t="s">
        <v>28</v>
      </c>
      <c r="M297" s="51" t="s">
        <v>59</v>
      </c>
      <c r="N297" s="29"/>
      <c r="O297" s="29"/>
      <c r="P297" s="32">
        <f t="shared" si="8"/>
        <v>0.11232349165596919</v>
      </c>
      <c r="Q297" s="31">
        <f t="shared" si="9"/>
        <v>525</v>
      </c>
    </row>
    <row r="298" spans="1:17" x14ac:dyDescent="0.3">
      <c r="A298" s="74" t="s">
        <v>312</v>
      </c>
      <c r="B298" s="51" t="s">
        <v>24</v>
      </c>
      <c r="C298" s="75" t="s">
        <v>267</v>
      </c>
      <c r="D298" s="52" t="s">
        <v>42</v>
      </c>
      <c r="E298" s="52" t="s">
        <v>65</v>
      </c>
      <c r="F298" s="52">
        <v>80</v>
      </c>
      <c r="G298" s="52">
        <v>362</v>
      </c>
      <c r="H298" s="52">
        <v>80</v>
      </c>
      <c r="I298" s="52">
        <v>1040</v>
      </c>
      <c r="J298" s="51">
        <v>349</v>
      </c>
      <c r="K298" s="51">
        <v>117</v>
      </c>
      <c r="L298" s="29" t="s">
        <v>28</v>
      </c>
      <c r="M298" s="29" t="s">
        <v>27</v>
      </c>
      <c r="N298" s="32"/>
      <c r="O298" s="31"/>
      <c r="P298" s="74">
        <f t="shared" si="8"/>
        <v>0.50192307692307692</v>
      </c>
      <c r="Q298" s="51">
        <f t="shared" si="9"/>
        <v>522</v>
      </c>
    </row>
    <row r="299" spans="1:17" x14ac:dyDescent="0.3">
      <c r="A299" s="74" t="s">
        <v>172</v>
      </c>
      <c r="B299" s="51" t="s">
        <v>13</v>
      </c>
      <c r="C299" s="75" t="s">
        <v>173</v>
      </c>
      <c r="D299" s="52" t="s">
        <v>42</v>
      </c>
      <c r="E299" s="52" t="s">
        <v>46</v>
      </c>
      <c r="F299" s="52">
        <v>53</v>
      </c>
      <c r="G299" s="52">
        <v>81</v>
      </c>
      <c r="H299" s="52">
        <v>379</v>
      </c>
      <c r="I299" s="52">
        <v>954</v>
      </c>
      <c r="J299" s="51">
        <v>7</v>
      </c>
      <c r="K299" s="51">
        <v>148</v>
      </c>
      <c r="L299" s="29" t="s">
        <v>28</v>
      </c>
      <c r="M299" s="29" t="s">
        <v>27</v>
      </c>
      <c r="N299" s="32"/>
      <c r="O299" s="31"/>
      <c r="P299" s="74">
        <f t="shared" si="8"/>
        <v>0.53773584905660377</v>
      </c>
      <c r="Q299" s="51">
        <f t="shared" si="9"/>
        <v>513</v>
      </c>
    </row>
    <row r="300" spans="1:17" x14ac:dyDescent="0.3">
      <c r="A300" s="74" t="s">
        <v>190</v>
      </c>
      <c r="B300" s="51" t="s">
        <v>24</v>
      </c>
      <c r="C300" s="75" t="s">
        <v>191</v>
      </c>
      <c r="D300" s="52" t="s">
        <v>15</v>
      </c>
      <c r="E300" s="52" t="s">
        <v>26</v>
      </c>
      <c r="F300" s="52">
        <v>296</v>
      </c>
      <c r="G300" s="52">
        <v>60</v>
      </c>
      <c r="H300" s="52">
        <v>141</v>
      </c>
      <c r="I300" s="52">
        <v>5624</v>
      </c>
      <c r="J300" s="51">
        <v>5239</v>
      </c>
      <c r="K300" s="51">
        <v>88</v>
      </c>
      <c r="L300" s="29" t="s">
        <v>22</v>
      </c>
      <c r="M300" s="29" t="s">
        <v>34</v>
      </c>
      <c r="N300" s="32"/>
      <c r="O300" s="31"/>
      <c r="P300" s="74">
        <f t="shared" si="8"/>
        <v>8.837126600284495E-2</v>
      </c>
      <c r="Q300" s="51">
        <f t="shared" si="9"/>
        <v>497</v>
      </c>
    </row>
    <row r="301" spans="1:17" x14ac:dyDescent="0.3">
      <c r="A301" s="74" t="s">
        <v>496</v>
      </c>
      <c r="B301" s="51" t="s">
        <v>13</v>
      </c>
      <c r="C301" s="75" t="s">
        <v>497</v>
      </c>
      <c r="D301" s="52" t="s">
        <v>49</v>
      </c>
      <c r="E301" s="52" t="s">
        <v>128</v>
      </c>
      <c r="F301" s="52">
        <v>59</v>
      </c>
      <c r="G301" s="52">
        <v>163</v>
      </c>
      <c r="H301" s="52">
        <v>93</v>
      </c>
      <c r="I301" s="52">
        <v>590</v>
      </c>
      <c r="J301" s="51">
        <v>475</v>
      </c>
      <c r="K301" s="51">
        <v>293</v>
      </c>
      <c r="L301" s="29" t="s">
        <v>22</v>
      </c>
      <c r="M301" s="29" t="s">
        <v>27</v>
      </c>
      <c r="N301" s="32"/>
      <c r="O301" s="31"/>
      <c r="P301" s="74">
        <f t="shared" si="8"/>
        <v>0.53389830508474578</v>
      </c>
      <c r="Q301" s="51">
        <f t="shared" si="9"/>
        <v>315</v>
      </c>
    </row>
  </sheetData>
  <sortState xmlns:xlrd2="http://schemas.microsoft.com/office/spreadsheetml/2017/richdata2" ref="A2:Q301">
    <sortCondition descending="1" ref="Q2:Q301"/>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E885B-BC55-4797-A3D0-A865B0B36016}">
  <dimension ref="A3:D8"/>
  <sheetViews>
    <sheetView workbookViewId="0">
      <selection activeCell="D8" sqref="D8"/>
    </sheetView>
  </sheetViews>
  <sheetFormatPr defaultRowHeight="14.4" x14ac:dyDescent="0.3"/>
  <cols>
    <col min="1" max="1" width="12.5546875" bestFit="1" customWidth="1"/>
    <col min="2" max="2" width="11.5546875" bestFit="1" customWidth="1"/>
    <col min="3" max="3" width="13.109375" bestFit="1" customWidth="1"/>
    <col min="4" max="4" width="16.6640625" bestFit="1" customWidth="1"/>
  </cols>
  <sheetData>
    <row r="3" spans="1:4" x14ac:dyDescent="0.3">
      <c r="A3" s="16" t="s">
        <v>609</v>
      </c>
      <c r="B3" t="s">
        <v>606</v>
      </c>
      <c r="C3" t="s">
        <v>607</v>
      </c>
      <c r="D3" t="s">
        <v>608</v>
      </c>
    </row>
    <row r="4" spans="1:4" x14ac:dyDescent="0.3">
      <c r="A4" s="17" t="s">
        <v>40</v>
      </c>
      <c r="B4" s="15">
        <v>28947</v>
      </c>
      <c r="C4" s="15">
        <v>3171</v>
      </c>
      <c r="D4" s="15">
        <v>2263</v>
      </c>
    </row>
    <row r="5" spans="1:4" x14ac:dyDescent="0.3">
      <c r="A5" s="17" t="s">
        <v>30</v>
      </c>
      <c r="B5" s="15">
        <v>25770</v>
      </c>
      <c r="C5" s="15">
        <v>5912</v>
      </c>
      <c r="D5" s="15">
        <v>2128</v>
      </c>
    </row>
    <row r="6" spans="1:4" x14ac:dyDescent="0.3">
      <c r="A6" s="17" t="s">
        <v>13</v>
      </c>
      <c r="B6" s="15">
        <v>29593</v>
      </c>
      <c r="C6" s="15">
        <v>6326</v>
      </c>
      <c r="D6" s="15">
        <v>3299</v>
      </c>
    </row>
    <row r="7" spans="1:4" x14ac:dyDescent="0.3">
      <c r="A7" s="17" t="s">
        <v>24</v>
      </c>
      <c r="B7" s="15">
        <v>31285</v>
      </c>
      <c r="C7" s="15">
        <v>5586</v>
      </c>
      <c r="D7" s="15">
        <v>2589</v>
      </c>
    </row>
    <row r="8" spans="1:4" x14ac:dyDescent="0.3">
      <c r="A8" s="17" t="s">
        <v>610</v>
      </c>
      <c r="B8" s="15">
        <v>115595</v>
      </c>
      <c r="C8" s="15">
        <v>20995</v>
      </c>
      <c r="D8" s="15">
        <v>10279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80A53-B0DA-4EA1-A1C6-C29909A0BC57}">
  <dimension ref="A5:C6"/>
  <sheetViews>
    <sheetView zoomScale="70" zoomScaleNormal="70" workbookViewId="0">
      <selection activeCell="AB17" sqref="AB17"/>
    </sheetView>
  </sheetViews>
  <sheetFormatPr defaultRowHeight="14.4" x14ac:dyDescent="0.3"/>
  <cols>
    <col min="1" max="1" width="13.77734375" bestFit="1" customWidth="1"/>
    <col min="2" max="4" width="10.88671875" bestFit="1" customWidth="1"/>
    <col min="5" max="6" width="5.109375" bestFit="1" customWidth="1"/>
    <col min="7" max="7" width="6" bestFit="1" customWidth="1"/>
    <col min="8" max="301" width="5.109375" bestFit="1" customWidth="1"/>
    <col min="302" max="302" width="10.77734375" bestFit="1" customWidth="1"/>
  </cols>
  <sheetData>
    <row r="5" spans="1:3" x14ac:dyDescent="0.3">
      <c r="A5" t="s">
        <v>614</v>
      </c>
      <c r="B5" t="s">
        <v>612</v>
      </c>
      <c r="C5" t="s">
        <v>613</v>
      </c>
    </row>
    <row r="6" spans="1:3" x14ac:dyDescent="0.3">
      <c r="A6" s="15">
        <v>151.22</v>
      </c>
      <c r="B6">
        <v>300</v>
      </c>
      <c r="C6" s="15">
        <v>45366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974B7-E5A0-46DE-8841-0076013E5D47}">
  <dimension ref="A1:P301"/>
  <sheetViews>
    <sheetView topLeftCell="B1" zoomScaleNormal="100" workbookViewId="0">
      <selection activeCell="B2" sqref="B2"/>
    </sheetView>
  </sheetViews>
  <sheetFormatPr defaultRowHeight="14.4" x14ac:dyDescent="0.3"/>
  <cols>
    <col min="1" max="1" width="6.88671875" bestFit="1" customWidth="1"/>
    <col min="2" max="2" width="9.109375" bestFit="1" customWidth="1"/>
    <col min="3" max="3" width="10.33203125" bestFit="1" customWidth="1"/>
    <col min="4" max="4" width="12.33203125" bestFit="1" customWidth="1"/>
    <col min="5" max="5" width="37" bestFit="1" customWidth="1"/>
    <col min="6" max="6" width="5.109375" bestFit="1" customWidth="1"/>
    <col min="7" max="7" width="6.5546875" bestFit="1" customWidth="1"/>
    <col min="8" max="8" width="10.109375" bestFit="1" customWidth="1"/>
    <col min="9" max="9" width="11" bestFit="1" customWidth="1"/>
    <col min="10" max="10" width="6.109375" bestFit="1" customWidth="1"/>
    <col min="11" max="11" width="5.6640625" bestFit="1" customWidth="1"/>
    <col min="12" max="12" width="16" bestFit="1" customWidth="1"/>
    <col min="13" max="13" width="17.44140625" bestFit="1" customWidth="1"/>
    <col min="14" max="14" width="20.21875" bestFit="1" customWidth="1"/>
    <col min="15" max="15" width="18.44140625" bestFit="1" customWidth="1"/>
    <col min="16" max="16" width="15.88671875" bestFit="1" customWidth="1"/>
  </cols>
  <sheetData>
    <row r="1" spans="1:16" x14ac:dyDescent="0.3">
      <c r="A1" s="1" t="s">
        <v>0</v>
      </c>
      <c r="B1" s="1" t="s">
        <v>1</v>
      </c>
      <c r="C1" s="1" t="s">
        <v>2</v>
      </c>
      <c r="D1" s="1" t="s">
        <v>3</v>
      </c>
      <c r="E1" s="1" t="s">
        <v>4</v>
      </c>
      <c r="F1" s="1" t="s">
        <v>5</v>
      </c>
      <c r="G1" s="1" t="s">
        <v>6</v>
      </c>
      <c r="H1" s="1" t="s">
        <v>7</v>
      </c>
      <c r="I1" s="1" t="s">
        <v>8</v>
      </c>
      <c r="J1" s="1" t="s">
        <v>9</v>
      </c>
      <c r="K1" s="1" t="s">
        <v>10</v>
      </c>
      <c r="L1" s="1" t="s">
        <v>11</v>
      </c>
      <c r="M1" s="1" t="s">
        <v>597</v>
      </c>
      <c r="N1" s="9" t="s">
        <v>598</v>
      </c>
      <c r="O1" s="9" t="s">
        <v>599</v>
      </c>
      <c r="P1" s="9" t="s">
        <v>602</v>
      </c>
    </row>
    <row r="2" spans="1:16" x14ac:dyDescent="0.3">
      <c r="A2" s="18" t="s">
        <v>519</v>
      </c>
      <c r="B2" s="18" t="s">
        <v>24</v>
      </c>
      <c r="C2" s="19" t="s">
        <v>189</v>
      </c>
      <c r="D2" s="18" t="s">
        <v>49</v>
      </c>
      <c r="E2" s="20" t="s">
        <v>50</v>
      </c>
      <c r="F2" s="21">
        <v>4905</v>
      </c>
      <c r="G2" s="21">
        <v>845</v>
      </c>
      <c r="H2" s="21">
        <v>129</v>
      </c>
      <c r="I2" s="21">
        <v>98100</v>
      </c>
      <c r="J2" s="21">
        <v>97772</v>
      </c>
      <c r="K2" s="21">
        <v>279</v>
      </c>
      <c r="L2" s="18" t="s">
        <v>22</v>
      </c>
      <c r="M2" s="18" t="s">
        <v>27</v>
      </c>
      <c r="N2" s="22"/>
      <c r="O2" s="22"/>
      <c r="P2" s="23">
        <f t="shared" ref="P2:P65" si="0">(F2+G2+H2)/I2</f>
        <v>5.9928644240570844E-2</v>
      </c>
    </row>
    <row r="3" spans="1:16" x14ac:dyDescent="0.3">
      <c r="A3" s="18" t="s">
        <v>313</v>
      </c>
      <c r="B3" s="18" t="s">
        <v>24</v>
      </c>
      <c r="C3" s="19" t="s">
        <v>195</v>
      </c>
      <c r="D3" s="18" t="s">
        <v>32</v>
      </c>
      <c r="E3" s="20" t="s">
        <v>150</v>
      </c>
      <c r="F3" s="21">
        <v>4929</v>
      </c>
      <c r="G3" s="21">
        <v>749</v>
      </c>
      <c r="H3" s="21">
        <v>452</v>
      </c>
      <c r="I3" s="21">
        <v>93651</v>
      </c>
      <c r="J3" s="21">
        <v>92810</v>
      </c>
      <c r="K3" s="21">
        <v>66</v>
      </c>
      <c r="L3" s="18" t="s">
        <v>35</v>
      </c>
      <c r="M3" s="18" t="s">
        <v>34</v>
      </c>
      <c r="N3" s="22"/>
      <c r="O3" s="22"/>
      <c r="P3" s="23">
        <f t="shared" si="0"/>
        <v>6.5455787978772245E-2</v>
      </c>
    </row>
    <row r="4" spans="1:16" x14ac:dyDescent="0.3">
      <c r="A4" s="18" t="s">
        <v>428</v>
      </c>
      <c r="B4" s="18" t="s">
        <v>40</v>
      </c>
      <c r="C4" s="19" t="s">
        <v>353</v>
      </c>
      <c r="D4" s="18" t="s">
        <v>49</v>
      </c>
      <c r="E4" s="20" t="s">
        <v>56</v>
      </c>
      <c r="F4" s="21">
        <v>4606</v>
      </c>
      <c r="G4" s="21">
        <v>931</v>
      </c>
      <c r="H4" s="21">
        <v>230</v>
      </c>
      <c r="I4" s="21">
        <v>92120</v>
      </c>
      <c r="J4" s="21">
        <v>91440</v>
      </c>
      <c r="K4" s="21">
        <v>56</v>
      </c>
      <c r="L4" s="24"/>
      <c r="M4" s="18" t="s">
        <v>27</v>
      </c>
      <c r="N4" s="22"/>
      <c r="O4" s="22"/>
      <c r="P4" s="23">
        <f t="shared" si="0"/>
        <v>6.2603126356925748E-2</v>
      </c>
    </row>
    <row r="5" spans="1:16" x14ac:dyDescent="0.3">
      <c r="A5" s="18" t="s">
        <v>254</v>
      </c>
      <c r="B5" s="18" t="s">
        <v>24</v>
      </c>
      <c r="C5" s="19" t="s">
        <v>255</v>
      </c>
      <c r="D5" s="18" t="s">
        <v>49</v>
      </c>
      <c r="E5" s="20" t="s">
        <v>50</v>
      </c>
      <c r="F5" s="21">
        <v>4832</v>
      </c>
      <c r="G5" s="21">
        <v>893</v>
      </c>
      <c r="H5" s="21">
        <v>10</v>
      </c>
      <c r="I5" s="21">
        <v>91808</v>
      </c>
      <c r="J5" s="21">
        <v>91296</v>
      </c>
      <c r="K5" s="21">
        <v>182</v>
      </c>
      <c r="L5" s="24"/>
      <c r="M5" s="18" t="s">
        <v>27</v>
      </c>
      <c r="N5" s="22"/>
      <c r="O5" s="22"/>
      <c r="P5" s="23">
        <f t="shared" si="0"/>
        <v>6.2467323109097243E-2</v>
      </c>
    </row>
    <row r="6" spans="1:16" x14ac:dyDescent="0.3">
      <c r="A6" s="18" t="s">
        <v>174</v>
      </c>
      <c r="B6" s="18" t="s">
        <v>13</v>
      </c>
      <c r="C6" s="19" t="s">
        <v>111</v>
      </c>
      <c r="D6" s="18" t="s">
        <v>42</v>
      </c>
      <c r="E6" s="20" t="s">
        <v>46</v>
      </c>
      <c r="F6" s="21">
        <v>4507</v>
      </c>
      <c r="G6" s="21">
        <v>217</v>
      </c>
      <c r="H6" s="21">
        <v>13</v>
      </c>
      <c r="I6" s="21">
        <v>90140</v>
      </c>
      <c r="J6" s="21">
        <v>89591</v>
      </c>
      <c r="K6" s="21">
        <v>125</v>
      </c>
      <c r="L6" s="18" t="s">
        <v>28</v>
      </c>
      <c r="M6" s="18" t="s">
        <v>59</v>
      </c>
      <c r="N6" s="22"/>
      <c r="O6" s="22"/>
      <c r="P6" s="23">
        <f t="shared" si="0"/>
        <v>5.2551586421122697E-2</v>
      </c>
    </row>
    <row r="7" spans="1:16" x14ac:dyDescent="0.3">
      <c r="A7" s="18" t="s">
        <v>438</v>
      </c>
      <c r="B7" s="18" t="s">
        <v>13</v>
      </c>
      <c r="C7" s="19" t="s">
        <v>366</v>
      </c>
      <c r="D7" s="18" t="s">
        <v>42</v>
      </c>
      <c r="E7" s="20" t="s">
        <v>46</v>
      </c>
      <c r="F7" s="21">
        <v>4672</v>
      </c>
      <c r="G7" s="21">
        <v>325</v>
      </c>
      <c r="H7" s="21">
        <v>32</v>
      </c>
      <c r="I7" s="21">
        <v>88768</v>
      </c>
      <c r="J7" s="21">
        <v>87833</v>
      </c>
      <c r="K7" s="21">
        <v>118</v>
      </c>
      <c r="L7" s="24"/>
      <c r="M7" s="18" t="s">
        <v>34</v>
      </c>
      <c r="N7" s="22"/>
      <c r="O7" s="22"/>
      <c r="P7" s="23">
        <f t="shared" si="0"/>
        <v>5.6653298485940883E-2</v>
      </c>
    </row>
    <row r="8" spans="1:16" x14ac:dyDescent="0.3">
      <c r="A8" s="18" t="s">
        <v>549</v>
      </c>
      <c r="B8" s="18" t="s">
        <v>40</v>
      </c>
      <c r="C8" s="19" t="s">
        <v>70</v>
      </c>
      <c r="D8" s="18" t="s">
        <v>49</v>
      </c>
      <c r="E8" s="20" t="s">
        <v>56</v>
      </c>
      <c r="F8" s="21">
        <v>4303</v>
      </c>
      <c r="G8" s="21">
        <v>451</v>
      </c>
      <c r="H8" s="21">
        <v>286</v>
      </c>
      <c r="I8" s="21">
        <v>86060</v>
      </c>
      <c r="J8" s="21">
        <v>85823</v>
      </c>
      <c r="K8" s="21">
        <v>14</v>
      </c>
      <c r="L8" s="18" t="s">
        <v>28</v>
      </c>
      <c r="M8" s="18" t="s">
        <v>27</v>
      </c>
      <c r="N8" s="22"/>
      <c r="O8" s="22"/>
      <c r="P8" s="23">
        <f t="shared" si="0"/>
        <v>5.8563792702765516E-2</v>
      </c>
    </row>
    <row r="9" spans="1:16" x14ac:dyDescent="0.3">
      <c r="A9" s="18" t="s">
        <v>321</v>
      </c>
      <c r="B9" s="18" t="s">
        <v>24</v>
      </c>
      <c r="C9" s="19" t="s">
        <v>322</v>
      </c>
      <c r="D9" s="18" t="s">
        <v>42</v>
      </c>
      <c r="E9" s="20" t="s">
        <v>65</v>
      </c>
      <c r="F9" s="21">
        <v>4295</v>
      </c>
      <c r="G9" s="21">
        <v>853</v>
      </c>
      <c r="H9" s="21">
        <v>325</v>
      </c>
      <c r="I9" s="21">
        <v>85900</v>
      </c>
      <c r="J9" s="21">
        <v>85788</v>
      </c>
      <c r="K9" s="21">
        <v>290</v>
      </c>
      <c r="L9" s="18" t="s">
        <v>35</v>
      </c>
      <c r="M9" s="18" t="s">
        <v>27</v>
      </c>
      <c r="N9" s="22"/>
      <c r="O9" s="22"/>
      <c r="P9" s="23">
        <f t="shared" si="0"/>
        <v>6.3713620488940623E-2</v>
      </c>
    </row>
    <row r="10" spans="1:16" x14ac:dyDescent="0.3">
      <c r="A10" s="18" t="s">
        <v>532</v>
      </c>
      <c r="B10" s="18" t="s">
        <v>24</v>
      </c>
      <c r="C10" s="19" t="s">
        <v>533</v>
      </c>
      <c r="D10" s="18" t="s">
        <v>42</v>
      </c>
      <c r="E10" s="20" t="s">
        <v>65</v>
      </c>
      <c r="F10" s="21">
        <v>4780</v>
      </c>
      <c r="G10" s="21">
        <v>691</v>
      </c>
      <c r="H10" s="21">
        <v>380</v>
      </c>
      <c r="I10" s="21">
        <v>86040</v>
      </c>
      <c r="J10" s="21">
        <v>85743</v>
      </c>
      <c r="K10" s="21">
        <v>262</v>
      </c>
      <c r="L10" s="18" t="s">
        <v>28</v>
      </c>
      <c r="M10" s="18" t="s">
        <v>59</v>
      </c>
      <c r="N10" s="22"/>
      <c r="O10" s="22"/>
      <c r="P10" s="23">
        <f t="shared" si="0"/>
        <v>6.800325430032543E-2</v>
      </c>
    </row>
    <row r="11" spans="1:16" x14ac:dyDescent="0.3">
      <c r="A11" s="18" t="s">
        <v>398</v>
      </c>
      <c r="B11" s="18" t="s">
        <v>13</v>
      </c>
      <c r="C11" s="19" t="s">
        <v>332</v>
      </c>
      <c r="D11" s="18" t="s">
        <v>15</v>
      </c>
      <c r="E11" s="20" t="s">
        <v>16</v>
      </c>
      <c r="F11" s="21">
        <v>4782</v>
      </c>
      <c r="G11" s="21">
        <v>721</v>
      </c>
      <c r="H11" s="21">
        <v>82</v>
      </c>
      <c r="I11" s="21">
        <v>86076</v>
      </c>
      <c r="J11" s="21">
        <v>85339</v>
      </c>
      <c r="K11" s="21">
        <v>19</v>
      </c>
      <c r="L11" s="18" t="s">
        <v>17</v>
      </c>
      <c r="M11" s="18" t="s">
        <v>34</v>
      </c>
      <c r="N11" s="22"/>
      <c r="O11" s="22"/>
      <c r="P11" s="23">
        <f t="shared" si="0"/>
        <v>6.4884520656164318E-2</v>
      </c>
    </row>
    <row r="12" spans="1:16" x14ac:dyDescent="0.3">
      <c r="A12" s="18" t="s">
        <v>181</v>
      </c>
      <c r="B12" s="18" t="s">
        <v>40</v>
      </c>
      <c r="C12" s="19" t="s">
        <v>182</v>
      </c>
      <c r="D12" s="18" t="s">
        <v>42</v>
      </c>
      <c r="E12" s="20" t="s">
        <v>43</v>
      </c>
      <c r="F12" s="21">
        <v>4712</v>
      </c>
      <c r="G12" s="21">
        <v>568</v>
      </c>
      <c r="H12" s="21">
        <v>127</v>
      </c>
      <c r="I12" s="21">
        <v>84816</v>
      </c>
      <c r="J12" s="21">
        <v>84691</v>
      </c>
      <c r="K12" s="21">
        <v>100</v>
      </c>
      <c r="L12" s="18" t="s">
        <v>28</v>
      </c>
      <c r="M12" s="18" t="s">
        <v>34</v>
      </c>
      <c r="N12" s="22"/>
      <c r="O12" s="22"/>
      <c r="P12" s="23">
        <f t="shared" si="0"/>
        <v>6.3749764195434822E-2</v>
      </c>
    </row>
    <row r="13" spans="1:16" x14ac:dyDescent="0.3">
      <c r="A13" s="18" t="s">
        <v>425</v>
      </c>
      <c r="B13" s="18" t="s">
        <v>40</v>
      </c>
      <c r="C13" s="19" t="s">
        <v>426</v>
      </c>
      <c r="D13" s="18" t="s">
        <v>49</v>
      </c>
      <c r="E13" s="20" t="s">
        <v>56</v>
      </c>
      <c r="F13" s="21">
        <v>4872</v>
      </c>
      <c r="G13" s="21">
        <v>925</v>
      </c>
      <c r="H13" s="21">
        <v>176</v>
      </c>
      <c r="I13" s="21">
        <v>82824</v>
      </c>
      <c r="J13" s="21">
        <v>82543</v>
      </c>
      <c r="K13" s="21">
        <v>89</v>
      </c>
      <c r="L13" s="18" t="s">
        <v>22</v>
      </c>
      <c r="M13" s="18" t="s">
        <v>34</v>
      </c>
      <c r="N13" s="22"/>
      <c r="O13" s="22"/>
      <c r="P13" s="23">
        <f t="shared" si="0"/>
        <v>7.2116777745580993E-2</v>
      </c>
    </row>
    <row r="14" spans="1:16" x14ac:dyDescent="0.3">
      <c r="A14" s="18" t="s">
        <v>192</v>
      </c>
      <c r="B14" s="18" t="s">
        <v>40</v>
      </c>
      <c r="C14" s="19" t="s">
        <v>193</v>
      </c>
      <c r="D14" s="18" t="s">
        <v>32</v>
      </c>
      <c r="E14" s="20" t="s">
        <v>68</v>
      </c>
      <c r="F14" s="21">
        <v>4126</v>
      </c>
      <c r="G14" s="21">
        <v>426</v>
      </c>
      <c r="H14" s="21">
        <v>486</v>
      </c>
      <c r="I14" s="21">
        <v>78394</v>
      </c>
      <c r="J14" s="21">
        <v>77798</v>
      </c>
      <c r="K14" s="21">
        <v>88</v>
      </c>
      <c r="L14" s="18" t="s">
        <v>35</v>
      </c>
      <c r="M14" s="18" t="s">
        <v>59</v>
      </c>
      <c r="N14" s="22"/>
      <c r="O14" s="22"/>
      <c r="P14" s="23">
        <f t="shared" si="0"/>
        <v>6.4265122330790625E-2</v>
      </c>
    </row>
    <row r="15" spans="1:16" x14ac:dyDescent="0.3">
      <c r="A15" s="18" t="s">
        <v>69</v>
      </c>
      <c r="B15" s="18" t="s">
        <v>40</v>
      </c>
      <c r="C15" s="19" t="s">
        <v>70</v>
      </c>
      <c r="D15" s="18" t="s">
        <v>71</v>
      </c>
      <c r="E15" s="20" t="s">
        <v>72</v>
      </c>
      <c r="F15" s="21">
        <v>3888</v>
      </c>
      <c r="G15" s="21">
        <v>604</v>
      </c>
      <c r="H15" s="21">
        <v>128</v>
      </c>
      <c r="I15" s="21">
        <v>77760</v>
      </c>
      <c r="J15" s="21">
        <v>77167</v>
      </c>
      <c r="K15" s="21">
        <v>20</v>
      </c>
      <c r="L15" s="18" t="s">
        <v>17</v>
      </c>
      <c r="M15" s="18" t="s">
        <v>59</v>
      </c>
      <c r="N15" s="22"/>
      <c r="O15" s="22"/>
      <c r="P15" s="23">
        <f t="shared" si="0"/>
        <v>5.941358024691358E-2</v>
      </c>
    </row>
    <row r="16" spans="1:16" x14ac:dyDescent="0.3">
      <c r="A16" s="18" t="s">
        <v>83</v>
      </c>
      <c r="B16" s="18" t="s">
        <v>30</v>
      </c>
      <c r="C16" s="19" t="s">
        <v>84</v>
      </c>
      <c r="D16" s="18" t="s">
        <v>42</v>
      </c>
      <c r="E16" s="20" t="s">
        <v>85</v>
      </c>
      <c r="F16" s="21">
        <v>4054</v>
      </c>
      <c r="G16" s="21">
        <v>488</v>
      </c>
      <c r="H16" s="21">
        <v>373</v>
      </c>
      <c r="I16" s="21">
        <v>77026</v>
      </c>
      <c r="J16" s="21">
        <v>76881</v>
      </c>
      <c r="K16" s="21">
        <v>25</v>
      </c>
      <c r="L16" s="18" t="s">
        <v>17</v>
      </c>
      <c r="M16" s="18" t="s">
        <v>27</v>
      </c>
      <c r="N16" s="22"/>
      <c r="O16" s="22"/>
      <c r="P16" s="23">
        <f t="shared" si="0"/>
        <v>6.3809622724794221E-2</v>
      </c>
    </row>
    <row r="17" spans="1:16" x14ac:dyDescent="0.3">
      <c r="A17" s="18" t="s">
        <v>365</v>
      </c>
      <c r="B17" s="18" t="s">
        <v>40</v>
      </c>
      <c r="C17" s="19" t="s">
        <v>366</v>
      </c>
      <c r="D17" s="18" t="s">
        <v>71</v>
      </c>
      <c r="E17" s="20" t="s">
        <v>72</v>
      </c>
      <c r="F17" s="21">
        <v>3798</v>
      </c>
      <c r="G17" s="21">
        <v>31</v>
      </c>
      <c r="H17" s="21">
        <v>279</v>
      </c>
      <c r="I17" s="21">
        <v>75960</v>
      </c>
      <c r="J17" s="21">
        <v>75813</v>
      </c>
      <c r="K17" s="21">
        <v>266</v>
      </c>
      <c r="L17" s="18" t="s">
        <v>17</v>
      </c>
      <c r="M17" s="18" t="s">
        <v>27</v>
      </c>
      <c r="N17" s="22"/>
      <c r="O17" s="22"/>
      <c r="P17" s="23">
        <f t="shared" si="0"/>
        <v>5.4081095313322801E-2</v>
      </c>
    </row>
    <row r="18" spans="1:16" x14ac:dyDescent="0.3">
      <c r="A18" s="18" t="s">
        <v>299</v>
      </c>
      <c r="B18" s="18" t="s">
        <v>40</v>
      </c>
      <c r="C18" s="19" t="s">
        <v>300</v>
      </c>
      <c r="D18" s="18" t="s">
        <v>20</v>
      </c>
      <c r="E18" s="20" t="s">
        <v>53</v>
      </c>
      <c r="F18" s="21">
        <v>4213</v>
      </c>
      <c r="G18" s="21">
        <v>253</v>
      </c>
      <c r="H18" s="21">
        <v>434</v>
      </c>
      <c r="I18" s="21">
        <v>75834</v>
      </c>
      <c r="J18" s="21">
        <v>75437</v>
      </c>
      <c r="K18" s="21">
        <v>272</v>
      </c>
      <c r="L18" s="18" t="s">
        <v>35</v>
      </c>
      <c r="M18" s="18" t="s">
        <v>59</v>
      </c>
      <c r="N18" s="22"/>
      <c r="O18" s="22"/>
      <c r="P18" s="23">
        <f t="shared" si="0"/>
        <v>6.461481657304112E-2</v>
      </c>
    </row>
    <row r="19" spans="1:16" x14ac:dyDescent="0.3">
      <c r="A19" s="18" t="s">
        <v>243</v>
      </c>
      <c r="B19" s="18" t="s">
        <v>24</v>
      </c>
      <c r="C19" s="19" t="s">
        <v>193</v>
      </c>
      <c r="D19" s="18" t="s">
        <v>71</v>
      </c>
      <c r="E19" s="20" t="s">
        <v>212</v>
      </c>
      <c r="F19" s="21">
        <v>4450</v>
      </c>
      <c r="G19" s="21">
        <v>983</v>
      </c>
      <c r="H19" s="21">
        <v>143</v>
      </c>
      <c r="I19" s="21">
        <v>75650</v>
      </c>
      <c r="J19" s="21">
        <v>75008</v>
      </c>
      <c r="K19" s="21">
        <v>12</v>
      </c>
      <c r="L19" s="18" t="s">
        <v>28</v>
      </c>
      <c r="M19" s="18" t="s">
        <v>59</v>
      </c>
      <c r="N19" s="22"/>
      <c r="O19" s="22"/>
      <c r="P19" s="23">
        <f t="shared" si="0"/>
        <v>7.3707865168539333E-2</v>
      </c>
    </row>
    <row r="20" spans="1:16" x14ac:dyDescent="0.3">
      <c r="A20" s="18" t="s">
        <v>456</v>
      </c>
      <c r="B20" s="18" t="s">
        <v>13</v>
      </c>
      <c r="C20" s="19" t="s">
        <v>457</v>
      </c>
      <c r="D20" s="18" t="s">
        <v>20</v>
      </c>
      <c r="E20" s="20" t="s">
        <v>21</v>
      </c>
      <c r="F20" s="21">
        <v>4725</v>
      </c>
      <c r="G20" s="21">
        <v>400</v>
      </c>
      <c r="H20" s="21">
        <v>362</v>
      </c>
      <c r="I20" s="21">
        <v>75600</v>
      </c>
      <c r="J20" s="21">
        <v>74927</v>
      </c>
      <c r="K20" s="21">
        <v>43</v>
      </c>
      <c r="L20" s="18" t="s">
        <v>35</v>
      </c>
      <c r="M20" s="18" t="s">
        <v>59</v>
      </c>
      <c r="N20" s="22"/>
      <c r="O20" s="22"/>
      <c r="P20" s="23">
        <f t="shared" si="0"/>
        <v>7.2579365079365077E-2</v>
      </c>
    </row>
    <row r="21" spans="1:16" x14ac:dyDescent="0.3">
      <c r="A21" s="18" t="s">
        <v>86</v>
      </c>
      <c r="B21" s="18" t="s">
        <v>30</v>
      </c>
      <c r="C21" s="19" t="s">
        <v>87</v>
      </c>
      <c r="D21" s="18" t="s">
        <v>15</v>
      </c>
      <c r="E21" s="20" t="s">
        <v>79</v>
      </c>
      <c r="F21" s="21">
        <v>4838</v>
      </c>
      <c r="G21" s="21">
        <v>640</v>
      </c>
      <c r="H21" s="21">
        <v>128</v>
      </c>
      <c r="I21" s="21">
        <v>72570</v>
      </c>
      <c r="J21" s="21">
        <v>72396</v>
      </c>
      <c r="K21" s="21">
        <v>83</v>
      </c>
      <c r="L21" s="18" t="s">
        <v>35</v>
      </c>
      <c r="M21" s="18" t="s">
        <v>59</v>
      </c>
      <c r="N21" s="22"/>
      <c r="O21" s="22"/>
      <c r="P21" s="23">
        <f t="shared" si="0"/>
        <v>7.7249552156538517E-2</v>
      </c>
    </row>
    <row r="22" spans="1:16" x14ac:dyDescent="0.3">
      <c r="A22" s="18" t="s">
        <v>491</v>
      </c>
      <c r="B22" s="18" t="s">
        <v>30</v>
      </c>
      <c r="C22" s="19" t="s">
        <v>492</v>
      </c>
      <c r="D22" s="18" t="s">
        <v>49</v>
      </c>
      <c r="E22" s="20" t="s">
        <v>209</v>
      </c>
      <c r="F22" s="21">
        <v>4853</v>
      </c>
      <c r="G22" s="21">
        <v>837</v>
      </c>
      <c r="H22" s="21">
        <v>340</v>
      </c>
      <c r="I22" s="21">
        <v>72795</v>
      </c>
      <c r="J22" s="21">
        <v>72237</v>
      </c>
      <c r="K22" s="21">
        <v>170</v>
      </c>
      <c r="L22" s="18" t="s">
        <v>17</v>
      </c>
      <c r="M22" s="18" t="s">
        <v>34</v>
      </c>
      <c r="N22" s="22"/>
      <c r="O22" s="22"/>
      <c r="P22" s="23">
        <f t="shared" si="0"/>
        <v>8.2835359571399134E-2</v>
      </c>
    </row>
    <row r="23" spans="1:16" x14ac:dyDescent="0.3">
      <c r="A23" s="18" t="s">
        <v>443</v>
      </c>
      <c r="B23" s="18" t="s">
        <v>30</v>
      </c>
      <c r="C23" s="19" t="s">
        <v>444</v>
      </c>
      <c r="D23" s="18" t="s">
        <v>32</v>
      </c>
      <c r="E23" s="20" t="s">
        <v>33</v>
      </c>
      <c r="F23" s="21">
        <v>4808</v>
      </c>
      <c r="G23" s="21">
        <v>772</v>
      </c>
      <c r="H23" s="21">
        <v>320</v>
      </c>
      <c r="I23" s="21">
        <v>72120</v>
      </c>
      <c r="J23" s="21">
        <v>71696</v>
      </c>
      <c r="K23" s="21">
        <v>195</v>
      </c>
      <c r="L23" s="18" t="s">
        <v>17</v>
      </c>
      <c r="M23" s="18" t="s">
        <v>34</v>
      </c>
      <c r="N23" s="22"/>
      <c r="O23" s="22"/>
      <c r="P23" s="23">
        <f t="shared" si="0"/>
        <v>8.1808097615085965E-2</v>
      </c>
    </row>
    <row r="24" spans="1:16" x14ac:dyDescent="0.3">
      <c r="A24" s="18" t="s">
        <v>54</v>
      </c>
      <c r="B24" s="18" t="s">
        <v>40</v>
      </c>
      <c r="C24" s="19" t="s">
        <v>55</v>
      </c>
      <c r="D24" s="18" t="s">
        <v>49</v>
      </c>
      <c r="E24" s="20" t="s">
        <v>56</v>
      </c>
      <c r="F24" s="21">
        <v>4241</v>
      </c>
      <c r="G24" s="21">
        <v>902</v>
      </c>
      <c r="H24" s="21">
        <v>47</v>
      </c>
      <c r="I24" s="21">
        <v>72097</v>
      </c>
      <c r="J24" s="21">
        <v>71598</v>
      </c>
      <c r="K24" s="21">
        <v>167</v>
      </c>
      <c r="L24" s="18" t="s">
        <v>22</v>
      </c>
      <c r="M24" s="18" t="s">
        <v>27</v>
      </c>
      <c r="N24" s="22"/>
      <c r="O24" s="22"/>
      <c r="P24" s="23">
        <f t="shared" si="0"/>
        <v>7.198635172059864E-2</v>
      </c>
    </row>
    <row r="25" spans="1:16" x14ac:dyDescent="0.3">
      <c r="A25" s="18" t="s">
        <v>408</v>
      </c>
      <c r="B25" s="18" t="s">
        <v>30</v>
      </c>
      <c r="C25" s="19" t="s">
        <v>409</v>
      </c>
      <c r="D25" s="18" t="s">
        <v>42</v>
      </c>
      <c r="E25" s="20" t="s">
        <v>85</v>
      </c>
      <c r="F25" s="21">
        <v>3773</v>
      </c>
      <c r="G25" s="21">
        <v>299</v>
      </c>
      <c r="H25" s="21">
        <v>38</v>
      </c>
      <c r="I25" s="21">
        <v>71687</v>
      </c>
      <c r="J25" s="21">
        <v>71447</v>
      </c>
      <c r="K25" s="21">
        <v>286</v>
      </c>
      <c r="L25" s="18" t="s">
        <v>17</v>
      </c>
      <c r="M25" s="18" t="s">
        <v>59</v>
      </c>
      <c r="N25" s="22"/>
      <c r="O25" s="22"/>
      <c r="P25" s="23">
        <f t="shared" si="0"/>
        <v>5.7332570758993957E-2</v>
      </c>
    </row>
    <row r="26" spans="1:16" x14ac:dyDescent="0.3">
      <c r="A26" s="18" t="s">
        <v>455</v>
      </c>
      <c r="B26" s="18" t="s">
        <v>30</v>
      </c>
      <c r="C26" s="19" t="s">
        <v>332</v>
      </c>
      <c r="D26" s="18" t="s">
        <v>32</v>
      </c>
      <c r="E26" s="20" t="s">
        <v>33</v>
      </c>
      <c r="F26" s="21">
        <v>3770</v>
      </c>
      <c r="G26" s="21">
        <v>917</v>
      </c>
      <c r="H26" s="21">
        <v>129</v>
      </c>
      <c r="I26" s="21">
        <v>71630</v>
      </c>
      <c r="J26" s="21">
        <v>71322</v>
      </c>
      <c r="K26" s="21">
        <v>76</v>
      </c>
      <c r="L26" s="18" t="s">
        <v>17</v>
      </c>
      <c r="M26" s="18" t="s">
        <v>59</v>
      </c>
      <c r="N26" s="22"/>
      <c r="O26" s="22"/>
      <c r="P26" s="23">
        <f t="shared" si="0"/>
        <v>6.7234398994834563E-2</v>
      </c>
    </row>
    <row r="27" spans="1:16" x14ac:dyDescent="0.3">
      <c r="A27" s="3" t="s">
        <v>36</v>
      </c>
      <c r="B27" s="3" t="s">
        <v>24</v>
      </c>
      <c r="C27" s="4" t="s">
        <v>37</v>
      </c>
      <c r="D27" s="3" t="s">
        <v>15</v>
      </c>
      <c r="E27" s="11" t="s">
        <v>26</v>
      </c>
      <c r="F27" s="5">
        <v>3557</v>
      </c>
      <c r="G27" s="5">
        <v>687</v>
      </c>
      <c r="H27" s="5">
        <v>424</v>
      </c>
      <c r="I27" s="5">
        <v>71140</v>
      </c>
      <c r="J27" s="5">
        <v>70701</v>
      </c>
      <c r="K27" s="5">
        <v>224</v>
      </c>
      <c r="L27" s="3" t="s">
        <v>17</v>
      </c>
      <c r="M27" s="3" t="s">
        <v>34</v>
      </c>
      <c r="N27" t="s">
        <v>27</v>
      </c>
      <c r="P27" s="10">
        <f t="shared" si="0"/>
        <v>6.5617093055946027E-2</v>
      </c>
    </row>
    <row r="28" spans="1:16" x14ac:dyDescent="0.3">
      <c r="A28" s="3" t="s">
        <v>402</v>
      </c>
      <c r="B28" s="3" t="s">
        <v>40</v>
      </c>
      <c r="C28" s="4" t="s">
        <v>403</v>
      </c>
      <c r="D28" s="3" t="s">
        <v>15</v>
      </c>
      <c r="E28" s="11" t="s">
        <v>62</v>
      </c>
      <c r="F28" s="5">
        <v>3718</v>
      </c>
      <c r="G28" s="5">
        <v>385</v>
      </c>
      <c r="H28" s="5">
        <v>310</v>
      </c>
      <c r="I28" s="5">
        <v>70642</v>
      </c>
      <c r="J28" s="5">
        <v>69749</v>
      </c>
      <c r="K28" s="5">
        <v>233</v>
      </c>
      <c r="L28" s="3" t="s">
        <v>22</v>
      </c>
      <c r="M28" s="3" t="s">
        <v>27</v>
      </c>
      <c r="P28" s="10">
        <f t="shared" si="0"/>
        <v>6.246991874522239E-2</v>
      </c>
    </row>
    <row r="29" spans="1:16" x14ac:dyDescent="0.3">
      <c r="A29" s="3" t="s">
        <v>537</v>
      </c>
      <c r="B29" s="3" t="s">
        <v>40</v>
      </c>
      <c r="C29" s="4" t="s">
        <v>91</v>
      </c>
      <c r="D29" s="3" t="s">
        <v>71</v>
      </c>
      <c r="E29" s="11" t="s">
        <v>72</v>
      </c>
      <c r="F29" s="5">
        <v>4663</v>
      </c>
      <c r="G29" s="5">
        <v>145</v>
      </c>
      <c r="H29" s="5">
        <v>225</v>
      </c>
      <c r="I29" s="5">
        <v>69945</v>
      </c>
      <c r="J29" s="5">
        <v>69596</v>
      </c>
      <c r="K29" s="5">
        <v>35</v>
      </c>
      <c r="L29" s="3" t="s">
        <v>35</v>
      </c>
      <c r="M29" s="3" t="s">
        <v>34</v>
      </c>
      <c r="P29" s="10">
        <f t="shared" si="0"/>
        <v>7.1956537279290869E-2</v>
      </c>
    </row>
    <row r="30" spans="1:16" x14ac:dyDescent="0.3">
      <c r="A30" s="3" t="s">
        <v>252</v>
      </c>
      <c r="B30" s="3" t="s">
        <v>30</v>
      </c>
      <c r="C30" s="4" t="s">
        <v>253</v>
      </c>
      <c r="D30" s="3" t="s">
        <v>49</v>
      </c>
      <c r="E30" s="11" t="s">
        <v>209</v>
      </c>
      <c r="F30" s="5">
        <v>4619</v>
      </c>
      <c r="G30" s="5">
        <v>821</v>
      </c>
      <c r="H30" s="5">
        <v>499</v>
      </c>
      <c r="I30" s="5">
        <v>69285</v>
      </c>
      <c r="J30" s="5">
        <v>69141</v>
      </c>
      <c r="K30" s="5">
        <v>298</v>
      </c>
      <c r="L30" s="3" t="s">
        <v>35</v>
      </c>
      <c r="M30" s="3" t="s">
        <v>27</v>
      </c>
      <c r="P30" s="10">
        <f t="shared" si="0"/>
        <v>8.5718409468138843E-2</v>
      </c>
    </row>
    <row r="31" spans="1:16" x14ac:dyDescent="0.3">
      <c r="A31" s="3" t="s">
        <v>224</v>
      </c>
      <c r="B31" s="3" t="s">
        <v>30</v>
      </c>
      <c r="C31" s="4" t="s">
        <v>225</v>
      </c>
      <c r="D31" s="3" t="s">
        <v>49</v>
      </c>
      <c r="E31" s="11" t="s">
        <v>209</v>
      </c>
      <c r="F31" s="5">
        <v>3861</v>
      </c>
      <c r="G31" s="5">
        <v>960</v>
      </c>
      <c r="H31" s="5">
        <v>101</v>
      </c>
      <c r="I31" s="5">
        <v>69498</v>
      </c>
      <c r="J31" s="5">
        <v>68817</v>
      </c>
      <c r="K31" s="5">
        <v>297</v>
      </c>
      <c r="L31" s="3" t="s">
        <v>35</v>
      </c>
      <c r="M31" s="3" t="s">
        <v>27</v>
      </c>
      <c r="P31" s="10">
        <f t="shared" si="0"/>
        <v>7.0822181933293038E-2</v>
      </c>
    </row>
    <row r="32" spans="1:16" x14ac:dyDescent="0.3">
      <c r="A32" s="3" t="s">
        <v>475</v>
      </c>
      <c r="B32" s="3" t="s">
        <v>40</v>
      </c>
      <c r="C32" s="4" t="s">
        <v>167</v>
      </c>
      <c r="D32" s="3" t="s">
        <v>15</v>
      </c>
      <c r="E32" s="11" t="s">
        <v>62</v>
      </c>
      <c r="F32" s="5">
        <v>3813</v>
      </c>
      <c r="G32" s="5">
        <v>935</v>
      </c>
      <c r="H32" s="5">
        <v>274</v>
      </c>
      <c r="I32" s="5">
        <v>68634</v>
      </c>
      <c r="J32" s="5">
        <v>68488</v>
      </c>
      <c r="K32" s="5">
        <v>251</v>
      </c>
      <c r="L32" s="6"/>
      <c r="M32" s="3" t="s">
        <v>59</v>
      </c>
      <c r="P32" s="10">
        <f t="shared" si="0"/>
        <v>7.3170731707317069E-2</v>
      </c>
    </row>
    <row r="33" spans="1:16" x14ac:dyDescent="0.3">
      <c r="A33" s="3" t="s">
        <v>354</v>
      </c>
      <c r="B33" s="3" t="s">
        <v>13</v>
      </c>
      <c r="C33" s="4" t="s">
        <v>355</v>
      </c>
      <c r="D33" s="3" t="s">
        <v>20</v>
      </c>
      <c r="E33" s="11" t="s">
        <v>21</v>
      </c>
      <c r="F33" s="5">
        <v>3577</v>
      </c>
      <c r="G33" s="5">
        <v>596</v>
      </c>
      <c r="H33" s="5">
        <v>493</v>
      </c>
      <c r="I33" s="5">
        <v>67963</v>
      </c>
      <c r="J33" s="5">
        <v>67839</v>
      </c>
      <c r="K33" s="5">
        <v>53</v>
      </c>
      <c r="L33" s="3" t="s">
        <v>28</v>
      </c>
      <c r="M33" s="3" t="s">
        <v>27</v>
      </c>
      <c r="P33" s="10">
        <f t="shared" si="0"/>
        <v>6.8655003457763777E-2</v>
      </c>
    </row>
    <row r="34" spans="1:16" x14ac:dyDescent="0.3">
      <c r="A34" s="3" t="s">
        <v>276</v>
      </c>
      <c r="B34" s="3" t="s">
        <v>40</v>
      </c>
      <c r="C34" s="4" t="s">
        <v>275</v>
      </c>
      <c r="D34" s="3" t="s">
        <v>49</v>
      </c>
      <c r="E34" s="11" t="s">
        <v>56</v>
      </c>
      <c r="F34" s="5">
        <v>4551</v>
      </c>
      <c r="G34" s="5">
        <v>714</v>
      </c>
      <c r="H34" s="5">
        <v>207</v>
      </c>
      <c r="I34" s="5">
        <v>68265</v>
      </c>
      <c r="J34" s="5">
        <v>67754</v>
      </c>
      <c r="K34" s="5">
        <v>57</v>
      </c>
      <c r="L34" s="3" t="s">
        <v>28</v>
      </c>
      <c r="M34" s="3" t="s">
        <v>59</v>
      </c>
      <c r="P34" s="10">
        <f t="shared" si="0"/>
        <v>8.0158206987475278E-2</v>
      </c>
    </row>
    <row r="35" spans="1:16" x14ac:dyDescent="0.3">
      <c r="A35" s="3" t="s">
        <v>118</v>
      </c>
      <c r="B35" s="3" t="s">
        <v>30</v>
      </c>
      <c r="C35" s="4" t="s">
        <v>119</v>
      </c>
      <c r="D35" s="3" t="s">
        <v>32</v>
      </c>
      <c r="E35" s="11" t="s">
        <v>33</v>
      </c>
      <c r="F35" s="5">
        <v>4518</v>
      </c>
      <c r="G35" s="5">
        <v>285</v>
      </c>
      <c r="H35" s="5">
        <v>383</v>
      </c>
      <c r="I35" s="5">
        <v>67770</v>
      </c>
      <c r="J35" s="5">
        <v>67621</v>
      </c>
      <c r="K35" s="5">
        <v>31</v>
      </c>
      <c r="L35" s="3" t="s">
        <v>22</v>
      </c>
      <c r="M35" s="3" t="s">
        <v>34</v>
      </c>
      <c r="P35" s="10">
        <f t="shared" si="0"/>
        <v>7.6523535487678915E-2</v>
      </c>
    </row>
    <row r="36" spans="1:16" x14ac:dyDescent="0.3">
      <c r="A36" s="3" t="s">
        <v>239</v>
      </c>
      <c r="B36" s="3" t="s">
        <v>24</v>
      </c>
      <c r="C36" s="4" t="s">
        <v>240</v>
      </c>
      <c r="D36" s="3" t="s">
        <v>42</v>
      </c>
      <c r="E36" s="11" t="s">
        <v>65</v>
      </c>
      <c r="F36" s="5">
        <v>4171</v>
      </c>
      <c r="G36" s="5">
        <v>548</v>
      </c>
      <c r="H36" s="5">
        <v>86</v>
      </c>
      <c r="I36" s="5">
        <v>66736</v>
      </c>
      <c r="J36" s="5">
        <v>66634</v>
      </c>
      <c r="K36" s="5">
        <v>173</v>
      </c>
      <c r="L36" s="3" t="s">
        <v>28</v>
      </c>
      <c r="M36" s="3" t="s">
        <v>59</v>
      </c>
      <c r="P36" s="10">
        <f t="shared" si="0"/>
        <v>7.2000119875329657E-2</v>
      </c>
    </row>
    <row r="37" spans="1:16" x14ac:dyDescent="0.3">
      <c r="A37" s="3" t="s">
        <v>92</v>
      </c>
      <c r="B37" s="3" t="s">
        <v>40</v>
      </c>
      <c r="C37" s="4" t="s">
        <v>93</v>
      </c>
      <c r="D37" s="3" t="s">
        <v>71</v>
      </c>
      <c r="E37" s="11" t="s">
        <v>72</v>
      </c>
      <c r="F37" s="5">
        <v>3961</v>
      </c>
      <c r="G37" s="5">
        <v>761</v>
      </c>
      <c r="H37" s="5">
        <v>131</v>
      </c>
      <c r="I37" s="5">
        <v>67337</v>
      </c>
      <c r="J37" s="5">
        <v>66615</v>
      </c>
      <c r="K37" s="5">
        <v>161</v>
      </c>
      <c r="L37" s="3" t="s">
        <v>28</v>
      </c>
      <c r="M37" s="3" t="s">
        <v>59</v>
      </c>
      <c r="P37" s="10">
        <f t="shared" si="0"/>
        <v>7.2070332803659209E-2</v>
      </c>
    </row>
    <row r="38" spans="1:16" x14ac:dyDescent="0.3">
      <c r="A38" s="3" t="s">
        <v>501</v>
      </c>
      <c r="B38" s="3" t="s">
        <v>13</v>
      </c>
      <c r="C38" s="4" t="s">
        <v>387</v>
      </c>
      <c r="D38" s="3" t="s">
        <v>15</v>
      </c>
      <c r="E38" s="11" t="s">
        <v>16</v>
      </c>
      <c r="F38" s="5">
        <v>4187</v>
      </c>
      <c r="G38" s="5">
        <v>66</v>
      </c>
      <c r="H38" s="5">
        <v>31</v>
      </c>
      <c r="I38" s="5">
        <v>66992</v>
      </c>
      <c r="J38" s="5">
        <v>66614</v>
      </c>
      <c r="K38" s="5">
        <v>62</v>
      </c>
      <c r="L38" s="6"/>
      <c r="M38" s="3" t="s">
        <v>59</v>
      </c>
      <c r="P38" s="10">
        <f t="shared" si="0"/>
        <v>6.3947934081681396E-2</v>
      </c>
    </row>
    <row r="39" spans="1:16" x14ac:dyDescent="0.3">
      <c r="A39" s="3" t="s">
        <v>288</v>
      </c>
      <c r="B39" s="3" t="s">
        <v>40</v>
      </c>
      <c r="C39" s="4" t="s">
        <v>217</v>
      </c>
      <c r="D39" s="3" t="s">
        <v>15</v>
      </c>
      <c r="E39" s="11" t="s">
        <v>62</v>
      </c>
      <c r="F39" s="5">
        <v>3452</v>
      </c>
      <c r="G39" s="5">
        <v>652</v>
      </c>
      <c r="H39" s="5">
        <v>442</v>
      </c>
      <c r="I39" s="5">
        <v>65588</v>
      </c>
      <c r="J39" s="5">
        <v>65049</v>
      </c>
      <c r="K39" s="5">
        <v>158</v>
      </c>
      <c r="L39" s="3" t="s">
        <v>28</v>
      </c>
      <c r="M39" s="3" t="s">
        <v>59</v>
      </c>
      <c r="P39" s="10">
        <f t="shared" si="0"/>
        <v>6.9311459413307311E-2</v>
      </c>
    </row>
    <row r="40" spans="1:16" x14ac:dyDescent="0.3">
      <c r="A40" s="3" t="s">
        <v>18</v>
      </c>
      <c r="B40" s="3" t="s">
        <v>13</v>
      </c>
      <c r="C40" s="4" t="s">
        <v>19</v>
      </c>
      <c r="D40" s="3" t="s">
        <v>20</v>
      </c>
      <c r="E40" s="11" t="s">
        <v>21</v>
      </c>
      <c r="F40" s="5">
        <v>4054</v>
      </c>
      <c r="G40" s="5">
        <v>389</v>
      </c>
      <c r="H40" s="5">
        <v>493</v>
      </c>
      <c r="I40" s="5">
        <v>64864</v>
      </c>
      <c r="J40" s="5">
        <v>64383</v>
      </c>
      <c r="K40" s="5">
        <v>117</v>
      </c>
      <c r="L40" s="3" t="s">
        <v>22</v>
      </c>
      <c r="M40" s="3" t="s">
        <v>27</v>
      </c>
      <c r="N40" t="s">
        <v>601</v>
      </c>
      <c r="P40" s="10">
        <f t="shared" si="0"/>
        <v>7.6097681302417369E-2</v>
      </c>
    </row>
    <row r="41" spans="1:16" x14ac:dyDescent="0.3">
      <c r="A41" s="3" t="s">
        <v>525</v>
      </c>
      <c r="B41" s="3" t="s">
        <v>13</v>
      </c>
      <c r="C41" s="4" t="s">
        <v>526</v>
      </c>
      <c r="D41" s="3" t="s">
        <v>15</v>
      </c>
      <c r="E41" s="11" t="s">
        <v>16</v>
      </c>
      <c r="F41" s="5">
        <v>3367</v>
      </c>
      <c r="G41" s="5">
        <v>302</v>
      </c>
      <c r="H41" s="5">
        <v>57</v>
      </c>
      <c r="I41" s="5">
        <v>63973</v>
      </c>
      <c r="J41" s="5">
        <v>63789</v>
      </c>
      <c r="K41" s="5">
        <v>157</v>
      </c>
      <c r="L41" s="3" t="s">
        <v>22</v>
      </c>
      <c r="M41" s="3" t="s">
        <v>59</v>
      </c>
      <c r="P41" s="10">
        <f t="shared" si="0"/>
        <v>5.8243321401216137E-2</v>
      </c>
    </row>
    <row r="42" spans="1:16" x14ac:dyDescent="0.3">
      <c r="A42" s="3" t="s">
        <v>520</v>
      </c>
      <c r="B42" s="3" t="s">
        <v>24</v>
      </c>
      <c r="C42" s="4" t="s">
        <v>163</v>
      </c>
      <c r="D42" s="3" t="s">
        <v>71</v>
      </c>
      <c r="E42" s="11" t="s">
        <v>212</v>
      </c>
      <c r="F42" s="5">
        <v>4275</v>
      </c>
      <c r="G42" s="5">
        <v>680</v>
      </c>
      <c r="H42" s="5">
        <v>385</v>
      </c>
      <c r="I42" s="5">
        <v>64125</v>
      </c>
      <c r="J42" s="5">
        <v>63650</v>
      </c>
      <c r="K42" s="5">
        <v>104</v>
      </c>
      <c r="L42" s="3" t="s">
        <v>35</v>
      </c>
      <c r="M42" s="3" t="s">
        <v>34</v>
      </c>
      <c r="N42" t="s">
        <v>27</v>
      </c>
      <c r="O42" t="s">
        <v>600</v>
      </c>
      <c r="P42" s="10">
        <f t="shared" si="0"/>
        <v>8.3274853801169585E-2</v>
      </c>
    </row>
    <row r="43" spans="1:16" x14ac:dyDescent="0.3">
      <c r="A43" s="3" t="s">
        <v>370</v>
      </c>
      <c r="B43" s="3" t="s">
        <v>40</v>
      </c>
      <c r="C43" s="4" t="s">
        <v>308</v>
      </c>
      <c r="D43" s="3" t="s">
        <v>42</v>
      </c>
      <c r="E43" s="11" t="s">
        <v>43</v>
      </c>
      <c r="F43" s="5">
        <v>3796</v>
      </c>
      <c r="G43" s="5">
        <v>667</v>
      </c>
      <c r="H43" s="5">
        <v>395</v>
      </c>
      <c r="I43" s="5">
        <v>64532</v>
      </c>
      <c r="J43" s="5">
        <v>63550</v>
      </c>
      <c r="K43" s="5">
        <v>292</v>
      </c>
      <c r="L43" s="6"/>
      <c r="M43" s="3" t="s">
        <v>27</v>
      </c>
      <c r="P43" s="10">
        <f t="shared" si="0"/>
        <v>7.5280481001673588E-2</v>
      </c>
    </row>
    <row r="44" spans="1:16" x14ac:dyDescent="0.3">
      <c r="A44" s="3" t="s">
        <v>551</v>
      </c>
      <c r="B44" s="3" t="s">
        <v>13</v>
      </c>
      <c r="C44" s="4" t="s">
        <v>310</v>
      </c>
      <c r="D44" s="3" t="s">
        <v>42</v>
      </c>
      <c r="E44" s="11" t="s">
        <v>46</v>
      </c>
      <c r="F44" s="5">
        <v>4494</v>
      </c>
      <c r="G44" s="5">
        <v>717</v>
      </c>
      <c r="H44" s="5">
        <v>45</v>
      </c>
      <c r="I44" s="5">
        <v>62916</v>
      </c>
      <c r="J44" s="5">
        <v>62688</v>
      </c>
      <c r="K44" s="5">
        <v>191</v>
      </c>
      <c r="L44" s="3" t="s">
        <v>17</v>
      </c>
      <c r="M44" s="3" t="s">
        <v>27</v>
      </c>
      <c r="N44" t="s">
        <v>34</v>
      </c>
      <c r="O44" t="s">
        <v>601</v>
      </c>
      <c r="P44" s="10">
        <f t="shared" si="0"/>
        <v>8.3539958039290485E-2</v>
      </c>
    </row>
    <row r="45" spans="1:16" x14ac:dyDescent="0.3">
      <c r="A45" s="3" t="s">
        <v>44</v>
      </c>
      <c r="B45" s="3" t="s">
        <v>13</v>
      </c>
      <c r="C45" s="4" t="s">
        <v>45</v>
      </c>
      <c r="D45" s="3" t="s">
        <v>42</v>
      </c>
      <c r="E45" s="11" t="s">
        <v>46</v>
      </c>
      <c r="F45" s="5">
        <v>3860</v>
      </c>
      <c r="G45" s="5">
        <v>201</v>
      </c>
      <c r="H45" s="5">
        <v>279</v>
      </c>
      <c r="I45" s="5">
        <v>61760</v>
      </c>
      <c r="J45" s="5">
        <v>61660</v>
      </c>
      <c r="K45" s="5">
        <v>235</v>
      </c>
      <c r="L45" s="3" t="s">
        <v>22</v>
      </c>
      <c r="M45" s="3" t="s">
        <v>27</v>
      </c>
      <c r="P45" s="10">
        <f t="shared" si="0"/>
        <v>7.0272020725388601E-2</v>
      </c>
    </row>
    <row r="46" spans="1:16" x14ac:dyDescent="0.3">
      <c r="A46" s="3" t="s">
        <v>236</v>
      </c>
      <c r="B46" s="3" t="s">
        <v>30</v>
      </c>
      <c r="C46" s="4" t="s">
        <v>237</v>
      </c>
      <c r="D46" s="3" t="s">
        <v>49</v>
      </c>
      <c r="E46" s="11" t="s">
        <v>209</v>
      </c>
      <c r="F46" s="5">
        <v>4739</v>
      </c>
      <c r="G46" s="5">
        <v>527</v>
      </c>
      <c r="H46" s="5">
        <v>135</v>
      </c>
      <c r="I46" s="5">
        <v>61607</v>
      </c>
      <c r="J46" s="5">
        <v>61333</v>
      </c>
      <c r="K46" s="5">
        <v>36</v>
      </c>
      <c r="L46" s="3" t="s">
        <v>22</v>
      </c>
      <c r="M46" s="3" t="s">
        <v>27</v>
      </c>
      <c r="N46" t="s">
        <v>600</v>
      </c>
      <c r="P46" s="10">
        <f t="shared" si="0"/>
        <v>8.7668609086629767E-2</v>
      </c>
    </row>
    <row r="47" spans="1:16" x14ac:dyDescent="0.3">
      <c r="A47" s="3" t="s">
        <v>393</v>
      </c>
      <c r="B47" s="3" t="s">
        <v>24</v>
      </c>
      <c r="C47" s="4" t="s">
        <v>267</v>
      </c>
      <c r="D47" s="3" t="s">
        <v>32</v>
      </c>
      <c r="E47" s="11" t="s">
        <v>150</v>
      </c>
      <c r="F47" s="5">
        <v>4350</v>
      </c>
      <c r="G47" s="5">
        <v>771</v>
      </c>
      <c r="H47" s="5">
        <v>7</v>
      </c>
      <c r="I47" s="5">
        <v>60900</v>
      </c>
      <c r="J47" s="5">
        <v>60592</v>
      </c>
      <c r="K47" s="5">
        <v>195</v>
      </c>
      <c r="L47" s="3" t="s">
        <v>17</v>
      </c>
      <c r="M47" s="3" t="s">
        <v>34</v>
      </c>
      <c r="P47" s="10">
        <f t="shared" si="0"/>
        <v>8.4203612479474554E-2</v>
      </c>
    </row>
    <row r="48" spans="1:16" x14ac:dyDescent="0.3">
      <c r="A48" s="3" t="s">
        <v>489</v>
      </c>
      <c r="B48" s="3" t="s">
        <v>30</v>
      </c>
      <c r="C48" s="4" t="s">
        <v>490</v>
      </c>
      <c r="D48" s="3" t="s">
        <v>32</v>
      </c>
      <c r="E48" s="11" t="s">
        <v>33</v>
      </c>
      <c r="F48" s="5">
        <v>4332</v>
      </c>
      <c r="G48" s="5">
        <v>771</v>
      </c>
      <c r="H48" s="5">
        <v>219</v>
      </c>
      <c r="I48" s="5">
        <v>60648</v>
      </c>
      <c r="J48" s="5">
        <v>60397</v>
      </c>
      <c r="K48" s="5">
        <v>10</v>
      </c>
      <c r="L48" s="3" t="s">
        <v>28</v>
      </c>
      <c r="M48" s="3" t="s">
        <v>27</v>
      </c>
      <c r="N48" t="s">
        <v>34</v>
      </c>
      <c r="O48" t="s">
        <v>601</v>
      </c>
      <c r="P48" s="10">
        <f t="shared" si="0"/>
        <v>8.7752275425405618E-2</v>
      </c>
    </row>
    <row r="49" spans="1:16" x14ac:dyDescent="0.3">
      <c r="A49" s="3" t="s">
        <v>435</v>
      </c>
      <c r="B49" s="3" t="s">
        <v>13</v>
      </c>
      <c r="C49" s="4" t="s">
        <v>351</v>
      </c>
      <c r="D49" s="3" t="s">
        <v>49</v>
      </c>
      <c r="E49" s="11" t="s">
        <v>128</v>
      </c>
      <c r="F49" s="5">
        <v>3338</v>
      </c>
      <c r="G49" s="5">
        <v>277</v>
      </c>
      <c r="H49" s="5">
        <v>118</v>
      </c>
      <c r="I49" s="5">
        <v>60084</v>
      </c>
      <c r="J49" s="5">
        <v>59842</v>
      </c>
      <c r="K49" s="5">
        <v>252</v>
      </c>
      <c r="L49" s="6"/>
      <c r="M49" s="3" t="s">
        <v>27</v>
      </c>
      <c r="P49" s="10">
        <f t="shared" si="0"/>
        <v>6.2129685107516146E-2</v>
      </c>
    </row>
    <row r="50" spans="1:16" x14ac:dyDescent="0.3">
      <c r="A50" s="3" t="s">
        <v>124</v>
      </c>
      <c r="B50" s="3" t="s">
        <v>40</v>
      </c>
      <c r="C50" s="4" t="s">
        <v>125</v>
      </c>
      <c r="D50" s="3" t="s">
        <v>49</v>
      </c>
      <c r="E50" s="11" t="s">
        <v>56</v>
      </c>
      <c r="F50" s="5">
        <v>3564</v>
      </c>
      <c r="G50" s="5">
        <v>629</v>
      </c>
      <c r="H50" s="5">
        <v>177</v>
      </c>
      <c r="I50" s="5">
        <v>60588</v>
      </c>
      <c r="J50" s="5">
        <v>59627</v>
      </c>
      <c r="K50" s="5">
        <v>92</v>
      </c>
      <c r="L50" s="6"/>
      <c r="M50" s="3" t="s">
        <v>27</v>
      </c>
      <c r="P50" s="10">
        <f t="shared" si="0"/>
        <v>7.2126493695121141E-2</v>
      </c>
    </row>
    <row r="51" spans="1:16" x14ac:dyDescent="0.3">
      <c r="A51" s="3" t="s">
        <v>385</v>
      </c>
      <c r="B51" s="3" t="s">
        <v>40</v>
      </c>
      <c r="C51" s="4" t="s">
        <v>227</v>
      </c>
      <c r="D51" s="3" t="s">
        <v>15</v>
      </c>
      <c r="E51" s="11" t="s">
        <v>62</v>
      </c>
      <c r="F51" s="5">
        <v>3360</v>
      </c>
      <c r="G51" s="5">
        <v>525</v>
      </c>
      <c r="H51" s="5">
        <v>500</v>
      </c>
      <c r="I51" s="5">
        <v>60480</v>
      </c>
      <c r="J51" s="5">
        <v>59610</v>
      </c>
      <c r="K51" s="5">
        <v>192</v>
      </c>
      <c r="L51" s="3" t="s">
        <v>17</v>
      </c>
      <c r="M51" s="3" t="s">
        <v>27</v>
      </c>
      <c r="P51" s="10">
        <f t="shared" si="0"/>
        <v>7.2503306878306875E-2</v>
      </c>
    </row>
    <row r="52" spans="1:16" x14ac:dyDescent="0.3">
      <c r="A52" s="3" t="s">
        <v>506</v>
      </c>
      <c r="B52" s="3" t="s">
        <v>24</v>
      </c>
      <c r="C52" s="4" t="s">
        <v>405</v>
      </c>
      <c r="D52" s="3" t="s">
        <v>15</v>
      </c>
      <c r="E52" s="11" t="s">
        <v>26</v>
      </c>
      <c r="F52" s="5">
        <v>3774</v>
      </c>
      <c r="G52" s="5">
        <v>239</v>
      </c>
      <c r="H52" s="5">
        <v>39</v>
      </c>
      <c r="I52" s="5">
        <v>60384</v>
      </c>
      <c r="J52" s="5">
        <v>59490</v>
      </c>
      <c r="K52" s="5">
        <v>241</v>
      </c>
      <c r="L52" s="3" t="s">
        <v>28</v>
      </c>
      <c r="M52" s="3" t="s">
        <v>27</v>
      </c>
      <c r="P52" s="10">
        <f t="shared" si="0"/>
        <v>6.7103868574456813E-2</v>
      </c>
    </row>
    <row r="53" spans="1:16" x14ac:dyDescent="0.3">
      <c r="A53" s="3" t="s">
        <v>502</v>
      </c>
      <c r="B53" s="3" t="s">
        <v>30</v>
      </c>
      <c r="C53" s="4" t="s">
        <v>503</v>
      </c>
      <c r="D53" s="3" t="s">
        <v>15</v>
      </c>
      <c r="E53" s="11" t="s">
        <v>79</v>
      </c>
      <c r="F53" s="5">
        <v>4579</v>
      </c>
      <c r="G53" s="5">
        <v>125</v>
      </c>
      <c r="H53" s="5">
        <v>300</v>
      </c>
      <c r="I53" s="5">
        <v>59527</v>
      </c>
      <c r="J53" s="5">
        <v>59400</v>
      </c>
      <c r="K53" s="5">
        <v>269</v>
      </c>
      <c r="L53" s="3" t="s">
        <v>17</v>
      </c>
      <c r="M53" s="3" t="s">
        <v>34</v>
      </c>
      <c r="P53" s="10">
        <f t="shared" si="0"/>
        <v>8.4062694239588759E-2</v>
      </c>
    </row>
    <row r="54" spans="1:16" x14ac:dyDescent="0.3">
      <c r="A54" s="3" t="s">
        <v>94</v>
      </c>
      <c r="B54" s="3" t="s">
        <v>13</v>
      </c>
      <c r="C54" s="4" t="s">
        <v>95</v>
      </c>
      <c r="D54" s="3" t="s">
        <v>42</v>
      </c>
      <c r="E54" s="11" t="s">
        <v>46</v>
      </c>
      <c r="F54" s="5">
        <v>3128</v>
      </c>
      <c r="G54" s="5">
        <v>211</v>
      </c>
      <c r="H54" s="5">
        <v>197</v>
      </c>
      <c r="I54" s="5">
        <v>59432</v>
      </c>
      <c r="J54" s="5">
        <v>59182</v>
      </c>
      <c r="K54" s="5">
        <v>238</v>
      </c>
      <c r="L54" s="6"/>
      <c r="M54" s="3" t="s">
        <v>34</v>
      </c>
      <c r="P54" s="10">
        <f t="shared" si="0"/>
        <v>5.9496567505720827E-2</v>
      </c>
    </row>
    <row r="55" spans="1:16" x14ac:dyDescent="0.3">
      <c r="A55" s="3" t="s">
        <v>545</v>
      </c>
      <c r="B55" s="3" t="s">
        <v>13</v>
      </c>
      <c r="C55" s="4" t="s">
        <v>546</v>
      </c>
      <c r="D55" s="3" t="s">
        <v>71</v>
      </c>
      <c r="E55" s="11" t="s">
        <v>141</v>
      </c>
      <c r="F55" s="5">
        <v>3440</v>
      </c>
      <c r="G55" s="5">
        <v>13</v>
      </c>
      <c r="H55" s="5">
        <v>20</v>
      </c>
      <c r="I55" s="5">
        <v>58480</v>
      </c>
      <c r="J55" s="5">
        <v>58146</v>
      </c>
      <c r="K55" s="5">
        <v>210</v>
      </c>
      <c r="L55" s="3" t="s">
        <v>35</v>
      </c>
      <c r="M55" s="3" t="s">
        <v>27</v>
      </c>
      <c r="N55" t="s">
        <v>592</v>
      </c>
      <c r="P55" s="10">
        <f t="shared" si="0"/>
        <v>5.9387824897400819E-2</v>
      </c>
    </row>
    <row r="56" spans="1:16" x14ac:dyDescent="0.3">
      <c r="A56" s="3" t="s">
        <v>216</v>
      </c>
      <c r="B56" s="3" t="s">
        <v>24</v>
      </c>
      <c r="C56" s="4" t="s">
        <v>217</v>
      </c>
      <c r="D56" s="3" t="s">
        <v>20</v>
      </c>
      <c r="E56" s="11" t="s">
        <v>100</v>
      </c>
      <c r="F56" s="5">
        <v>3428</v>
      </c>
      <c r="G56" s="5">
        <v>305</v>
      </c>
      <c r="H56" s="5">
        <v>85</v>
      </c>
      <c r="I56" s="5">
        <v>58276</v>
      </c>
      <c r="J56" s="5">
        <v>58052</v>
      </c>
      <c r="K56" s="5">
        <v>242</v>
      </c>
      <c r="L56" s="3" t="s">
        <v>35</v>
      </c>
      <c r="M56" s="3" t="s">
        <v>34</v>
      </c>
      <c r="N56" t="s">
        <v>601</v>
      </c>
      <c r="P56" s="10">
        <f t="shared" si="0"/>
        <v>6.5515821264328367E-2</v>
      </c>
    </row>
    <row r="57" spans="1:16" x14ac:dyDescent="0.3">
      <c r="A57" s="3" t="s">
        <v>232</v>
      </c>
      <c r="B57" s="3" t="s">
        <v>30</v>
      </c>
      <c r="C57" s="4" t="s">
        <v>233</v>
      </c>
      <c r="D57" s="3" t="s">
        <v>20</v>
      </c>
      <c r="E57" s="11" t="s">
        <v>109</v>
      </c>
      <c r="F57" s="5">
        <v>3182</v>
      </c>
      <c r="G57" s="5">
        <v>559</v>
      </c>
      <c r="H57" s="5">
        <v>160</v>
      </c>
      <c r="I57" s="5">
        <v>57276</v>
      </c>
      <c r="J57" s="5">
        <v>56890</v>
      </c>
      <c r="K57" s="5">
        <v>163</v>
      </c>
      <c r="L57" s="3" t="s">
        <v>35</v>
      </c>
      <c r="M57" s="3" t="s">
        <v>59</v>
      </c>
      <c r="P57" s="10">
        <f t="shared" si="0"/>
        <v>6.8108806480899509E-2</v>
      </c>
    </row>
    <row r="58" spans="1:16" x14ac:dyDescent="0.3">
      <c r="A58" s="3" t="s">
        <v>349</v>
      </c>
      <c r="B58" s="3" t="s">
        <v>30</v>
      </c>
      <c r="C58" s="4" t="s">
        <v>300</v>
      </c>
      <c r="D58" s="3" t="s">
        <v>20</v>
      </c>
      <c r="E58" s="11" t="s">
        <v>109</v>
      </c>
      <c r="F58" s="5">
        <v>4771</v>
      </c>
      <c r="G58" s="5">
        <v>818</v>
      </c>
      <c r="H58" s="5">
        <v>56</v>
      </c>
      <c r="I58" s="5">
        <v>57252</v>
      </c>
      <c r="J58" s="5">
        <v>56378</v>
      </c>
      <c r="K58" s="5">
        <v>150</v>
      </c>
      <c r="L58" s="6"/>
      <c r="M58" s="3" t="s">
        <v>59</v>
      </c>
      <c r="P58" s="10">
        <f t="shared" si="0"/>
        <v>9.859917557465242E-2</v>
      </c>
    </row>
    <row r="59" spans="1:16" x14ac:dyDescent="0.3">
      <c r="A59" s="3" t="s">
        <v>51</v>
      </c>
      <c r="B59" s="3" t="s">
        <v>40</v>
      </c>
      <c r="C59" s="4" t="s">
        <v>52</v>
      </c>
      <c r="D59" s="3" t="s">
        <v>20</v>
      </c>
      <c r="E59" s="11" t="s">
        <v>53</v>
      </c>
      <c r="F59" s="5">
        <v>3784</v>
      </c>
      <c r="G59" s="5">
        <v>808</v>
      </c>
      <c r="H59" s="5">
        <v>404</v>
      </c>
      <c r="I59" s="5">
        <v>56760</v>
      </c>
      <c r="J59" s="5">
        <v>56343</v>
      </c>
      <c r="K59" s="5">
        <v>131</v>
      </c>
      <c r="L59" s="3" t="s">
        <v>22</v>
      </c>
      <c r="M59" s="3" t="s">
        <v>27</v>
      </c>
      <c r="P59" s="10">
        <f t="shared" si="0"/>
        <v>8.8019732205778717E-2</v>
      </c>
    </row>
    <row r="60" spans="1:16" x14ac:dyDescent="0.3">
      <c r="A60" s="3" t="s">
        <v>521</v>
      </c>
      <c r="B60" s="3" t="s">
        <v>24</v>
      </c>
      <c r="C60" s="4" t="s">
        <v>522</v>
      </c>
      <c r="D60" s="3" t="s">
        <v>49</v>
      </c>
      <c r="E60" s="11" t="s">
        <v>50</v>
      </c>
      <c r="F60" s="5">
        <v>3166</v>
      </c>
      <c r="G60" s="5">
        <v>90</v>
      </c>
      <c r="H60" s="5">
        <v>341</v>
      </c>
      <c r="I60" s="5">
        <v>56988</v>
      </c>
      <c r="J60" s="5">
        <v>56125</v>
      </c>
      <c r="K60" s="5">
        <v>135</v>
      </c>
      <c r="L60" s="3" t="s">
        <v>22</v>
      </c>
      <c r="M60" s="3" t="s">
        <v>34</v>
      </c>
      <c r="P60" s="10">
        <f t="shared" si="0"/>
        <v>6.3118551273952411E-2</v>
      </c>
    </row>
    <row r="61" spans="1:16" x14ac:dyDescent="0.3">
      <c r="A61" s="3" t="s">
        <v>388</v>
      </c>
      <c r="B61" s="3" t="s">
        <v>24</v>
      </c>
      <c r="C61" s="4" t="s">
        <v>353</v>
      </c>
      <c r="D61" s="3" t="s">
        <v>32</v>
      </c>
      <c r="E61" s="11" t="s">
        <v>150</v>
      </c>
      <c r="F61" s="5">
        <v>4285</v>
      </c>
      <c r="G61" s="5">
        <v>886</v>
      </c>
      <c r="H61" s="5">
        <v>376</v>
      </c>
      <c r="I61" s="5">
        <v>55705</v>
      </c>
      <c r="J61" s="5">
        <v>55556</v>
      </c>
      <c r="K61" s="5">
        <v>51</v>
      </c>
      <c r="L61" s="3" t="s">
        <v>28</v>
      </c>
      <c r="M61" s="3" t="s">
        <v>59</v>
      </c>
      <c r="P61" s="10">
        <f t="shared" si="0"/>
        <v>9.9578134817341346E-2</v>
      </c>
    </row>
    <row r="62" spans="1:16" x14ac:dyDescent="0.3">
      <c r="A62" s="3" t="s">
        <v>297</v>
      </c>
      <c r="B62" s="3" t="s">
        <v>13</v>
      </c>
      <c r="C62" s="4" t="s">
        <v>298</v>
      </c>
      <c r="D62" s="3" t="s">
        <v>15</v>
      </c>
      <c r="E62" s="11" t="s">
        <v>16</v>
      </c>
      <c r="F62" s="5">
        <v>3731</v>
      </c>
      <c r="G62" s="5">
        <v>115</v>
      </c>
      <c r="H62" s="5">
        <v>135</v>
      </c>
      <c r="I62" s="5">
        <v>55965</v>
      </c>
      <c r="J62" s="5">
        <v>55436</v>
      </c>
      <c r="K62" s="5">
        <v>103</v>
      </c>
      <c r="L62" s="3" t="s">
        <v>17</v>
      </c>
      <c r="M62" s="3" t="s">
        <v>27</v>
      </c>
      <c r="P62" s="10">
        <f t="shared" si="0"/>
        <v>7.1133744304476013E-2</v>
      </c>
    </row>
    <row r="63" spans="1:16" x14ac:dyDescent="0.3">
      <c r="A63" s="3" t="s">
        <v>73</v>
      </c>
      <c r="B63" s="3" t="s">
        <v>40</v>
      </c>
      <c r="C63" s="4" t="s">
        <v>74</v>
      </c>
      <c r="D63" s="3" t="s">
        <v>20</v>
      </c>
      <c r="E63" s="11" t="s">
        <v>53</v>
      </c>
      <c r="F63" s="5">
        <v>3452</v>
      </c>
      <c r="G63" s="5">
        <v>377</v>
      </c>
      <c r="H63" s="5">
        <v>360</v>
      </c>
      <c r="I63" s="5">
        <v>55232</v>
      </c>
      <c r="J63" s="5">
        <v>55075</v>
      </c>
      <c r="K63" s="5">
        <v>87</v>
      </c>
      <c r="L63" s="3" t="s">
        <v>28</v>
      </c>
      <c r="M63" s="3" t="s">
        <v>59</v>
      </c>
      <c r="P63" s="10">
        <f t="shared" si="0"/>
        <v>7.5843713789107758E-2</v>
      </c>
    </row>
    <row r="64" spans="1:16" x14ac:dyDescent="0.3">
      <c r="A64" s="3" t="s">
        <v>381</v>
      </c>
      <c r="B64" s="3" t="s">
        <v>40</v>
      </c>
      <c r="C64" s="4" t="s">
        <v>339</v>
      </c>
      <c r="D64" s="3" t="s">
        <v>42</v>
      </c>
      <c r="E64" s="11" t="s">
        <v>43</v>
      </c>
      <c r="F64" s="5">
        <v>4292</v>
      </c>
      <c r="G64" s="5">
        <v>51</v>
      </c>
      <c r="H64" s="5">
        <v>392</v>
      </c>
      <c r="I64" s="5">
        <v>55796</v>
      </c>
      <c r="J64" s="5">
        <v>54826</v>
      </c>
      <c r="K64" s="5">
        <v>264</v>
      </c>
      <c r="L64" s="3" t="s">
        <v>28</v>
      </c>
      <c r="M64" s="3" t="s">
        <v>34</v>
      </c>
      <c r="P64" s="10">
        <f t="shared" si="0"/>
        <v>8.4862714173059003E-2</v>
      </c>
    </row>
    <row r="65" spans="1:16" x14ac:dyDescent="0.3">
      <c r="A65" s="3" t="s">
        <v>105</v>
      </c>
      <c r="B65" s="3" t="s">
        <v>30</v>
      </c>
      <c r="C65" s="4" t="s">
        <v>106</v>
      </c>
      <c r="D65" s="3" t="s">
        <v>71</v>
      </c>
      <c r="E65" s="11" t="s">
        <v>82</v>
      </c>
      <c r="F65" s="5">
        <v>3095</v>
      </c>
      <c r="G65" s="5">
        <v>39</v>
      </c>
      <c r="H65" s="5">
        <v>78</v>
      </c>
      <c r="I65" s="5">
        <v>55710</v>
      </c>
      <c r="J65" s="5">
        <v>54808</v>
      </c>
      <c r="K65" s="5">
        <v>93</v>
      </c>
      <c r="L65" s="6"/>
      <c r="M65" s="3" t="s">
        <v>34</v>
      </c>
      <c r="P65" s="10">
        <f t="shared" si="0"/>
        <v>5.7655717106444085E-2</v>
      </c>
    </row>
    <row r="66" spans="1:16" x14ac:dyDescent="0.3">
      <c r="A66" s="3" t="s">
        <v>281</v>
      </c>
      <c r="B66" s="3" t="s">
        <v>30</v>
      </c>
      <c r="C66" s="4" t="s">
        <v>267</v>
      </c>
      <c r="D66" s="3" t="s">
        <v>20</v>
      </c>
      <c r="E66" s="11" t="s">
        <v>109</v>
      </c>
      <c r="F66" s="5">
        <v>3432</v>
      </c>
      <c r="G66" s="5">
        <v>869</v>
      </c>
      <c r="H66" s="5">
        <v>123</v>
      </c>
      <c r="I66" s="5">
        <v>54912</v>
      </c>
      <c r="J66" s="5">
        <v>53916</v>
      </c>
      <c r="K66" s="5">
        <v>264</v>
      </c>
      <c r="L66" s="3" t="s">
        <v>22</v>
      </c>
      <c r="M66" s="3" t="s">
        <v>34</v>
      </c>
      <c r="P66" s="10">
        <f t="shared" ref="P66:P129" si="1">(F66+G66+H66)/I66</f>
        <v>8.0565268065268064E-2</v>
      </c>
    </row>
    <row r="67" spans="1:16" x14ac:dyDescent="0.3">
      <c r="A67" s="3" t="s">
        <v>75</v>
      </c>
      <c r="B67" s="3" t="s">
        <v>40</v>
      </c>
      <c r="C67" s="4" t="s">
        <v>76</v>
      </c>
      <c r="D67" s="3" t="s">
        <v>20</v>
      </c>
      <c r="E67" s="11" t="s">
        <v>53</v>
      </c>
      <c r="F67" s="5">
        <v>4441</v>
      </c>
      <c r="G67" s="5">
        <v>511</v>
      </c>
      <c r="H67" s="5">
        <v>70</v>
      </c>
      <c r="I67" s="5">
        <v>53292</v>
      </c>
      <c r="J67" s="5">
        <v>53082</v>
      </c>
      <c r="K67" s="5">
        <v>159</v>
      </c>
      <c r="L67" s="3" t="s">
        <v>35</v>
      </c>
      <c r="M67" s="3" t="s">
        <v>34</v>
      </c>
      <c r="P67" s="10">
        <f t="shared" si="1"/>
        <v>9.4235532537716729E-2</v>
      </c>
    </row>
    <row r="68" spans="1:16" x14ac:dyDescent="0.3">
      <c r="A68" s="3" t="s">
        <v>512</v>
      </c>
      <c r="B68" s="3" t="s">
        <v>13</v>
      </c>
      <c r="C68" s="4" t="s">
        <v>327</v>
      </c>
      <c r="D68" s="3" t="s">
        <v>42</v>
      </c>
      <c r="E68" s="11" t="s">
        <v>46</v>
      </c>
      <c r="F68" s="5">
        <v>3535</v>
      </c>
      <c r="G68" s="5">
        <v>494</v>
      </c>
      <c r="H68" s="5">
        <v>152</v>
      </c>
      <c r="I68" s="5">
        <v>53025</v>
      </c>
      <c r="J68" s="5">
        <v>52791</v>
      </c>
      <c r="K68" s="5">
        <v>44</v>
      </c>
      <c r="L68" s="3" t="s">
        <v>35</v>
      </c>
      <c r="M68" s="3" t="s">
        <v>27</v>
      </c>
      <c r="P68" s="10">
        <f t="shared" si="1"/>
        <v>7.8849599245638849E-2</v>
      </c>
    </row>
    <row r="69" spans="1:16" x14ac:dyDescent="0.3">
      <c r="A69" s="3" t="s">
        <v>391</v>
      </c>
      <c r="B69" s="3" t="s">
        <v>13</v>
      </c>
      <c r="C69" s="4" t="s">
        <v>392</v>
      </c>
      <c r="D69" s="3" t="s">
        <v>49</v>
      </c>
      <c r="E69" s="11" t="s">
        <v>128</v>
      </c>
      <c r="F69" s="5">
        <v>4858</v>
      </c>
      <c r="G69" s="5">
        <v>317</v>
      </c>
      <c r="H69" s="5">
        <v>129</v>
      </c>
      <c r="I69" s="5">
        <v>53438</v>
      </c>
      <c r="J69" s="5">
        <v>52687</v>
      </c>
      <c r="K69" s="5">
        <v>223</v>
      </c>
      <c r="L69" s="3" t="s">
        <v>28</v>
      </c>
      <c r="M69" s="3" t="s">
        <v>34</v>
      </c>
      <c r="P69" s="10">
        <f t="shared" si="1"/>
        <v>9.9255211647142488E-2</v>
      </c>
    </row>
    <row r="70" spans="1:16" x14ac:dyDescent="0.3">
      <c r="A70" s="3" t="s">
        <v>479</v>
      </c>
      <c r="B70" s="3" t="s">
        <v>13</v>
      </c>
      <c r="C70" s="4" t="s">
        <v>480</v>
      </c>
      <c r="D70" s="3" t="s">
        <v>15</v>
      </c>
      <c r="E70" s="11" t="s">
        <v>16</v>
      </c>
      <c r="F70" s="5">
        <v>3791</v>
      </c>
      <c r="G70" s="5">
        <v>593</v>
      </c>
      <c r="H70" s="5">
        <v>228</v>
      </c>
      <c r="I70" s="5">
        <v>53074</v>
      </c>
      <c r="J70" s="5">
        <v>52613</v>
      </c>
      <c r="K70" s="5">
        <v>205</v>
      </c>
      <c r="L70" s="6"/>
      <c r="M70" s="3" t="s">
        <v>34</v>
      </c>
      <c r="P70" s="10">
        <f t="shared" si="1"/>
        <v>8.6897539284772202E-2</v>
      </c>
    </row>
    <row r="71" spans="1:16" x14ac:dyDescent="0.3">
      <c r="A71" s="3" t="s">
        <v>23</v>
      </c>
      <c r="B71" s="3" t="s">
        <v>24</v>
      </c>
      <c r="C71" s="4" t="s">
        <v>25</v>
      </c>
      <c r="D71" s="3" t="s">
        <v>15</v>
      </c>
      <c r="E71" s="11" t="s">
        <v>26</v>
      </c>
      <c r="F71" s="5">
        <v>2795</v>
      </c>
      <c r="G71" s="5">
        <v>105</v>
      </c>
      <c r="H71" s="5">
        <v>49</v>
      </c>
      <c r="I71" s="5">
        <v>53105</v>
      </c>
      <c r="J71" s="5">
        <v>52307</v>
      </c>
      <c r="K71" s="5">
        <v>204</v>
      </c>
      <c r="L71" s="3" t="s">
        <v>28</v>
      </c>
      <c r="M71" s="3" t="s">
        <v>27</v>
      </c>
      <c r="P71" s="10">
        <f t="shared" si="1"/>
        <v>5.5531494209584788E-2</v>
      </c>
    </row>
    <row r="72" spans="1:16" x14ac:dyDescent="0.3">
      <c r="A72" s="3" t="s">
        <v>256</v>
      </c>
      <c r="B72" s="3" t="s">
        <v>13</v>
      </c>
      <c r="C72" s="4" t="s">
        <v>257</v>
      </c>
      <c r="D72" s="3" t="s">
        <v>71</v>
      </c>
      <c r="E72" s="11" t="s">
        <v>141</v>
      </c>
      <c r="F72" s="5">
        <v>4050</v>
      </c>
      <c r="G72" s="5">
        <v>871</v>
      </c>
      <c r="H72" s="5">
        <v>347</v>
      </c>
      <c r="I72" s="5">
        <v>52650</v>
      </c>
      <c r="J72" s="5">
        <v>51755</v>
      </c>
      <c r="K72" s="5">
        <v>209</v>
      </c>
      <c r="L72" s="3" t="s">
        <v>22</v>
      </c>
      <c r="M72" s="3" t="s">
        <v>27</v>
      </c>
      <c r="P72" s="10">
        <f t="shared" si="1"/>
        <v>0.10005698005698006</v>
      </c>
    </row>
    <row r="73" spans="1:16" x14ac:dyDescent="0.3">
      <c r="A73" s="3" t="s">
        <v>358</v>
      </c>
      <c r="B73" s="3" t="s">
        <v>40</v>
      </c>
      <c r="C73" s="4" t="s">
        <v>359</v>
      </c>
      <c r="D73" s="3" t="s">
        <v>42</v>
      </c>
      <c r="E73" s="11" t="s">
        <v>43</v>
      </c>
      <c r="F73" s="5">
        <v>3073</v>
      </c>
      <c r="G73" s="5">
        <v>553</v>
      </c>
      <c r="H73" s="5">
        <v>174</v>
      </c>
      <c r="I73" s="5">
        <v>52241</v>
      </c>
      <c r="J73" s="5">
        <v>51605</v>
      </c>
      <c r="K73" s="5">
        <v>246</v>
      </c>
      <c r="L73" s="3" t="s">
        <v>28</v>
      </c>
      <c r="M73" s="3" t="s">
        <v>34</v>
      </c>
      <c r="P73" s="10">
        <f t="shared" si="1"/>
        <v>7.2739802071170159E-2</v>
      </c>
    </row>
    <row r="74" spans="1:16" x14ac:dyDescent="0.3">
      <c r="A74" s="3" t="s">
        <v>374</v>
      </c>
      <c r="B74" s="3" t="s">
        <v>40</v>
      </c>
      <c r="C74" s="4" t="s">
        <v>111</v>
      </c>
      <c r="D74" s="3" t="s">
        <v>49</v>
      </c>
      <c r="E74" s="11" t="s">
        <v>56</v>
      </c>
      <c r="F74" s="5">
        <v>4689</v>
      </c>
      <c r="G74" s="5">
        <v>134</v>
      </c>
      <c r="H74" s="5">
        <v>403</v>
      </c>
      <c r="I74" s="5">
        <v>51579</v>
      </c>
      <c r="J74" s="5">
        <v>50924</v>
      </c>
      <c r="K74" s="5">
        <v>173</v>
      </c>
      <c r="L74" s="3" t="s">
        <v>35</v>
      </c>
      <c r="M74" s="3" t="s">
        <v>27</v>
      </c>
      <c r="P74" s="10">
        <f t="shared" si="1"/>
        <v>0.10132030477519921</v>
      </c>
    </row>
    <row r="75" spans="1:16" x14ac:dyDescent="0.3">
      <c r="A75" s="3" t="s">
        <v>446</v>
      </c>
      <c r="B75" s="3" t="s">
        <v>40</v>
      </c>
      <c r="C75" s="4" t="s">
        <v>308</v>
      </c>
      <c r="D75" s="3" t="s">
        <v>15</v>
      </c>
      <c r="E75" s="11" t="s">
        <v>62</v>
      </c>
      <c r="F75" s="5">
        <v>3663</v>
      </c>
      <c r="G75" s="5">
        <v>17</v>
      </c>
      <c r="H75" s="5">
        <v>295</v>
      </c>
      <c r="I75" s="5">
        <v>51282</v>
      </c>
      <c r="J75" s="5">
        <v>50567</v>
      </c>
      <c r="K75" s="5">
        <v>84</v>
      </c>
      <c r="L75" s="3" t="s">
        <v>28</v>
      </c>
      <c r="M75" s="3" t="s">
        <v>34</v>
      </c>
      <c r="P75" s="10">
        <f t="shared" si="1"/>
        <v>7.7512577512577507E-2</v>
      </c>
    </row>
    <row r="76" spans="1:16" x14ac:dyDescent="0.3">
      <c r="A76" s="3" t="s">
        <v>340</v>
      </c>
      <c r="B76" s="3" t="s">
        <v>13</v>
      </c>
      <c r="C76" s="4" t="s">
        <v>341</v>
      </c>
      <c r="D76" s="3" t="s">
        <v>20</v>
      </c>
      <c r="E76" s="11" t="s">
        <v>21</v>
      </c>
      <c r="F76" s="5">
        <v>4671</v>
      </c>
      <c r="G76" s="5">
        <v>876</v>
      </c>
      <c r="H76" s="5">
        <v>366</v>
      </c>
      <c r="I76" s="5">
        <v>51381</v>
      </c>
      <c r="J76" s="5">
        <v>50565</v>
      </c>
      <c r="K76" s="5">
        <v>245</v>
      </c>
      <c r="L76" s="3" t="s">
        <v>35</v>
      </c>
      <c r="M76" s="3" t="s">
        <v>27</v>
      </c>
      <c r="P76" s="10">
        <f t="shared" si="1"/>
        <v>0.11508145034156594</v>
      </c>
    </row>
    <row r="77" spans="1:16" x14ac:dyDescent="0.3">
      <c r="A77" s="3" t="s">
        <v>137</v>
      </c>
      <c r="B77" s="3" t="s">
        <v>40</v>
      </c>
      <c r="C77" s="4" t="s">
        <v>138</v>
      </c>
      <c r="D77" s="3" t="s">
        <v>71</v>
      </c>
      <c r="E77" s="11" t="s">
        <v>72</v>
      </c>
      <c r="F77" s="5">
        <v>3371</v>
      </c>
      <c r="G77" s="5">
        <v>106</v>
      </c>
      <c r="H77" s="5">
        <v>327</v>
      </c>
      <c r="I77" s="5">
        <v>50565</v>
      </c>
      <c r="J77" s="5">
        <v>49816</v>
      </c>
      <c r="K77" s="5">
        <v>176</v>
      </c>
      <c r="L77" s="3" t="s">
        <v>17</v>
      </c>
      <c r="M77" s="3" t="s">
        <v>59</v>
      </c>
      <c r="P77" s="10">
        <f t="shared" si="1"/>
        <v>7.5229902106199939E-2</v>
      </c>
    </row>
    <row r="78" spans="1:16" x14ac:dyDescent="0.3">
      <c r="A78" s="3" t="s">
        <v>463</v>
      </c>
      <c r="B78" s="3" t="s">
        <v>13</v>
      </c>
      <c r="C78" s="4" t="s">
        <v>464</v>
      </c>
      <c r="D78" s="3" t="s">
        <v>49</v>
      </c>
      <c r="E78" s="11" t="s">
        <v>128</v>
      </c>
      <c r="F78" s="5">
        <v>3592</v>
      </c>
      <c r="G78" s="5">
        <v>911</v>
      </c>
      <c r="H78" s="5">
        <v>375</v>
      </c>
      <c r="I78" s="5">
        <v>50288</v>
      </c>
      <c r="J78" s="5">
        <v>49490</v>
      </c>
      <c r="K78" s="5">
        <v>32</v>
      </c>
      <c r="L78" s="3" t="s">
        <v>35</v>
      </c>
      <c r="M78" s="3" t="s">
        <v>59</v>
      </c>
      <c r="P78" s="10">
        <f t="shared" si="1"/>
        <v>9.7001272669424113E-2</v>
      </c>
    </row>
    <row r="79" spans="1:16" x14ac:dyDescent="0.3">
      <c r="A79" s="3" t="s">
        <v>500</v>
      </c>
      <c r="B79" s="3" t="s">
        <v>40</v>
      </c>
      <c r="C79" s="4" t="s">
        <v>125</v>
      </c>
      <c r="D79" s="3" t="s">
        <v>32</v>
      </c>
      <c r="E79" s="11" t="s">
        <v>68</v>
      </c>
      <c r="F79" s="5">
        <v>4182</v>
      </c>
      <c r="G79" s="5">
        <v>640</v>
      </c>
      <c r="H79" s="5">
        <v>240</v>
      </c>
      <c r="I79" s="5">
        <v>50184</v>
      </c>
      <c r="J79" s="5">
        <v>49351</v>
      </c>
      <c r="K79" s="5">
        <v>10</v>
      </c>
      <c r="L79" s="3" t="s">
        <v>28</v>
      </c>
      <c r="M79" s="3" t="s">
        <v>27</v>
      </c>
      <c r="P79" s="10">
        <f t="shared" si="1"/>
        <v>0.10086880280567512</v>
      </c>
    </row>
    <row r="80" spans="1:16" x14ac:dyDescent="0.3">
      <c r="A80" s="3" t="s">
        <v>379</v>
      </c>
      <c r="B80" s="3" t="s">
        <v>30</v>
      </c>
      <c r="C80" s="4" t="s">
        <v>380</v>
      </c>
      <c r="D80" s="3" t="s">
        <v>42</v>
      </c>
      <c r="E80" s="11" t="s">
        <v>85</v>
      </c>
      <c r="F80" s="5">
        <v>4523</v>
      </c>
      <c r="G80" s="5">
        <v>61</v>
      </c>
      <c r="H80" s="5">
        <v>157</v>
      </c>
      <c r="I80" s="5">
        <v>49753</v>
      </c>
      <c r="J80" s="5">
        <v>49329</v>
      </c>
      <c r="K80" s="5">
        <v>71</v>
      </c>
      <c r="L80" s="6"/>
      <c r="M80" s="3" t="s">
        <v>34</v>
      </c>
      <c r="P80" s="10">
        <f t="shared" si="1"/>
        <v>9.5290736237010829E-2</v>
      </c>
    </row>
    <row r="81" spans="1:16" x14ac:dyDescent="0.3">
      <c r="A81" s="3" t="s">
        <v>517</v>
      </c>
      <c r="B81" s="3" t="s">
        <v>13</v>
      </c>
      <c r="C81" s="4" t="s">
        <v>518</v>
      </c>
      <c r="D81" s="3" t="s">
        <v>20</v>
      </c>
      <c r="E81" s="11" t="s">
        <v>21</v>
      </c>
      <c r="F81" s="5">
        <v>4516</v>
      </c>
      <c r="G81" s="5">
        <v>836</v>
      </c>
      <c r="H81" s="5">
        <v>169</v>
      </c>
      <c r="I81" s="5">
        <v>49676</v>
      </c>
      <c r="J81" s="5">
        <v>49257</v>
      </c>
      <c r="K81" s="5">
        <v>282</v>
      </c>
      <c r="L81" s="3" t="s">
        <v>35</v>
      </c>
      <c r="M81" s="3" t="s">
        <v>34</v>
      </c>
      <c r="P81" s="10">
        <f t="shared" si="1"/>
        <v>0.11114018842096787</v>
      </c>
    </row>
    <row r="82" spans="1:16" x14ac:dyDescent="0.3">
      <c r="A82" s="3" t="s">
        <v>485</v>
      </c>
      <c r="B82" s="3" t="s">
        <v>40</v>
      </c>
      <c r="C82" s="4" t="s">
        <v>284</v>
      </c>
      <c r="D82" s="3" t="s">
        <v>49</v>
      </c>
      <c r="E82" s="11" t="s">
        <v>56</v>
      </c>
      <c r="F82" s="5">
        <v>3090</v>
      </c>
      <c r="G82" s="5">
        <v>697</v>
      </c>
      <c r="H82" s="5">
        <v>164</v>
      </c>
      <c r="I82" s="5">
        <v>49440</v>
      </c>
      <c r="J82" s="5">
        <v>48524</v>
      </c>
      <c r="K82" s="5">
        <v>25</v>
      </c>
      <c r="L82" s="3" t="s">
        <v>22</v>
      </c>
      <c r="M82" s="3" t="s">
        <v>34</v>
      </c>
      <c r="N82" t="s">
        <v>34</v>
      </c>
      <c r="O82" t="s">
        <v>601</v>
      </c>
      <c r="P82" s="10">
        <f t="shared" si="1"/>
        <v>7.9915048543689318E-2</v>
      </c>
    </row>
    <row r="83" spans="1:16" x14ac:dyDescent="0.3">
      <c r="A83" s="3" t="s">
        <v>371</v>
      </c>
      <c r="B83" s="3" t="s">
        <v>24</v>
      </c>
      <c r="C83" s="4" t="s">
        <v>353</v>
      </c>
      <c r="D83" s="3" t="s">
        <v>20</v>
      </c>
      <c r="E83" s="11" t="s">
        <v>100</v>
      </c>
      <c r="F83" s="5">
        <v>3711</v>
      </c>
      <c r="G83" s="5">
        <v>352</v>
      </c>
      <c r="H83" s="5">
        <v>290</v>
      </c>
      <c r="I83" s="5">
        <v>48243</v>
      </c>
      <c r="J83" s="5">
        <v>47579</v>
      </c>
      <c r="K83" s="5">
        <v>11</v>
      </c>
      <c r="L83" s="3" t="s">
        <v>17</v>
      </c>
      <c r="M83" s="3" t="s">
        <v>27</v>
      </c>
      <c r="P83" s="10">
        <f t="shared" si="1"/>
        <v>9.023070704558174E-2</v>
      </c>
    </row>
    <row r="84" spans="1:16" x14ac:dyDescent="0.3">
      <c r="A84" s="3" t="s">
        <v>333</v>
      </c>
      <c r="B84" s="3" t="s">
        <v>24</v>
      </c>
      <c r="C84" s="4" t="s">
        <v>334</v>
      </c>
      <c r="D84" s="3" t="s">
        <v>32</v>
      </c>
      <c r="E84" s="11" t="s">
        <v>150</v>
      </c>
      <c r="F84" s="5">
        <v>4775</v>
      </c>
      <c r="G84" s="5">
        <v>173</v>
      </c>
      <c r="H84" s="5">
        <v>206</v>
      </c>
      <c r="I84" s="5">
        <v>47750</v>
      </c>
      <c r="J84" s="5">
        <v>47544</v>
      </c>
      <c r="K84" s="5">
        <v>187</v>
      </c>
      <c r="L84" s="3" t="s">
        <v>22</v>
      </c>
      <c r="M84" s="3" t="s">
        <v>59</v>
      </c>
      <c r="P84" s="10">
        <f t="shared" si="1"/>
        <v>0.10793717277486911</v>
      </c>
    </row>
    <row r="85" spans="1:16" x14ac:dyDescent="0.3">
      <c r="A85" s="3" t="s">
        <v>342</v>
      </c>
      <c r="B85" s="3" t="s">
        <v>40</v>
      </c>
      <c r="C85" s="4" t="s">
        <v>343</v>
      </c>
      <c r="D85" s="3" t="s">
        <v>32</v>
      </c>
      <c r="E85" s="11" t="s">
        <v>68</v>
      </c>
      <c r="F85" s="5">
        <v>3430</v>
      </c>
      <c r="G85" s="5">
        <v>566</v>
      </c>
      <c r="H85" s="5">
        <v>164</v>
      </c>
      <c r="I85" s="5">
        <v>48020</v>
      </c>
      <c r="J85" s="5">
        <v>47305</v>
      </c>
      <c r="K85" s="5">
        <v>120</v>
      </c>
      <c r="L85" s="6"/>
      <c r="M85" s="3" t="s">
        <v>59</v>
      </c>
      <c r="P85" s="10">
        <f t="shared" si="1"/>
        <v>8.6630570595585168E-2</v>
      </c>
    </row>
    <row r="86" spans="1:16" x14ac:dyDescent="0.3">
      <c r="A86" s="3" t="s">
        <v>422</v>
      </c>
      <c r="B86" s="3" t="s">
        <v>40</v>
      </c>
      <c r="C86" s="4" t="s">
        <v>423</v>
      </c>
      <c r="D86" s="3" t="s">
        <v>42</v>
      </c>
      <c r="E86" s="11" t="s">
        <v>43</v>
      </c>
      <c r="F86" s="5">
        <v>2696</v>
      </c>
      <c r="G86" s="5">
        <v>628</v>
      </c>
      <c r="H86" s="5">
        <v>443</v>
      </c>
      <c r="I86" s="5">
        <v>45832</v>
      </c>
      <c r="J86" s="5">
        <v>45632</v>
      </c>
      <c r="K86" s="5">
        <v>248</v>
      </c>
      <c r="L86" s="3" t="s">
        <v>35</v>
      </c>
      <c r="M86" s="3" t="s">
        <v>34</v>
      </c>
      <c r="P86" s="10">
        <f t="shared" si="1"/>
        <v>8.21914819340199E-2</v>
      </c>
    </row>
    <row r="87" spans="1:16" x14ac:dyDescent="0.3">
      <c r="A87" s="3" t="s">
        <v>411</v>
      </c>
      <c r="B87" s="3" t="s">
        <v>13</v>
      </c>
      <c r="C87" s="4" t="s">
        <v>298</v>
      </c>
      <c r="D87" s="3" t="s">
        <v>71</v>
      </c>
      <c r="E87" s="11" t="s">
        <v>141</v>
      </c>
      <c r="F87" s="5">
        <v>3820</v>
      </c>
      <c r="G87" s="5">
        <v>697</v>
      </c>
      <c r="H87" s="5">
        <v>268</v>
      </c>
      <c r="I87" s="5">
        <v>45840</v>
      </c>
      <c r="J87" s="5">
        <v>45631</v>
      </c>
      <c r="K87" s="5">
        <v>171</v>
      </c>
      <c r="L87" s="3" t="s">
        <v>35</v>
      </c>
      <c r="M87" s="3" t="s">
        <v>27</v>
      </c>
      <c r="N87" t="s">
        <v>592</v>
      </c>
      <c r="P87" s="10">
        <f t="shared" si="1"/>
        <v>0.1043848167539267</v>
      </c>
    </row>
    <row r="88" spans="1:16" x14ac:dyDescent="0.3">
      <c r="A88" s="3" t="s">
        <v>287</v>
      </c>
      <c r="B88" s="3" t="s">
        <v>30</v>
      </c>
      <c r="C88" s="4" t="s">
        <v>178</v>
      </c>
      <c r="D88" s="3" t="s">
        <v>42</v>
      </c>
      <c r="E88" s="11" t="s">
        <v>85</v>
      </c>
      <c r="F88" s="5">
        <v>4158</v>
      </c>
      <c r="G88" s="5">
        <v>167</v>
      </c>
      <c r="H88" s="5">
        <v>241</v>
      </c>
      <c r="I88" s="5">
        <v>45738</v>
      </c>
      <c r="J88" s="5">
        <v>45183</v>
      </c>
      <c r="K88" s="5">
        <v>142</v>
      </c>
      <c r="L88" s="6"/>
      <c r="M88" s="3" t="s">
        <v>59</v>
      </c>
      <c r="P88" s="10">
        <f t="shared" si="1"/>
        <v>9.9829463465827106E-2</v>
      </c>
    </row>
    <row r="89" spans="1:16" x14ac:dyDescent="0.3">
      <c r="A89" s="3" t="s">
        <v>162</v>
      </c>
      <c r="B89" s="3" t="s">
        <v>13</v>
      </c>
      <c r="C89" s="4" t="s">
        <v>163</v>
      </c>
      <c r="D89" s="3" t="s">
        <v>71</v>
      </c>
      <c r="E89" s="11" t="s">
        <v>141</v>
      </c>
      <c r="F89" s="5">
        <v>2825</v>
      </c>
      <c r="G89" s="5">
        <v>535</v>
      </c>
      <c r="H89" s="5">
        <v>295</v>
      </c>
      <c r="I89" s="5">
        <v>45200</v>
      </c>
      <c r="J89" s="5">
        <v>44739</v>
      </c>
      <c r="K89" s="5">
        <v>169</v>
      </c>
      <c r="L89" s="3" t="s">
        <v>17</v>
      </c>
      <c r="M89" s="3" t="s">
        <v>27</v>
      </c>
      <c r="P89" s="10">
        <f t="shared" si="1"/>
        <v>8.0862831858407078E-2</v>
      </c>
    </row>
    <row r="90" spans="1:16" x14ac:dyDescent="0.3">
      <c r="A90" s="3" t="s">
        <v>415</v>
      </c>
      <c r="B90" s="3" t="s">
        <v>24</v>
      </c>
      <c r="C90" s="4" t="s">
        <v>45</v>
      </c>
      <c r="D90" s="3" t="s">
        <v>71</v>
      </c>
      <c r="E90" s="11" t="s">
        <v>212</v>
      </c>
      <c r="F90" s="5">
        <v>2949</v>
      </c>
      <c r="G90" s="5">
        <v>476</v>
      </c>
      <c r="H90" s="5">
        <v>403</v>
      </c>
      <c r="I90" s="5">
        <v>44235</v>
      </c>
      <c r="J90" s="5">
        <v>43705</v>
      </c>
      <c r="K90" s="5">
        <v>135</v>
      </c>
      <c r="L90" s="3" t="s">
        <v>22</v>
      </c>
      <c r="M90" s="3" t="s">
        <v>27</v>
      </c>
      <c r="P90" s="10">
        <f t="shared" si="1"/>
        <v>8.6537809426924378E-2</v>
      </c>
    </row>
    <row r="91" spans="1:16" x14ac:dyDescent="0.3">
      <c r="A91" s="3" t="s">
        <v>416</v>
      </c>
      <c r="B91" s="3" t="s">
        <v>13</v>
      </c>
      <c r="C91" s="4" t="s">
        <v>417</v>
      </c>
      <c r="D91" s="3" t="s">
        <v>71</v>
      </c>
      <c r="E91" s="11" t="s">
        <v>141</v>
      </c>
      <c r="F91" s="5">
        <v>3160</v>
      </c>
      <c r="G91" s="5">
        <v>204</v>
      </c>
      <c r="H91" s="5">
        <v>297</v>
      </c>
      <c r="I91" s="5">
        <v>44240</v>
      </c>
      <c r="J91" s="5">
        <v>43666</v>
      </c>
      <c r="K91" s="5">
        <v>49</v>
      </c>
      <c r="L91" s="3" t="s">
        <v>35</v>
      </c>
      <c r="M91" s="3" t="s">
        <v>59</v>
      </c>
      <c r="N91" t="s">
        <v>600</v>
      </c>
      <c r="P91" s="10">
        <f t="shared" si="1"/>
        <v>8.2753164556962022E-2</v>
      </c>
    </row>
    <row r="92" spans="1:16" x14ac:dyDescent="0.3">
      <c r="A92" s="3" t="s">
        <v>266</v>
      </c>
      <c r="B92" s="3" t="s">
        <v>13</v>
      </c>
      <c r="C92" s="4" t="s">
        <v>267</v>
      </c>
      <c r="D92" s="3" t="s">
        <v>42</v>
      </c>
      <c r="E92" s="11" t="s">
        <v>46</v>
      </c>
      <c r="F92" s="5">
        <v>4419</v>
      </c>
      <c r="G92" s="5">
        <v>236</v>
      </c>
      <c r="H92" s="5">
        <v>369</v>
      </c>
      <c r="I92" s="5">
        <v>44190</v>
      </c>
      <c r="J92" s="5">
        <v>43582</v>
      </c>
      <c r="K92" s="5">
        <v>10</v>
      </c>
      <c r="L92" s="3" t="s">
        <v>17</v>
      </c>
      <c r="M92" s="3" t="s">
        <v>34</v>
      </c>
      <c r="P92" s="10">
        <f t="shared" si="1"/>
        <v>0.11369088028965829</v>
      </c>
    </row>
    <row r="93" spans="1:16" x14ac:dyDescent="0.3">
      <c r="A93" s="3" t="s">
        <v>534</v>
      </c>
      <c r="B93" s="3" t="s">
        <v>40</v>
      </c>
      <c r="C93" s="4" t="s">
        <v>300</v>
      </c>
      <c r="D93" s="3" t="s">
        <v>42</v>
      </c>
      <c r="E93" s="11" t="s">
        <v>43</v>
      </c>
      <c r="F93" s="5">
        <v>2751</v>
      </c>
      <c r="G93" s="5">
        <v>33</v>
      </c>
      <c r="H93" s="5">
        <v>430</v>
      </c>
      <c r="I93" s="5">
        <v>44016</v>
      </c>
      <c r="J93" s="5">
        <v>43415</v>
      </c>
      <c r="K93" s="5">
        <v>129</v>
      </c>
      <c r="L93" s="6"/>
      <c r="M93" s="3" t="s">
        <v>59</v>
      </c>
      <c r="P93" s="10">
        <f t="shared" si="1"/>
        <v>7.3018902217375503E-2</v>
      </c>
    </row>
    <row r="94" spans="1:16" x14ac:dyDescent="0.3">
      <c r="A94" s="3" t="s">
        <v>331</v>
      </c>
      <c r="B94" s="3" t="s">
        <v>40</v>
      </c>
      <c r="C94" s="4" t="s">
        <v>332</v>
      </c>
      <c r="D94" s="3" t="s">
        <v>42</v>
      </c>
      <c r="E94" s="11" t="s">
        <v>43</v>
      </c>
      <c r="F94" s="5">
        <v>3352</v>
      </c>
      <c r="G94" s="5">
        <v>941</v>
      </c>
      <c r="H94" s="5">
        <v>482</v>
      </c>
      <c r="I94" s="5">
        <v>43576</v>
      </c>
      <c r="J94" s="5">
        <v>43338</v>
      </c>
      <c r="K94" s="5">
        <v>240</v>
      </c>
      <c r="L94" s="3" t="s">
        <v>22</v>
      </c>
      <c r="M94" s="3" t="s">
        <v>59</v>
      </c>
      <c r="P94" s="10">
        <f t="shared" si="1"/>
        <v>0.1095786671562328</v>
      </c>
    </row>
    <row r="95" spans="1:16" x14ac:dyDescent="0.3">
      <c r="A95" s="3" t="s">
        <v>170</v>
      </c>
      <c r="B95" s="3" t="s">
        <v>13</v>
      </c>
      <c r="C95" s="4" t="s">
        <v>171</v>
      </c>
      <c r="D95" s="3" t="s">
        <v>71</v>
      </c>
      <c r="E95" s="11" t="s">
        <v>141</v>
      </c>
      <c r="F95" s="5">
        <v>4886</v>
      </c>
      <c r="G95" s="5">
        <v>983</v>
      </c>
      <c r="H95" s="5">
        <v>409</v>
      </c>
      <c r="I95" s="5">
        <v>43974</v>
      </c>
      <c r="J95" s="5">
        <v>43239</v>
      </c>
      <c r="K95" s="5">
        <v>65</v>
      </c>
      <c r="L95" s="3" t="s">
        <v>17</v>
      </c>
      <c r="M95" s="3" t="s">
        <v>27</v>
      </c>
      <c r="P95" s="10">
        <f t="shared" si="1"/>
        <v>0.14276618001546368</v>
      </c>
    </row>
    <row r="96" spans="1:16" x14ac:dyDescent="0.3">
      <c r="A96" s="3" t="s">
        <v>293</v>
      </c>
      <c r="B96" s="3" t="s">
        <v>30</v>
      </c>
      <c r="C96" s="4" t="s">
        <v>163</v>
      </c>
      <c r="D96" s="3" t="s">
        <v>15</v>
      </c>
      <c r="E96" s="11" t="s">
        <v>79</v>
      </c>
      <c r="F96" s="5">
        <v>4840</v>
      </c>
      <c r="G96" s="5">
        <v>658</v>
      </c>
      <c r="H96" s="5">
        <v>211</v>
      </c>
      <c r="I96" s="5">
        <v>43560</v>
      </c>
      <c r="J96" s="5">
        <v>43225</v>
      </c>
      <c r="K96" s="5">
        <v>57</v>
      </c>
      <c r="L96" s="3" t="s">
        <v>28</v>
      </c>
      <c r="M96" s="3" t="s">
        <v>59</v>
      </c>
      <c r="P96" s="10">
        <f t="shared" si="1"/>
        <v>0.13106060606060607</v>
      </c>
    </row>
    <row r="97" spans="1:16" x14ac:dyDescent="0.3">
      <c r="A97" s="3" t="s">
        <v>367</v>
      </c>
      <c r="B97" s="3" t="s">
        <v>30</v>
      </c>
      <c r="C97" s="4" t="s">
        <v>368</v>
      </c>
      <c r="D97" s="3" t="s">
        <v>42</v>
      </c>
      <c r="E97" s="11" t="s">
        <v>85</v>
      </c>
      <c r="F97" s="5">
        <v>3099</v>
      </c>
      <c r="G97" s="5">
        <v>694</v>
      </c>
      <c r="H97" s="5">
        <v>171</v>
      </c>
      <c r="I97" s="5">
        <v>43386</v>
      </c>
      <c r="J97" s="5">
        <v>42921</v>
      </c>
      <c r="K97" s="5">
        <v>52</v>
      </c>
      <c r="L97" s="3" t="s">
        <v>28</v>
      </c>
      <c r="M97" s="3" t="s">
        <v>27</v>
      </c>
      <c r="P97" s="10">
        <f t="shared" si="1"/>
        <v>9.1365878393951966E-2</v>
      </c>
    </row>
    <row r="98" spans="1:16" x14ac:dyDescent="0.3">
      <c r="A98" s="3" t="s">
        <v>47</v>
      </c>
      <c r="B98" s="3" t="s">
        <v>24</v>
      </c>
      <c r="C98" s="4" t="s">
        <v>48</v>
      </c>
      <c r="D98" s="3" t="s">
        <v>49</v>
      </c>
      <c r="E98" s="11" t="s">
        <v>50</v>
      </c>
      <c r="F98" s="5">
        <v>3929</v>
      </c>
      <c r="G98" s="5">
        <v>262</v>
      </c>
      <c r="H98" s="5">
        <v>278</v>
      </c>
      <c r="I98" s="5">
        <v>43219</v>
      </c>
      <c r="J98" s="5">
        <v>42841</v>
      </c>
      <c r="K98" s="5">
        <v>39</v>
      </c>
      <c r="L98" s="3" t="s">
        <v>35</v>
      </c>
      <c r="M98" s="3" t="s">
        <v>34</v>
      </c>
      <c r="P98" s="10">
        <f t="shared" si="1"/>
        <v>0.10340359564080613</v>
      </c>
    </row>
    <row r="99" spans="1:16" x14ac:dyDescent="0.3">
      <c r="A99" s="3" t="s">
        <v>350</v>
      </c>
      <c r="B99" s="3" t="s">
        <v>40</v>
      </c>
      <c r="C99" s="4" t="s">
        <v>351</v>
      </c>
      <c r="D99" s="3" t="s">
        <v>20</v>
      </c>
      <c r="E99" s="11" t="s">
        <v>53</v>
      </c>
      <c r="F99" s="5">
        <v>2418</v>
      </c>
      <c r="G99" s="5">
        <v>754</v>
      </c>
      <c r="H99" s="5">
        <v>54</v>
      </c>
      <c r="I99" s="5">
        <v>43524</v>
      </c>
      <c r="J99" s="5">
        <v>42743</v>
      </c>
      <c r="K99" s="5">
        <v>182</v>
      </c>
      <c r="L99" s="3" t="s">
        <v>17</v>
      </c>
      <c r="M99" s="3" t="s">
        <v>34</v>
      </c>
      <c r="P99" s="10">
        <f t="shared" si="1"/>
        <v>7.412002573292896E-2</v>
      </c>
    </row>
    <row r="100" spans="1:16" x14ac:dyDescent="0.3">
      <c r="A100" s="3" t="s">
        <v>175</v>
      </c>
      <c r="B100" s="3" t="s">
        <v>40</v>
      </c>
      <c r="C100" s="4" t="s">
        <v>176</v>
      </c>
      <c r="D100" s="3" t="s">
        <v>49</v>
      </c>
      <c r="E100" s="11" t="s">
        <v>56</v>
      </c>
      <c r="F100" s="5">
        <v>2878</v>
      </c>
      <c r="G100" s="5">
        <v>248</v>
      </c>
      <c r="H100" s="5">
        <v>416</v>
      </c>
      <c r="I100" s="5">
        <v>43170</v>
      </c>
      <c r="J100" s="5">
        <v>42667</v>
      </c>
      <c r="K100" s="5">
        <v>75</v>
      </c>
      <c r="L100" s="3" t="s">
        <v>28</v>
      </c>
      <c r="M100" s="3" t="s">
        <v>59</v>
      </c>
      <c r="P100" s="10">
        <f t="shared" si="1"/>
        <v>8.2047718322909427E-2</v>
      </c>
    </row>
    <row r="101" spans="1:16" x14ac:dyDescent="0.3">
      <c r="A101" s="3" t="s">
        <v>445</v>
      </c>
      <c r="B101" s="3" t="s">
        <v>30</v>
      </c>
      <c r="C101" s="4" t="s">
        <v>149</v>
      </c>
      <c r="D101" s="3" t="s">
        <v>42</v>
      </c>
      <c r="E101" s="11" t="s">
        <v>85</v>
      </c>
      <c r="F101" s="5">
        <v>4799</v>
      </c>
      <c r="G101" s="5">
        <v>694</v>
      </c>
      <c r="H101" s="5">
        <v>289</v>
      </c>
      <c r="I101" s="5">
        <v>43191</v>
      </c>
      <c r="J101" s="5">
        <v>42228</v>
      </c>
      <c r="K101" s="5">
        <v>118</v>
      </c>
      <c r="L101" s="6"/>
      <c r="M101" s="3" t="s">
        <v>27</v>
      </c>
      <c r="P101" s="10">
        <f t="shared" si="1"/>
        <v>0.13387048227640017</v>
      </c>
    </row>
    <row r="102" spans="1:16" x14ac:dyDescent="0.3">
      <c r="A102" s="3" t="s">
        <v>270</v>
      </c>
      <c r="B102" s="3" t="s">
        <v>13</v>
      </c>
      <c r="C102" s="4" t="s">
        <v>271</v>
      </c>
      <c r="D102" s="3" t="s">
        <v>49</v>
      </c>
      <c r="E102" s="11" t="s">
        <v>128</v>
      </c>
      <c r="F102" s="5">
        <v>2493</v>
      </c>
      <c r="G102" s="5">
        <v>97</v>
      </c>
      <c r="H102" s="5">
        <v>44</v>
      </c>
      <c r="I102" s="5">
        <v>42381</v>
      </c>
      <c r="J102" s="5">
        <v>41991</v>
      </c>
      <c r="K102" s="5">
        <v>242</v>
      </c>
      <c r="L102" s="3" t="s">
        <v>35</v>
      </c>
      <c r="M102" s="3" t="s">
        <v>27</v>
      </c>
      <c r="N102" t="s">
        <v>600</v>
      </c>
      <c r="P102" s="10">
        <f t="shared" si="1"/>
        <v>6.2150491965739366E-2</v>
      </c>
    </row>
    <row r="103" spans="1:16" x14ac:dyDescent="0.3">
      <c r="A103" s="3" t="s">
        <v>96</v>
      </c>
      <c r="B103" s="3" t="s">
        <v>24</v>
      </c>
      <c r="C103" s="4" t="s">
        <v>97</v>
      </c>
      <c r="D103" s="3" t="s">
        <v>15</v>
      </c>
      <c r="E103" s="11" t="s">
        <v>26</v>
      </c>
      <c r="F103" s="5">
        <v>3009</v>
      </c>
      <c r="G103" s="5">
        <v>413</v>
      </c>
      <c r="H103" s="5">
        <v>358</v>
      </c>
      <c r="I103" s="5">
        <v>42126</v>
      </c>
      <c r="J103" s="5">
        <v>41309</v>
      </c>
      <c r="K103" s="5">
        <v>211</v>
      </c>
      <c r="L103" s="3" t="s">
        <v>22</v>
      </c>
      <c r="M103" s="3" t="s">
        <v>59</v>
      </c>
      <c r="P103" s="10">
        <f t="shared" si="1"/>
        <v>8.9730807577268201E-2</v>
      </c>
    </row>
    <row r="104" spans="1:16" x14ac:dyDescent="0.3">
      <c r="A104" s="3" t="s">
        <v>467</v>
      </c>
      <c r="B104" s="3" t="s">
        <v>40</v>
      </c>
      <c r="C104" s="4" t="s">
        <v>468</v>
      </c>
      <c r="D104" s="3" t="s">
        <v>15</v>
      </c>
      <c r="E104" s="11" t="s">
        <v>62</v>
      </c>
      <c r="F104" s="5">
        <v>4134</v>
      </c>
      <c r="G104" s="5">
        <v>824</v>
      </c>
      <c r="H104" s="5">
        <v>99</v>
      </c>
      <c r="I104" s="5">
        <v>41340</v>
      </c>
      <c r="J104" s="5">
        <v>41050</v>
      </c>
      <c r="K104" s="5">
        <v>177</v>
      </c>
      <c r="L104" s="3" t="s">
        <v>17</v>
      </c>
      <c r="M104" s="3" t="s">
        <v>34</v>
      </c>
      <c r="P104" s="10">
        <f t="shared" si="1"/>
        <v>0.12232704402515723</v>
      </c>
    </row>
    <row r="105" spans="1:16" x14ac:dyDescent="0.3">
      <c r="A105" s="3" t="s">
        <v>384</v>
      </c>
      <c r="B105" s="3" t="s">
        <v>24</v>
      </c>
      <c r="C105" s="4" t="s">
        <v>219</v>
      </c>
      <c r="D105" s="3" t="s">
        <v>15</v>
      </c>
      <c r="E105" s="11" t="s">
        <v>26</v>
      </c>
      <c r="F105" s="5">
        <v>2728</v>
      </c>
      <c r="G105" s="5">
        <v>533</v>
      </c>
      <c r="H105" s="5">
        <v>215</v>
      </c>
      <c r="I105" s="5">
        <v>40920</v>
      </c>
      <c r="J105" s="5">
        <v>40816</v>
      </c>
      <c r="K105" s="5">
        <v>137</v>
      </c>
      <c r="L105" s="3" t="s">
        <v>22</v>
      </c>
      <c r="M105" s="3" t="s">
        <v>59</v>
      </c>
      <c r="P105" s="10">
        <f t="shared" si="1"/>
        <v>8.4946236559139784E-2</v>
      </c>
    </row>
    <row r="106" spans="1:16" x14ac:dyDescent="0.3">
      <c r="A106" s="3" t="s">
        <v>262</v>
      </c>
      <c r="B106" s="3" t="s">
        <v>24</v>
      </c>
      <c r="C106" s="4" t="s">
        <v>263</v>
      </c>
      <c r="D106" s="3" t="s">
        <v>49</v>
      </c>
      <c r="E106" s="11" t="s">
        <v>50</v>
      </c>
      <c r="F106" s="5">
        <v>2719</v>
      </c>
      <c r="G106" s="5">
        <v>17</v>
      </c>
      <c r="H106" s="5">
        <v>285</v>
      </c>
      <c r="I106" s="5">
        <v>40785</v>
      </c>
      <c r="J106" s="5">
        <v>40281</v>
      </c>
      <c r="K106" s="5">
        <v>40</v>
      </c>
      <c r="L106" s="3" t="s">
        <v>22</v>
      </c>
      <c r="M106" s="3" t="s">
        <v>27</v>
      </c>
      <c r="P106" s="10">
        <f t="shared" si="1"/>
        <v>7.4071349760941527E-2</v>
      </c>
    </row>
    <row r="107" spans="1:16" x14ac:dyDescent="0.3">
      <c r="A107" s="3" t="s">
        <v>484</v>
      </c>
      <c r="B107" s="3" t="s">
        <v>24</v>
      </c>
      <c r="C107" s="4" t="s">
        <v>245</v>
      </c>
      <c r="D107" s="3" t="s">
        <v>42</v>
      </c>
      <c r="E107" s="11" t="s">
        <v>65</v>
      </c>
      <c r="F107" s="5">
        <v>2143</v>
      </c>
      <c r="G107" s="5">
        <v>12</v>
      </c>
      <c r="H107" s="5">
        <v>204</v>
      </c>
      <c r="I107" s="5">
        <v>40717</v>
      </c>
      <c r="J107" s="5">
        <v>40125</v>
      </c>
      <c r="K107" s="5">
        <v>248</v>
      </c>
      <c r="L107" s="3" t="s">
        <v>22</v>
      </c>
      <c r="M107" s="3" t="s">
        <v>34</v>
      </c>
      <c r="P107" s="10">
        <f t="shared" si="1"/>
        <v>5.7936488444630008E-2</v>
      </c>
    </row>
    <row r="108" spans="1:16" x14ac:dyDescent="0.3">
      <c r="A108" s="3" t="s">
        <v>246</v>
      </c>
      <c r="B108" s="3" t="s">
        <v>40</v>
      </c>
      <c r="C108" s="4" t="s">
        <v>247</v>
      </c>
      <c r="D108" s="3" t="s">
        <v>49</v>
      </c>
      <c r="E108" s="11" t="s">
        <v>56</v>
      </c>
      <c r="F108" s="5">
        <v>3689</v>
      </c>
      <c r="G108" s="5">
        <v>48</v>
      </c>
      <c r="H108" s="5">
        <v>306</v>
      </c>
      <c r="I108" s="5">
        <v>40579</v>
      </c>
      <c r="J108" s="5">
        <v>39588</v>
      </c>
      <c r="K108" s="5">
        <v>212</v>
      </c>
      <c r="L108" s="3" t="s">
        <v>22</v>
      </c>
      <c r="M108" s="3" t="s">
        <v>34</v>
      </c>
      <c r="P108" s="10">
        <f t="shared" si="1"/>
        <v>9.9632815002833983E-2</v>
      </c>
    </row>
    <row r="109" spans="1:16" x14ac:dyDescent="0.3">
      <c r="A109" s="3" t="s">
        <v>268</v>
      </c>
      <c r="B109" s="3" t="s">
        <v>13</v>
      </c>
      <c r="C109" s="4" t="s">
        <v>269</v>
      </c>
      <c r="D109" s="3" t="s">
        <v>32</v>
      </c>
      <c r="E109" s="11" t="s">
        <v>145</v>
      </c>
      <c r="F109" s="5">
        <v>4000</v>
      </c>
      <c r="G109" s="5">
        <v>689</v>
      </c>
      <c r="H109" s="5">
        <v>488</v>
      </c>
      <c r="I109" s="5">
        <v>40000</v>
      </c>
      <c r="J109" s="5">
        <v>39569</v>
      </c>
      <c r="K109" s="5">
        <v>44</v>
      </c>
      <c r="L109" s="3" t="s">
        <v>17</v>
      </c>
      <c r="M109" s="3" t="s">
        <v>59</v>
      </c>
      <c r="P109" s="10">
        <f t="shared" si="1"/>
        <v>0.12942500000000001</v>
      </c>
    </row>
    <row r="110" spans="1:16" x14ac:dyDescent="0.3">
      <c r="A110" s="3" t="s">
        <v>204</v>
      </c>
      <c r="B110" s="3" t="s">
        <v>30</v>
      </c>
      <c r="C110" s="4" t="s">
        <v>152</v>
      </c>
      <c r="D110" s="3" t="s">
        <v>32</v>
      </c>
      <c r="E110" s="11" t="s">
        <v>33</v>
      </c>
      <c r="F110" s="5">
        <v>2103</v>
      </c>
      <c r="G110" s="5">
        <v>892</v>
      </c>
      <c r="H110" s="5">
        <v>103</v>
      </c>
      <c r="I110" s="5">
        <v>39957</v>
      </c>
      <c r="J110" s="5">
        <v>39466</v>
      </c>
      <c r="K110" s="5">
        <v>28</v>
      </c>
      <c r="L110" s="6"/>
      <c r="M110" s="3" t="s">
        <v>59</v>
      </c>
      <c r="P110" s="10">
        <f t="shared" si="1"/>
        <v>7.7533348349475686E-2</v>
      </c>
    </row>
    <row r="111" spans="1:16" x14ac:dyDescent="0.3">
      <c r="A111" s="3" t="s">
        <v>202</v>
      </c>
      <c r="B111" s="3" t="s">
        <v>30</v>
      </c>
      <c r="C111" s="4" t="s">
        <v>203</v>
      </c>
      <c r="D111" s="3" t="s">
        <v>42</v>
      </c>
      <c r="E111" s="11" t="s">
        <v>85</v>
      </c>
      <c r="F111" s="5">
        <v>3068</v>
      </c>
      <c r="G111" s="5">
        <v>137</v>
      </c>
      <c r="H111" s="5">
        <v>329</v>
      </c>
      <c r="I111" s="5">
        <v>39884</v>
      </c>
      <c r="J111" s="5">
        <v>39404</v>
      </c>
      <c r="K111" s="5">
        <v>266</v>
      </c>
      <c r="L111" s="3" t="s">
        <v>22</v>
      </c>
      <c r="M111" s="3" t="s">
        <v>34</v>
      </c>
      <c r="P111" s="10">
        <f t="shared" si="1"/>
        <v>8.860696018453515E-2</v>
      </c>
    </row>
    <row r="112" spans="1:16" x14ac:dyDescent="0.3">
      <c r="A112" s="3" t="s">
        <v>510</v>
      </c>
      <c r="B112" s="3" t="s">
        <v>24</v>
      </c>
      <c r="C112" s="4" t="s">
        <v>511</v>
      </c>
      <c r="D112" s="3" t="s">
        <v>32</v>
      </c>
      <c r="E112" s="11" t="s">
        <v>150</v>
      </c>
      <c r="F112" s="5">
        <v>3641</v>
      </c>
      <c r="G112" s="5">
        <v>226</v>
      </c>
      <c r="H112" s="5">
        <v>46</v>
      </c>
      <c r="I112" s="5">
        <v>40051</v>
      </c>
      <c r="J112" s="5">
        <v>39319</v>
      </c>
      <c r="K112" s="5">
        <v>296</v>
      </c>
      <c r="L112" s="3" t="s">
        <v>35</v>
      </c>
      <c r="M112" s="3" t="s">
        <v>34</v>
      </c>
      <c r="P112" s="10">
        <f t="shared" si="1"/>
        <v>9.7700431949264685E-2</v>
      </c>
    </row>
    <row r="113" spans="1:16" x14ac:dyDescent="0.3">
      <c r="A113" s="3" t="s">
        <v>509</v>
      </c>
      <c r="B113" s="3" t="s">
        <v>30</v>
      </c>
      <c r="C113" s="4" t="s">
        <v>477</v>
      </c>
      <c r="D113" s="3" t="s">
        <v>20</v>
      </c>
      <c r="E113" s="11" t="s">
        <v>109</v>
      </c>
      <c r="F113" s="5">
        <v>4941</v>
      </c>
      <c r="G113" s="5">
        <v>414</v>
      </c>
      <c r="H113" s="5">
        <v>266</v>
      </c>
      <c r="I113" s="5">
        <v>39528</v>
      </c>
      <c r="J113" s="5">
        <v>39154</v>
      </c>
      <c r="K113" s="5">
        <v>217</v>
      </c>
      <c r="L113" s="3" t="s">
        <v>28</v>
      </c>
      <c r="M113" s="3" t="s">
        <v>27</v>
      </c>
      <c r="P113" s="10">
        <f t="shared" si="1"/>
        <v>0.14220299534507186</v>
      </c>
    </row>
    <row r="114" spans="1:16" x14ac:dyDescent="0.3">
      <c r="A114" s="3" t="s">
        <v>346</v>
      </c>
      <c r="B114" s="3" t="s">
        <v>24</v>
      </c>
      <c r="C114" s="4" t="s">
        <v>89</v>
      </c>
      <c r="D114" s="3" t="s">
        <v>20</v>
      </c>
      <c r="E114" s="11" t="s">
        <v>100</v>
      </c>
      <c r="F114" s="5">
        <v>4934</v>
      </c>
      <c r="G114" s="5">
        <v>971</v>
      </c>
      <c r="H114" s="5">
        <v>156</v>
      </c>
      <c r="I114" s="5">
        <v>39472</v>
      </c>
      <c r="J114" s="5">
        <v>39025</v>
      </c>
      <c r="K114" s="5">
        <v>169</v>
      </c>
      <c r="L114" s="3" t="s">
        <v>35</v>
      </c>
      <c r="M114" s="3" t="s">
        <v>27</v>
      </c>
      <c r="N114" t="s">
        <v>600</v>
      </c>
      <c r="P114" s="10">
        <f t="shared" si="1"/>
        <v>0.15355188488042157</v>
      </c>
    </row>
    <row r="115" spans="1:16" x14ac:dyDescent="0.3">
      <c r="A115" s="3" t="s">
        <v>386</v>
      </c>
      <c r="B115" s="3" t="s">
        <v>24</v>
      </c>
      <c r="C115" s="4" t="s">
        <v>387</v>
      </c>
      <c r="D115" s="3" t="s">
        <v>20</v>
      </c>
      <c r="E115" s="11" t="s">
        <v>100</v>
      </c>
      <c r="F115" s="5">
        <v>1963</v>
      </c>
      <c r="G115" s="5">
        <v>213</v>
      </c>
      <c r="H115" s="5">
        <v>19</v>
      </c>
      <c r="I115" s="5">
        <v>39260</v>
      </c>
      <c r="J115" s="5">
        <v>38771</v>
      </c>
      <c r="K115" s="5">
        <v>145</v>
      </c>
      <c r="L115" s="6"/>
      <c r="M115" s="3" t="s">
        <v>59</v>
      </c>
      <c r="P115" s="10">
        <f t="shared" si="1"/>
        <v>5.5909322465613857E-2</v>
      </c>
    </row>
    <row r="116" spans="1:16" x14ac:dyDescent="0.3">
      <c r="A116" s="3" t="s">
        <v>311</v>
      </c>
      <c r="B116" s="3" t="s">
        <v>24</v>
      </c>
      <c r="C116" s="4" t="s">
        <v>257</v>
      </c>
      <c r="D116" s="3" t="s">
        <v>32</v>
      </c>
      <c r="E116" s="11" t="s">
        <v>150</v>
      </c>
      <c r="F116" s="5">
        <v>2070</v>
      </c>
      <c r="G116" s="5">
        <v>275</v>
      </c>
      <c r="H116" s="5">
        <v>386</v>
      </c>
      <c r="I116" s="5">
        <v>39330</v>
      </c>
      <c r="J116" s="5">
        <v>38627</v>
      </c>
      <c r="K116" s="5">
        <v>114</v>
      </c>
      <c r="L116" s="3" t="s">
        <v>35</v>
      </c>
      <c r="M116" s="3" t="s">
        <v>59</v>
      </c>
      <c r="P116" s="10">
        <f t="shared" si="1"/>
        <v>6.9438087973557078E-2</v>
      </c>
    </row>
    <row r="117" spans="1:16" x14ac:dyDescent="0.3">
      <c r="A117" s="3" t="s">
        <v>260</v>
      </c>
      <c r="B117" s="3" t="s">
        <v>30</v>
      </c>
      <c r="C117" s="4" t="s">
        <v>261</v>
      </c>
      <c r="D117" s="3" t="s">
        <v>15</v>
      </c>
      <c r="E117" s="11" t="s">
        <v>79</v>
      </c>
      <c r="F117" s="5">
        <v>3523</v>
      </c>
      <c r="G117" s="5">
        <v>753</v>
      </c>
      <c r="H117" s="5">
        <v>482</v>
      </c>
      <c r="I117" s="5">
        <v>38753</v>
      </c>
      <c r="J117" s="5">
        <v>38579</v>
      </c>
      <c r="K117" s="5">
        <v>270</v>
      </c>
      <c r="L117" s="3" t="s">
        <v>22</v>
      </c>
      <c r="M117" s="3" t="s">
        <v>34</v>
      </c>
      <c r="P117" s="10">
        <f t="shared" si="1"/>
        <v>0.12277759141227776</v>
      </c>
    </row>
    <row r="118" spans="1:16" x14ac:dyDescent="0.3">
      <c r="A118" s="3" t="s">
        <v>421</v>
      </c>
      <c r="B118" s="3" t="s">
        <v>24</v>
      </c>
      <c r="C118" s="4" t="s">
        <v>191</v>
      </c>
      <c r="D118" s="3" t="s">
        <v>71</v>
      </c>
      <c r="E118" s="11" t="s">
        <v>212</v>
      </c>
      <c r="F118" s="5">
        <v>3874</v>
      </c>
      <c r="G118" s="5">
        <v>884</v>
      </c>
      <c r="H118" s="5">
        <v>19</v>
      </c>
      <c r="I118" s="5">
        <v>38740</v>
      </c>
      <c r="J118" s="5">
        <v>38552</v>
      </c>
      <c r="K118" s="5">
        <v>219</v>
      </c>
      <c r="L118" s="3" t="s">
        <v>22</v>
      </c>
      <c r="M118" s="3" t="s">
        <v>27</v>
      </c>
      <c r="P118" s="10">
        <f t="shared" si="1"/>
        <v>0.123309241094476</v>
      </c>
    </row>
    <row r="119" spans="1:16" x14ac:dyDescent="0.3">
      <c r="A119" s="3" t="s">
        <v>126</v>
      </c>
      <c r="B119" s="3" t="s">
        <v>13</v>
      </c>
      <c r="C119" s="4" t="s">
        <v>127</v>
      </c>
      <c r="D119" s="3" t="s">
        <v>49</v>
      </c>
      <c r="E119" s="11" t="s">
        <v>128</v>
      </c>
      <c r="F119" s="5">
        <v>4750</v>
      </c>
      <c r="G119" s="5">
        <v>151</v>
      </c>
      <c r="H119" s="5">
        <v>415</v>
      </c>
      <c r="I119" s="5">
        <v>38000</v>
      </c>
      <c r="J119" s="5">
        <v>37792</v>
      </c>
      <c r="K119" s="5">
        <v>299</v>
      </c>
      <c r="L119" s="3" t="s">
        <v>35</v>
      </c>
      <c r="M119" s="3" t="s">
        <v>34</v>
      </c>
      <c r="P119" s="10">
        <f t="shared" si="1"/>
        <v>0.13989473684210527</v>
      </c>
    </row>
    <row r="120" spans="1:16" x14ac:dyDescent="0.3">
      <c r="A120" s="3" t="s">
        <v>228</v>
      </c>
      <c r="B120" s="3" t="s">
        <v>13</v>
      </c>
      <c r="C120" s="4" t="s">
        <v>163</v>
      </c>
      <c r="D120" s="3" t="s">
        <v>32</v>
      </c>
      <c r="E120" s="11" t="s">
        <v>145</v>
      </c>
      <c r="F120" s="5">
        <v>3801</v>
      </c>
      <c r="G120" s="5">
        <v>967</v>
      </c>
      <c r="H120" s="5">
        <v>401</v>
      </c>
      <c r="I120" s="5">
        <v>38010</v>
      </c>
      <c r="J120" s="5">
        <v>37625</v>
      </c>
      <c r="K120" s="5">
        <v>236</v>
      </c>
      <c r="L120" s="3" t="s">
        <v>28</v>
      </c>
      <c r="M120" s="3" t="s">
        <v>59</v>
      </c>
      <c r="P120" s="10">
        <f t="shared" si="1"/>
        <v>0.13599052880820836</v>
      </c>
    </row>
    <row r="121" spans="1:16" x14ac:dyDescent="0.3">
      <c r="A121" s="3" t="s">
        <v>291</v>
      </c>
      <c r="B121" s="3" t="s">
        <v>24</v>
      </c>
      <c r="C121" s="4" t="s">
        <v>292</v>
      </c>
      <c r="D121" s="3" t="s">
        <v>15</v>
      </c>
      <c r="E121" s="11" t="s">
        <v>26</v>
      </c>
      <c r="F121" s="5">
        <v>2936</v>
      </c>
      <c r="G121" s="5">
        <v>439</v>
      </c>
      <c r="H121" s="5">
        <v>44</v>
      </c>
      <c r="I121" s="5">
        <v>38168</v>
      </c>
      <c r="J121" s="5">
        <v>37571</v>
      </c>
      <c r="K121" s="5">
        <v>22</v>
      </c>
      <c r="L121" s="3" t="s">
        <v>35</v>
      </c>
      <c r="M121" s="3" t="s">
        <v>34</v>
      </c>
      <c r="P121" s="10">
        <f t="shared" si="1"/>
        <v>8.9577656675749323E-2</v>
      </c>
    </row>
    <row r="122" spans="1:16" x14ac:dyDescent="0.3">
      <c r="A122" s="3" t="s">
        <v>450</v>
      </c>
      <c r="B122" s="3" t="s">
        <v>40</v>
      </c>
      <c r="C122" s="4" t="s">
        <v>130</v>
      </c>
      <c r="D122" s="3" t="s">
        <v>49</v>
      </c>
      <c r="E122" s="11" t="s">
        <v>56</v>
      </c>
      <c r="F122" s="5">
        <v>2382</v>
      </c>
      <c r="G122" s="5">
        <v>265</v>
      </c>
      <c r="H122" s="5">
        <v>134</v>
      </c>
      <c r="I122" s="5">
        <v>38112</v>
      </c>
      <c r="J122" s="5">
        <v>37437</v>
      </c>
      <c r="K122" s="5">
        <v>249</v>
      </c>
      <c r="L122" s="3" t="s">
        <v>35</v>
      </c>
      <c r="M122" s="3" t="s">
        <v>59</v>
      </c>
      <c r="P122" s="10">
        <f t="shared" si="1"/>
        <v>7.2969143576826198E-2</v>
      </c>
    </row>
    <row r="123" spans="1:16" x14ac:dyDescent="0.3">
      <c r="A123" s="3" t="s">
        <v>151</v>
      </c>
      <c r="B123" s="3" t="s">
        <v>40</v>
      </c>
      <c r="C123" s="4" t="s">
        <v>152</v>
      </c>
      <c r="D123" s="3" t="s">
        <v>42</v>
      </c>
      <c r="E123" s="11" t="s">
        <v>43</v>
      </c>
      <c r="F123" s="5">
        <v>2200</v>
      </c>
      <c r="G123" s="5">
        <v>504</v>
      </c>
      <c r="H123" s="5">
        <v>239</v>
      </c>
      <c r="I123" s="5">
        <v>37400</v>
      </c>
      <c r="J123" s="5">
        <v>36938</v>
      </c>
      <c r="K123" s="5">
        <v>225</v>
      </c>
      <c r="L123" s="3" t="s">
        <v>22</v>
      </c>
      <c r="M123" s="3" t="s">
        <v>59</v>
      </c>
      <c r="P123" s="10">
        <f t="shared" si="1"/>
        <v>7.8689839572192513E-2</v>
      </c>
    </row>
    <row r="124" spans="1:16" x14ac:dyDescent="0.3">
      <c r="A124" s="3" t="s">
        <v>314</v>
      </c>
      <c r="B124" s="3" t="s">
        <v>30</v>
      </c>
      <c r="C124" s="4" t="s">
        <v>31</v>
      </c>
      <c r="D124" s="3" t="s">
        <v>42</v>
      </c>
      <c r="E124" s="11" t="s">
        <v>85</v>
      </c>
      <c r="F124" s="5">
        <v>1878</v>
      </c>
      <c r="G124" s="5">
        <v>62</v>
      </c>
      <c r="H124" s="5">
        <v>179</v>
      </c>
      <c r="I124" s="5">
        <v>37560</v>
      </c>
      <c r="J124" s="5">
        <v>36874</v>
      </c>
      <c r="K124" s="5">
        <v>142</v>
      </c>
      <c r="L124" s="3" t="s">
        <v>35</v>
      </c>
      <c r="M124" s="3" t="s">
        <v>27</v>
      </c>
      <c r="P124" s="10">
        <f t="shared" si="1"/>
        <v>5.6416400425985093E-2</v>
      </c>
    </row>
    <row r="125" spans="1:16" x14ac:dyDescent="0.3">
      <c r="A125" s="3" t="s">
        <v>483</v>
      </c>
      <c r="B125" s="3" t="s">
        <v>40</v>
      </c>
      <c r="C125" s="4" t="s">
        <v>19</v>
      </c>
      <c r="D125" s="3" t="s">
        <v>32</v>
      </c>
      <c r="E125" s="11" t="s">
        <v>68</v>
      </c>
      <c r="F125" s="5">
        <v>3767</v>
      </c>
      <c r="G125" s="5">
        <v>514</v>
      </c>
      <c r="H125" s="5">
        <v>238</v>
      </c>
      <c r="I125" s="5">
        <v>37670</v>
      </c>
      <c r="J125" s="5">
        <v>36807</v>
      </c>
      <c r="K125" s="5">
        <v>226</v>
      </c>
      <c r="L125" s="3" t="s">
        <v>35</v>
      </c>
      <c r="M125" s="3" t="s">
        <v>59</v>
      </c>
      <c r="P125" s="10">
        <f t="shared" si="1"/>
        <v>0.11996283514733209</v>
      </c>
    </row>
    <row r="126" spans="1:16" x14ac:dyDescent="0.3">
      <c r="A126" s="3" t="s">
        <v>295</v>
      </c>
      <c r="B126" s="3" t="s">
        <v>40</v>
      </c>
      <c r="C126" s="4" t="s">
        <v>296</v>
      </c>
      <c r="D126" s="3" t="s">
        <v>49</v>
      </c>
      <c r="E126" s="11" t="s">
        <v>56</v>
      </c>
      <c r="F126" s="5">
        <v>2072</v>
      </c>
      <c r="G126" s="5">
        <v>532</v>
      </c>
      <c r="H126" s="5">
        <v>71</v>
      </c>
      <c r="I126" s="5">
        <v>37296</v>
      </c>
      <c r="J126" s="5">
        <v>36467</v>
      </c>
      <c r="K126" s="5">
        <v>25</v>
      </c>
      <c r="L126" s="3" t="s">
        <v>35</v>
      </c>
      <c r="M126" s="3" t="s">
        <v>27</v>
      </c>
      <c r="P126" s="10">
        <f t="shared" si="1"/>
        <v>7.172350922350923E-2</v>
      </c>
    </row>
    <row r="127" spans="1:16" x14ac:dyDescent="0.3">
      <c r="A127" s="3" t="s">
        <v>144</v>
      </c>
      <c r="B127" s="3" t="s">
        <v>13</v>
      </c>
      <c r="C127" s="4" t="s">
        <v>55</v>
      </c>
      <c r="D127" s="3" t="s">
        <v>32</v>
      </c>
      <c r="E127" s="11" t="s">
        <v>145</v>
      </c>
      <c r="F127" s="5">
        <v>1950</v>
      </c>
      <c r="G127" s="5">
        <v>295</v>
      </c>
      <c r="H127" s="5">
        <v>478</v>
      </c>
      <c r="I127" s="5">
        <v>37050</v>
      </c>
      <c r="J127" s="5">
        <v>36272</v>
      </c>
      <c r="K127" s="5">
        <v>119</v>
      </c>
      <c r="L127" s="6"/>
      <c r="M127" s="3" t="s">
        <v>27</v>
      </c>
      <c r="P127" s="10">
        <f t="shared" si="1"/>
        <v>7.349527665317139E-2</v>
      </c>
    </row>
    <row r="128" spans="1:16" x14ac:dyDescent="0.3">
      <c r="A128" s="3" t="s">
        <v>77</v>
      </c>
      <c r="B128" s="3" t="s">
        <v>30</v>
      </c>
      <c r="C128" s="4" t="s">
        <v>78</v>
      </c>
      <c r="D128" s="3" t="s">
        <v>15</v>
      </c>
      <c r="E128" s="11" t="s">
        <v>79</v>
      </c>
      <c r="F128" s="5">
        <v>3000</v>
      </c>
      <c r="G128" s="5">
        <v>382</v>
      </c>
      <c r="H128" s="5">
        <v>325</v>
      </c>
      <c r="I128" s="5">
        <v>36000</v>
      </c>
      <c r="J128" s="5">
        <v>35819</v>
      </c>
      <c r="K128" s="5">
        <v>19</v>
      </c>
      <c r="L128" s="3" t="s">
        <v>17</v>
      </c>
      <c r="M128" s="3" t="s">
        <v>59</v>
      </c>
      <c r="P128" s="10">
        <f t="shared" si="1"/>
        <v>0.10297222222222223</v>
      </c>
    </row>
    <row r="129" spans="1:16" x14ac:dyDescent="0.3">
      <c r="A129" s="3" t="s">
        <v>528</v>
      </c>
      <c r="B129" s="3" t="s">
        <v>24</v>
      </c>
      <c r="C129" s="4" t="s">
        <v>420</v>
      </c>
      <c r="D129" s="3" t="s">
        <v>20</v>
      </c>
      <c r="E129" s="11" t="s">
        <v>100</v>
      </c>
      <c r="F129" s="5">
        <v>4021</v>
      </c>
      <c r="G129" s="5">
        <v>794</v>
      </c>
      <c r="H129" s="5">
        <v>77</v>
      </c>
      <c r="I129" s="5">
        <v>36189</v>
      </c>
      <c r="J129" s="5">
        <v>35505</v>
      </c>
      <c r="K129" s="5">
        <v>174</v>
      </c>
      <c r="L129" s="6"/>
      <c r="M129" s="3" t="s">
        <v>34</v>
      </c>
      <c r="P129" s="10">
        <f t="shared" si="1"/>
        <v>0.13517919809886983</v>
      </c>
    </row>
    <row r="130" spans="1:16" x14ac:dyDescent="0.3">
      <c r="A130" s="3" t="s">
        <v>535</v>
      </c>
      <c r="B130" s="3" t="s">
        <v>30</v>
      </c>
      <c r="C130" s="4" t="s">
        <v>536</v>
      </c>
      <c r="D130" s="3" t="s">
        <v>42</v>
      </c>
      <c r="E130" s="11" t="s">
        <v>85</v>
      </c>
      <c r="F130" s="5">
        <v>2107</v>
      </c>
      <c r="G130" s="5">
        <v>550</v>
      </c>
      <c r="H130" s="5">
        <v>349</v>
      </c>
      <c r="I130" s="5">
        <v>35819</v>
      </c>
      <c r="J130" s="5">
        <v>35340</v>
      </c>
      <c r="K130" s="5">
        <v>191</v>
      </c>
      <c r="L130" s="3" t="s">
        <v>35</v>
      </c>
      <c r="M130" s="3" t="s">
        <v>34</v>
      </c>
      <c r="P130" s="10">
        <f t="shared" ref="P130:P193" si="2">(F130+G130+H130)/I130</f>
        <v>8.3921940869371006E-2</v>
      </c>
    </row>
    <row r="131" spans="1:16" x14ac:dyDescent="0.3">
      <c r="A131" s="3" t="s">
        <v>323</v>
      </c>
      <c r="B131" s="3" t="s">
        <v>30</v>
      </c>
      <c r="C131" s="4" t="s">
        <v>180</v>
      </c>
      <c r="D131" s="3" t="s">
        <v>49</v>
      </c>
      <c r="E131" s="11" t="s">
        <v>209</v>
      </c>
      <c r="F131" s="5">
        <v>3559</v>
      </c>
      <c r="G131" s="5">
        <v>59</v>
      </c>
      <c r="H131" s="5">
        <v>289</v>
      </c>
      <c r="I131" s="5">
        <v>35590</v>
      </c>
      <c r="J131" s="5">
        <v>35105</v>
      </c>
      <c r="K131" s="5">
        <v>122</v>
      </c>
      <c r="L131" s="3" t="s">
        <v>17</v>
      </c>
      <c r="M131" s="3" t="s">
        <v>34</v>
      </c>
      <c r="P131" s="10">
        <f t="shared" si="2"/>
        <v>0.10977802753582468</v>
      </c>
    </row>
    <row r="132" spans="1:16" x14ac:dyDescent="0.3">
      <c r="A132" s="3" t="s">
        <v>471</v>
      </c>
      <c r="B132" s="3" t="s">
        <v>40</v>
      </c>
      <c r="C132" s="4" t="s">
        <v>472</v>
      </c>
      <c r="D132" s="3" t="s">
        <v>15</v>
      </c>
      <c r="E132" s="11" t="s">
        <v>62</v>
      </c>
      <c r="F132" s="5">
        <v>3960</v>
      </c>
      <c r="G132" s="5">
        <v>266</v>
      </c>
      <c r="H132" s="5">
        <v>8</v>
      </c>
      <c r="I132" s="5">
        <v>35640</v>
      </c>
      <c r="J132" s="5">
        <v>34850</v>
      </c>
      <c r="K132" s="5">
        <v>208</v>
      </c>
      <c r="L132" s="6"/>
      <c r="M132" s="3" t="s">
        <v>59</v>
      </c>
      <c r="N132" t="s">
        <v>34</v>
      </c>
      <c r="O132" t="s">
        <v>601</v>
      </c>
      <c r="P132" s="10">
        <f t="shared" si="2"/>
        <v>0.11879910213243547</v>
      </c>
    </row>
    <row r="133" spans="1:16" x14ac:dyDescent="0.3">
      <c r="A133" s="3" t="s">
        <v>401</v>
      </c>
      <c r="B133" s="3" t="s">
        <v>24</v>
      </c>
      <c r="C133" s="4" t="s">
        <v>117</v>
      </c>
      <c r="D133" s="3" t="s">
        <v>42</v>
      </c>
      <c r="E133" s="11" t="s">
        <v>65</v>
      </c>
      <c r="F133" s="5">
        <v>2509</v>
      </c>
      <c r="G133" s="5">
        <v>324</v>
      </c>
      <c r="H133" s="5">
        <v>171</v>
      </c>
      <c r="I133" s="5">
        <v>35126</v>
      </c>
      <c r="J133" s="5">
        <v>34685</v>
      </c>
      <c r="K133" s="5">
        <v>277</v>
      </c>
      <c r="L133" s="3" t="s">
        <v>22</v>
      </c>
      <c r="M133" s="3" t="s">
        <v>27</v>
      </c>
      <c r="P133" s="10">
        <f t="shared" si="2"/>
        <v>8.5520696919660646E-2</v>
      </c>
    </row>
    <row r="134" spans="1:16" x14ac:dyDescent="0.3">
      <c r="A134" s="3" t="s">
        <v>135</v>
      </c>
      <c r="B134" s="3" t="s">
        <v>13</v>
      </c>
      <c r="C134" s="4" t="s">
        <v>136</v>
      </c>
      <c r="D134" s="3" t="s">
        <v>49</v>
      </c>
      <c r="E134" s="11" t="s">
        <v>128</v>
      </c>
      <c r="F134" s="5">
        <v>2358</v>
      </c>
      <c r="G134" s="5">
        <v>784</v>
      </c>
      <c r="H134" s="5">
        <v>344</v>
      </c>
      <c r="I134" s="5">
        <v>35370</v>
      </c>
      <c r="J134" s="5">
        <v>34475</v>
      </c>
      <c r="K134" s="5">
        <v>216</v>
      </c>
      <c r="L134" s="6"/>
      <c r="M134" s="3" t="s">
        <v>27</v>
      </c>
      <c r="P134" s="10">
        <f t="shared" si="2"/>
        <v>9.8558100084817649E-2</v>
      </c>
    </row>
    <row r="135" spans="1:16" x14ac:dyDescent="0.3">
      <c r="A135" s="3" t="s">
        <v>453</v>
      </c>
      <c r="B135" s="3" t="s">
        <v>40</v>
      </c>
      <c r="C135" s="4" t="s">
        <v>383</v>
      </c>
      <c r="D135" s="3" t="s">
        <v>49</v>
      </c>
      <c r="E135" s="11" t="s">
        <v>56</v>
      </c>
      <c r="F135" s="5">
        <v>3196</v>
      </c>
      <c r="G135" s="5">
        <v>941</v>
      </c>
      <c r="H135" s="5">
        <v>376</v>
      </c>
      <c r="I135" s="5">
        <v>35156</v>
      </c>
      <c r="J135" s="5">
        <v>34444</v>
      </c>
      <c r="K135" s="5">
        <v>241</v>
      </c>
      <c r="L135" s="3" t="s">
        <v>28</v>
      </c>
      <c r="M135" s="3" t="s">
        <v>27</v>
      </c>
      <c r="P135" s="10">
        <f t="shared" si="2"/>
        <v>0.1283706906360223</v>
      </c>
    </row>
    <row r="136" spans="1:16" x14ac:dyDescent="0.3">
      <c r="A136" s="3" t="s">
        <v>213</v>
      </c>
      <c r="B136" s="3" t="s">
        <v>40</v>
      </c>
      <c r="C136" s="4" t="s">
        <v>214</v>
      </c>
      <c r="D136" s="3" t="s">
        <v>49</v>
      </c>
      <c r="E136" s="11" t="s">
        <v>56</v>
      </c>
      <c r="F136" s="5">
        <v>1841</v>
      </c>
      <c r="G136" s="5">
        <v>851</v>
      </c>
      <c r="H136" s="5">
        <v>342</v>
      </c>
      <c r="I136" s="5">
        <v>34979</v>
      </c>
      <c r="J136" s="5">
        <v>34154</v>
      </c>
      <c r="K136" s="5">
        <v>255</v>
      </c>
      <c r="L136" s="3" t="s">
        <v>35</v>
      </c>
      <c r="M136" s="3" t="s">
        <v>59</v>
      </c>
      <c r="P136" s="10">
        <f t="shared" si="2"/>
        <v>8.6737756939878216E-2</v>
      </c>
    </row>
    <row r="137" spans="1:16" x14ac:dyDescent="0.3">
      <c r="A137" s="3" t="s">
        <v>285</v>
      </c>
      <c r="B137" s="3" t="s">
        <v>13</v>
      </c>
      <c r="C137" s="4" t="s">
        <v>286</v>
      </c>
      <c r="D137" s="3" t="s">
        <v>42</v>
      </c>
      <c r="E137" s="11" t="s">
        <v>46</v>
      </c>
      <c r="F137" s="5">
        <v>3811</v>
      </c>
      <c r="G137" s="5">
        <v>866</v>
      </c>
      <c r="H137" s="5">
        <v>216</v>
      </c>
      <c r="I137" s="5">
        <v>34299</v>
      </c>
      <c r="J137" s="5">
        <v>34088</v>
      </c>
      <c r="K137" s="5">
        <v>233</v>
      </c>
      <c r="L137" s="3" t="s">
        <v>35</v>
      </c>
      <c r="M137" s="3" t="s">
        <v>27</v>
      </c>
      <c r="P137" s="10">
        <f t="shared" si="2"/>
        <v>0.14265722032712325</v>
      </c>
    </row>
    <row r="138" spans="1:16" x14ac:dyDescent="0.3">
      <c r="A138" s="3" t="s">
        <v>66</v>
      </c>
      <c r="B138" s="3" t="s">
        <v>40</v>
      </c>
      <c r="C138" s="4" t="s">
        <v>67</v>
      </c>
      <c r="D138" s="3" t="s">
        <v>32</v>
      </c>
      <c r="E138" s="11" t="s">
        <v>68</v>
      </c>
      <c r="F138" s="5">
        <v>4242</v>
      </c>
      <c r="G138" s="5">
        <v>555</v>
      </c>
      <c r="H138" s="5">
        <v>131</v>
      </c>
      <c r="I138" s="5">
        <v>33936</v>
      </c>
      <c r="J138" s="5">
        <v>33802</v>
      </c>
      <c r="K138" s="5">
        <v>265</v>
      </c>
      <c r="L138" s="6"/>
      <c r="M138" s="3" t="s">
        <v>59</v>
      </c>
      <c r="P138" s="10">
        <f t="shared" si="2"/>
        <v>0.14521452145214522</v>
      </c>
    </row>
    <row r="139" spans="1:16" x14ac:dyDescent="0.3">
      <c r="A139" s="3" t="s">
        <v>352</v>
      </c>
      <c r="B139" s="3" t="s">
        <v>24</v>
      </c>
      <c r="C139" s="4" t="s">
        <v>353</v>
      </c>
      <c r="D139" s="3" t="s">
        <v>71</v>
      </c>
      <c r="E139" s="11" t="s">
        <v>212</v>
      </c>
      <c r="F139" s="5">
        <v>3809</v>
      </c>
      <c r="G139" s="5">
        <v>273</v>
      </c>
      <c r="H139" s="5">
        <v>200</v>
      </c>
      <c r="I139" s="5">
        <v>34281</v>
      </c>
      <c r="J139" s="5">
        <v>33534</v>
      </c>
      <c r="K139" s="5">
        <v>83</v>
      </c>
      <c r="L139" s="3" t="s">
        <v>17</v>
      </c>
      <c r="M139" s="3" t="s">
        <v>34</v>
      </c>
      <c r="P139" s="10">
        <f t="shared" si="2"/>
        <v>0.12490884163239112</v>
      </c>
    </row>
    <row r="140" spans="1:16" x14ac:dyDescent="0.3">
      <c r="A140" s="3" t="s">
        <v>413</v>
      </c>
      <c r="B140" s="3" t="s">
        <v>13</v>
      </c>
      <c r="C140" s="4" t="s">
        <v>414</v>
      </c>
      <c r="D140" s="3" t="s">
        <v>42</v>
      </c>
      <c r="E140" s="11" t="s">
        <v>46</v>
      </c>
      <c r="F140" s="5">
        <v>4274</v>
      </c>
      <c r="G140" s="5">
        <v>340</v>
      </c>
      <c r="H140" s="5">
        <v>281</v>
      </c>
      <c r="I140" s="5">
        <v>34192</v>
      </c>
      <c r="J140" s="5">
        <v>33446</v>
      </c>
      <c r="K140" s="5">
        <v>129</v>
      </c>
      <c r="L140" s="3" t="s">
        <v>28</v>
      </c>
      <c r="M140" s="3" t="s">
        <v>27</v>
      </c>
      <c r="N140" t="s">
        <v>592</v>
      </c>
      <c r="P140" s="10">
        <f t="shared" si="2"/>
        <v>0.14316214319138981</v>
      </c>
    </row>
    <row r="141" spans="1:16" x14ac:dyDescent="0.3">
      <c r="A141" s="3" t="s">
        <v>116</v>
      </c>
      <c r="B141" s="3" t="s">
        <v>30</v>
      </c>
      <c r="C141" s="4" t="s">
        <v>117</v>
      </c>
      <c r="D141" s="3" t="s">
        <v>71</v>
      </c>
      <c r="E141" s="11" t="s">
        <v>82</v>
      </c>
      <c r="F141" s="5">
        <v>3775</v>
      </c>
      <c r="G141" s="5">
        <v>16</v>
      </c>
      <c r="H141" s="5">
        <v>239</v>
      </c>
      <c r="I141" s="5">
        <v>33975</v>
      </c>
      <c r="J141" s="5">
        <v>33310</v>
      </c>
      <c r="K141" s="5">
        <v>271</v>
      </c>
      <c r="L141" s="3" t="s">
        <v>22</v>
      </c>
      <c r="M141" s="3" t="s">
        <v>59</v>
      </c>
      <c r="P141" s="10">
        <f t="shared" si="2"/>
        <v>0.11861662987490802</v>
      </c>
    </row>
    <row r="142" spans="1:16" x14ac:dyDescent="0.3">
      <c r="A142" s="3" t="s">
        <v>319</v>
      </c>
      <c r="B142" s="3" t="s">
        <v>13</v>
      </c>
      <c r="C142" s="4" t="s">
        <v>320</v>
      </c>
      <c r="D142" s="3" t="s">
        <v>71</v>
      </c>
      <c r="E142" s="11" t="s">
        <v>141</v>
      </c>
      <c r="F142" s="5">
        <v>1702</v>
      </c>
      <c r="G142" s="5">
        <v>750</v>
      </c>
      <c r="H142" s="5">
        <v>179</v>
      </c>
      <c r="I142" s="5">
        <v>34040</v>
      </c>
      <c r="J142" s="5">
        <v>33174</v>
      </c>
      <c r="K142" s="5">
        <v>76</v>
      </c>
      <c r="L142" s="3" t="s">
        <v>17</v>
      </c>
      <c r="M142" s="3" t="s">
        <v>34</v>
      </c>
      <c r="P142" s="10">
        <f t="shared" si="2"/>
        <v>7.7291421856639245E-2</v>
      </c>
    </row>
    <row r="143" spans="1:16" x14ac:dyDescent="0.3">
      <c r="A143" s="3" t="s">
        <v>98</v>
      </c>
      <c r="B143" s="3" t="s">
        <v>24</v>
      </c>
      <c r="C143" s="4" t="s">
        <v>99</v>
      </c>
      <c r="D143" s="3" t="s">
        <v>20</v>
      </c>
      <c r="E143" s="11" t="s">
        <v>100</v>
      </c>
      <c r="F143" s="5">
        <v>2076</v>
      </c>
      <c r="G143" s="5">
        <v>195</v>
      </c>
      <c r="H143" s="5">
        <v>104</v>
      </c>
      <c r="I143" s="5">
        <v>33216</v>
      </c>
      <c r="J143" s="5">
        <v>32244</v>
      </c>
      <c r="K143" s="5">
        <v>51</v>
      </c>
      <c r="L143" s="3" t="s">
        <v>35</v>
      </c>
      <c r="M143" s="3" t="s">
        <v>59</v>
      </c>
      <c r="P143" s="10">
        <f t="shared" si="2"/>
        <v>7.1501685934489398E-2</v>
      </c>
    </row>
    <row r="144" spans="1:16" x14ac:dyDescent="0.3">
      <c r="A144" s="3" t="s">
        <v>305</v>
      </c>
      <c r="B144" s="3" t="s">
        <v>24</v>
      </c>
      <c r="C144" s="4" t="s">
        <v>306</v>
      </c>
      <c r="D144" s="3" t="s">
        <v>20</v>
      </c>
      <c r="E144" s="11" t="s">
        <v>100</v>
      </c>
      <c r="F144" s="5">
        <v>2746</v>
      </c>
      <c r="G144" s="5">
        <v>156</v>
      </c>
      <c r="H144" s="5">
        <v>203</v>
      </c>
      <c r="I144" s="5">
        <v>32952</v>
      </c>
      <c r="J144" s="5">
        <v>32147</v>
      </c>
      <c r="K144" s="5">
        <v>147</v>
      </c>
      <c r="L144" s="3" t="s">
        <v>17</v>
      </c>
      <c r="M144" s="3" t="s">
        <v>34</v>
      </c>
      <c r="P144" s="10">
        <f t="shared" si="2"/>
        <v>9.422796795338674E-2</v>
      </c>
    </row>
    <row r="145" spans="1:16" x14ac:dyDescent="0.3">
      <c r="A145" s="3" t="s">
        <v>248</v>
      </c>
      <c r="B145" s="3" t="s">
        <v>24</v>
      </c>
      <c r="C145" s="4" t="s">
        <v>249</v>
      </c>
      <c r="D145" s="3" t="s">
        <v>32</v>
      </c>
      <c r="E145" s="11" t="s">
        <v>150</v>
      </c>
      <c r="F145" s="5">
        <v>3655</v>
      </c>
      <c r="G145" s="5">
        <v>568</v>
      </c>
      <c r="H145" s="5">
        <v>286</v>
      </c>
      <c r="I145" s="5">
        <v>32895</v>
      </c>
      <c r="J145" s="5">
        <v>32015</v>
      </c>
      <c r="K145" s="5">
        <v>199</v>
      </c>
      <c r="L145" s="3" t="s">
        <v>28</v>
      </c>
      <c r="M145" s="3" t="s">
        <v>27</v>
      </c>
      <c r="P145" s="10">
        <f t="shared" si="2"/>
        <v>0.13707250341997265</v>
      </c>
    </row>
    <row r="146" spans="1:16" x14ac:dyDescent="0.3">
      <c r="A146" s="3" t="s">
        <v>90</v>
      </c>
      <c r="B146" s="3" t="s">
        <v>40</v>
      </c>
      <c r="C146" s="4" t="s">
        <v>91</v>
      </c>
      <c r="D146" s="3" t="s">
        <v>71</v>
      </c>
      <c r="E146" s="11" t="s">
        <v>72</v>
      </c>
      <c r="F146" s="5">
        <v>1606</v>
      </c>
      <c r="G146" s="5">
        <v>547</v>
      </c>
      <c r="H146" s="5">
        <v>316</v>
      </c>
      <c r="I146" s="5">
        <v>32120</v>
      </c>
      <c r="J146" s="5">
        <v>31736</v>
      </c>
      <c r="K146" s="5">
        <v>225</v>
      </c>
      <c r="L146" s="3" t="s">
        <v>22</v>
      </c>
      <c r="M146" s="3" t="s">
        <v>27</v>
      </c>
      <c r="N146" t="s">
        <v>600</v>
      </c>
      <c r="P146" s="10">
        <f t="shared" si="2"/>
        <v>7.6867995018679955E-2</v>
      </c>
    </row>
    <row r="147" spans="1:16" x14ac:dyDescent="0.3">
      <c r="A147" s="3" t="s">
        <v>377</v>
      </c>
      <c r="B147" s="3" t="s">
        <v>13</v>
      </c>
      <c r="C147" s="4" t="s">
        <v>378</v>
      </c>
      <c r="D147" s="3" t="s">
        <v>49</v>
      </c>
      <c r="E147" s="11" t="s">
        <v>128</v>
      </c>
      <c r="F147" s="5">
        <v>3215</v>
      </c>
      <c r="G147" s="5">
        <v>960</v>
      </c>
      <c r="H147" s="5">
        <v>202</v>
      </c>
      <c r="I147" s="5">
        <v>32150</v>
      </c>
      <c r="J147" s="5">
        <v>31404</v>
      </c>
      <c r="K147" s="5">
        <v>251</v>
      </c>
      <c r="L147" s="3" t="s">
        <v>17</v>
      </c>
      <c r="M147" s="3" t="s">
        <v>34</v>
      </c>
      <c r="P147" s="10">
        <f t="shared" si="2"/>
        <v>0.13614307931570763</v>
      </c>
    </row>
    <row r="148" spans="1:16" x14ac:dyDescent="0.3">
      <c r="A148" s="3" t="s">
        <v>432</v>
      </c>
      <c r="B148" s="3" t="s">
        <v>40</v>
      </c>
      <c r="C148" s="4" t="s">
        <v>249</v>
      </c>
      <c r="D148" s="3" t="s">
        <v>71</v>
      </c>
      <c r="E148" s="11" t="s">
        <v>72</v>
      </c>
      <c r="F148" s="5">
        <v>4453</v>
      </c>
      <c r="G148" s="5">
        <v>111</v>
      </c>
      <c r="H148" s="5">
        <v>420</v>
      </c>
      <c r="I148" s="5">
        <v>31171</v>
      </c>
      <c r="J148" s="5">
        <v>30565</v>
      </c>
      <c r="K148" s="5">
        <v>23</v>
      </c>
      <c r="L148" s="6"/>
      <c r="M148" s="3" t="s">
        <v>27</v>
      </c>
      <c r="P148" s="10">
        <f t="shared" si="2"/>
        <v>0.15989220750056141</v>
      </c>
    </row>
    <row r="149" spans="1:16" x14ac:dyDescent="0.3">
      <c r="A149" s="3" t="s">
        <v>188</v>
      </c>
      <c r="B149" s="3" t="s">
        <v>24</v>
      </c>
      <c r="C149" s="4" t="s">
        <v>189</v>
      </c>
      <c r="D149" s="3" t="s">
        <v>42</v>
      </c>
      <c r="E149" s="11" t="s">
        <v>65</v>
      </c>
      <c r="F149" s="5">
        <v>2551</v>
      </c>
      <c r="G149" s="5">
        <v>915</v>
      </c>
      <c r="H149" s="5">
        <v>205</v>
      </c>
      <c r="I149" s="5">
        <v>30612</v>
      </c>
      <c r="J149" s="5">
        <v>30360</v>
      </c>
      <c r="K149" s="5">
        <v>227</v>
      </c>
      <c r="L149" s="3" t="s">
        <v>22</v>
      </c>
      <c r="M149" s="3" t="s">
        <v>27</v>
      </c>
      <c r="P149" s="10">
        <f t="shared" si="2"/>
        <v>0.1199202926956749</v>
      </c>
    </row>
    <row r="150" spans="1:16" x14ac:dyDescent="0.3">
      <c r="A150" s="3" t="s">
        <v>362</v>
      </c>
      <c r="B150" s="3" t="s">
        <v>40</v>
      </c>
      <c r="C150" s="4" t="s">
        <v>167</v>
      </c>
      <c r="D150" s="3" t="s">
        <v>20</v>
      </c>
      <c r="E150" s="11" t="s">
        <v>53</v>
      </c>
      <c r="F150" s="5">
        <v>3828</v>
      </c>
      <c r="G150" s="5">
        <v>148</v>
      </c>
      <c r="H150" s="5">
        <v>253</v>
      </c>
      <c r="I150" s="5">
        <v>30624</v>
      </c>
      <c r="J150" s="5">
        <v>30229</v>
      </c>
      <c r="K150" s="5">
        <v>235</v>
      </c>
      <c r="L150" s="6"/>
      <c r="M150" s="3" t="s">
        <v>34</v>
      </c>
      <c r="P150" s="10">
        <f t="shared" si="2"/>
        <v>0.13809430512016718</v>
      </c>
    </row>
    <row r="151" spans="1:16" x14ac:dyDescent="0.3">
      <c r="A151" s="3" t="s">
        <v>166</v>
      </c>
      <c r="B151" s="3" t="s">
        <v>30</v>
      </c>
      <c r="C151" s="4" t="s">
        <v>167</v>
      </c>
      <c r="D151" s="3" t="s">
        <v>20</v>
      </c>
      <c r="E151" s="11" t="s">
        <v>109</v>
      </c>
      <c r="F151" s="5">
        <v>2180</v>
      </c>
      <c r="G151" s="5">
        <v>263</v>
      </c>
      <c r="H151" s="5">
        <v>387</v>
      </c>
      <c r="I151" s="5">
        <v>30520</v>
      </c>
      <c r="J151" s="5">
        <v>30059</v>
      </c>
      <c r="K151" s="5">
        <v>174</v>
      </c>
      <c r="L151" s="6"/>
      <c r="M151" s="3" t="s">
        <v>34</v>
      </c>
      <c r="P151" s="10">
        <f t="shared" si="2"/>
        <v>9.2726081258191345E-2</v>
      </c>
    </row>
    <row r="152" spans="1:16" x14ac:dyDescent="0.3">
      <c r="A152" s="3" t="s">
        <v>427</v>
      </c>
      <c r="B152" s="3" t="s">
        <v>24</v>
      </c>
      <c r="C152" s="4" t="s">
        <v>261</v>
      </c>
      <c r="D152" s="3" t="s">
        <v>32</v>
      </c>
      <c r="E152" s="11" t="s">
        <v>150</v>
      </c>
      <c r="F152" s="5">
        <v>1509</v>
      </c>
      <c r="G152" s="5">
        <v>88</v>
      </c>
      <c r="H152" s="5">
        <v>163</v>
      </c>
      <c r="I152" s="5">
        <v>30180</v>
      </c>
      <c r="J152" s="5">
        <v>29689</v>
      </c>
      <c r="K152" s="5">
        <v>119</v>
      </c>
      <c r="L152" s="3" t="s">
        <v>22</v>
      </c>
      <c r="M152" s="3" t="s">
        <v>34</v>
      </c>
      <c r="P152" s="10">
        <f t="shared" si="2"/>
        <v>5.8316766070245198E-2</v>
      </c>
    </row>
    <row r="153" spans="1:16" x14ac:dyDescent="0.3">
      <c r="A153" s="3" t="s">
        <v>406</v>
      </c>
      <c r="B153" s="3" t="s">
        <v>40</v>
      </c>
      <c r="C153" s="4" t="s">
        <v>407</v>
      </c>
      <c r="D153" s="3" t="s">
        <v>49</v>
      </c>
      <c r="E153" s="11" t="s">
        <v>56</v>
      </c>
      <c r="F153" s="5">
        <v>1871</v>
      </c>
      <c r="G153" s="5">
        <v>252</v>
      </c>
      <c r="H153" s="5">
        <v>335</v>
      </c>
      <c r="I153" s="5">
        <v>29936</v>
      </c>
      <c r="J153" s="5">
        <v>29576</v>
      </c>
      <c r="K153" s="5">
        <v>288</v>
      </c>
      <c r="L153" s="3" t="s">
        <v>28</v>
      </c>
      <c r="M153" s="3" t="s">
        <v>34</v>
      </c>
      <c r="P153" s="10">
        <f t="shared" si="2"/>
        <v>8.2108498129342594E-2</v>
      </c>
    </row>
    <row r="154" spans="1:16" x14ac:dyDescent="0.3">
      <c r="A154" s="3" t="s">
        <v>460</v>
      </c>
      <c r="B154" s="3" t="s">
        <v>40</v>
      </c>
      <c r="C154" s="4" t="s">
        <v>461</v>
      </c>
      <c r="D154" s="3" t="s">
        <v>32</v>
      </c>
      <c r="E154" s="11" t="s">
        <v>68</v>
      </c>
      <c r="F154" s="5">
        <v>4321</v>
      </c>
      <c r="G154" s="5">
        <v>874</v>
      </c>
      <c r="H154" s="5">
        <v>172</v>
      </c>
      <c r="I154" s="5">
        <v>30247</v>
      </c>
      <c r="J154" s="5">
        <v>29254</v>
      </c>
      <c r="K154" s="5">
        <v>122</v>
      </c>
      <c r="L154" s="3" t="s">
        <v>35</v>
      </c>
      <c r="M154" s="3" t="s">
        <v>27</v>
      </c>
      <c r="P154" s="10">
        <f t="shared" si="2"/>
        <v>0.17743908486792079</v>
      </c>
    </row>
    <row r="155" spans="1:16" x14ac:dyDescent="0.3">
      <c r="A155" s="3" t="s">
        <v>114</v>
      </c>
      <c r="B155" s="3" t="s">
        <v>40</v>
      </c>
      <c r="C155" s="4" t="s">
        <v>115</v>
      </c>
      <c r="D155" s="3" t="s">
        <v>20</v>
      </c>
      <c r="E155" s="11" t="s">
        <v>53</v>
      </c>
      <c r="F155" s="5">
        <v>1652</v>
      </c>
      <c r="G155" s="5">
        <v>89</v>
      </c>
      <c r="H155" s="5">
        <v>357</v>
      </c>
      <c r="I155" s="5">
        <v>29736</v>
      </c>
      <c r="J155" s="5">
        <v>28771</v>
      </c>
      <c r="K155" s="5">
        <v>215</v>
      </c>
      <c r="L155" s="3" t="s">
        <v>28</v>
      </c>
      <c r="M155" s="3" t="s">
        <v>27</v>
      </c>
      <c r="P155" s="10">
        <f t="shared" si="2"/>
        <v>7.055421038471886E-2</v>
      </c>
    </row>
    <row r="156" spans="1:16" x14ac:dyDescent="0.3">
      <c r="A156" s="3" t="s">
        <v>160</v>
      </c>
      <c r="B156" s="3" t="s">
        <v>40</v>
      </c>
      <c r="C156" s="4" t="s">
        <v>161</v>
      </c>
      <c r="D156" s="3" t="s">
        <v>42</v>
      </c>
      <c r="E156" s="11" t="s">
        <v>43</v>
      </c>
      <c r="F156" s="5">
        <v>2946</v>
      </c>
      <c r="G156" s="5">
        <v>498</v>
      </c>
      <c r="H156" s="5">
        <v>367</v>
      </c>
      <c r="I156" s="5">
        <v>29460</v>
      </c>
      <c r="J156" s="5">
        <v>28527</v>
      </c>
      <c r="K156" s="5">
        <v>60</v>
      </c>
      <c r="L156" s="3" t="s">
        <v>28</v>
      </c>
      <c r="M156" s="3" t="s">
        <v>59</v>
      </c>
      <c r="P156" s="10">
        <f t="shared" si="2"/>
        <v>0.12936184657162253</v>
      </c>
    </row>
    <row r="157" spans="1:16" x14ac:dyDescent="0.3">
      <c r="A157" s="3" t="s">
        <v>324</v>
      </c>
      <c r="B157" s="3" t="s">
        <v>40</v>
      </c>
      <c r="C157" s="4" t="s">
        <v>325</v>
      </c>
      <c r="D157" s="3" t="s">
        <v>49</v>
      </c>
      <c r="E157" s="11" t="s">
        <v>56</v>
      </c>
      <c r="F157" s="5">
        <v>4804</v>
      </c>
      <c r="G157" s="5">
        <v>550</v>
      </c>
      <c r="H157" s="5">
        <v>270</v>
      </c>
      <c r="I157" s="5">
        <v>28824</v>
      </c>
      <c r="J157" s="5">
        <v>28370</v>
      </c>
      <c r="K157" s="5">
        <v>47</v>
      </c>
      <c r="L157" s="3" t="s">
        <v>35</v>
      </c>
      <c r="M157" s="3" t="s">
        <v>34</v>
      </c>
      <c r="P157" s="10">
        <f t="shared" si="2"/>
        <v>0.19511518179295032</v>
      </c>
    </row>
    <row r="158" spans="1:16" x14ac:dyDescent="0.3">
      <c r="A158" s="3" t="s">
        <v>542</v>
      </c>
      <c r="B158" s="3" t="s">
        <v>40</v>
      </c>
      <c r="C158" s="4" t="s">
        <v>543</v>
      </c>
      <c r="D158" s="3" t="s">
        <v>42</v>
      </c>
      <c r="E158" s="11" t="s">
        <v>43</v>
      </c>
      <c r="F158" s="5">
        <v>4731</v>
      </c>
      <c r="G158" s="5">
        <v>173</v>
      </c>
      <c r="H158" s="5">
        <v>276</v>
      </c>
      <c r="I158" s="5">
        <v>28386</v>
      </c>
      <c r="J158" s="5">
        <v>28185</v>
      </c>
      <c r="K158" s="5">
        <v>89</v>
      </c>
      <c r="L158" s="3" t="s">
        <v>28</v>
      </c>
      <c r="M158" s="3" t="s">
        <v>34</v>
      </c>
      <c r="P158" s="10">
        <f t="shared" si="2"/>
        <v>0.18248432325794406</v>
      </c>
    </row>
    <row r="159" spans="1:16" x14ac:dyDescent="0.3">
      <c r="A159" s="3" t="s">
        <v>540</v>
      </c>
      <c r="B159" s="3" t="s">
        <v>40</v>
      </c>
      <c r="C159" s="4" t="s">
        <v>541</v>
      </c>
      <c r="D159" s="3" t="s">
        <v>20</v>
      </c>
      <c r="E159" s="11" t="s">
        <v>53</v>
      </c>
      <c r="F159" s="5">
        <v>2634</v>
      </c>
      <c r="G159" s="5">
        <v>726</v>
      </c>
      <c r="H159" s="5">
        <v>241</v>
      </c>
      <c r="I159" s="5">
        <v>28974</v>
      </c>
      <c r="J159" s="5">
        <v>28102</v>
      </c>
      <c r="K159" s="5">
        <v>277</v>
      </c>
      <c r="L159" s="3" t="s">
        <v>17</v>
      </c>
      <c r="M159" s="3" t="s">
        <v>34</v>
      </c>
      <c r="P159" s="10">
        <f t="shared" si="2"/>
        <v>0.12428384068475185</v>
      </c>
    </row>
    <row r="160" spans="1:16" x14ac:dyDescent="0.3">
      <c r="A160" s="3" t="s">
        <v>462</v>
      </c>
      <c r="B160" s="3" t="s">
        <v>40</v>
      </c>
      <c r="C160" s="4" t="s">
        <v>221</v>
      </c>
      <c r="D160" s="3" t="s">
        <v>15</v>
      </c>
      <c r="E160" s="11" t="s">
        <v>62</v>
      </c>
      <c r="F160" s="5">
        <v>4767</v>
      </c>
      <c r="G160" s="5">
        <v>190</v>
      </c>
      <c r="H160" s="5">
        <v>340</v>
      </c>
      <c r="I160" s="5">
        <v>28602</v>
      </c>
      <c r="J160" s="5">
        <v>28044</v>
      </c>
      <c r="K160" s="5">
        <v>210</v>
      </c>
      <c r="L160" s="3" t="s">
        <v>28</v>
      </c>
      <c r="M160" s="3" t="s">
        <v>34</v>
      </c>
      <c r="P160" s="10">
        <f t="shared" si="2"/>
        <v>0.18519683938186141</v>
      </c>
    </row>
    <row r="161" spans="1:16" x14ac:dyDescent="0.3">
      <c r="A161" s="3" t="s">
        <v>122</v>
      </c>
      <c r="B161" s="3" t="s">
        <v>24</v>
      </c>
      <c r="C161" s="4" t="s">
        <v>123</v>
      </c>
      <c r="D161" s="3" t="s">
        <v>15</v>
      </c>
      <c r="E161" s="11" t="s">
        <v>26</v>
      </c>
      <c r="F161" s="5">
        <v>3138</v>
      </c>
      <c r="G161" s="5">
        <v>123</v>
      </c>
      <c r="H161" s="5">
        <v>291</v>
      </c>
      <c r="I161" s="5">
        <v>28242</v>
      </c>
      <c r="J161" s="5">
        <v>27550</v>
      </c>
      <c r="K161" s="5">
        <v>87</v>
      </c>
      <c r="L161" s="3" t="s">
        <v>35</v>
      </c>
      <c r="M161" s="3" t="s">
        <v>27</v>
      </c>
      <c r="P161" s="10">
        <f t="shared" si="2"/>
        <v>0.12577012959422137</v>
      </c>
    </row>
    <row r="162" spans="1:16" x14ac:dyDescent="0.3">
      <c r="A162" s="3" t="s">
        <v>146</v>
      </c>
      <c r="B162" s="3" t="s">
        <v>13</v>
      </c>
      <c r="C162" s="4" t="s">
        <v>147</v>
      </c>
      <c r="D162" s="3" t="s">
        <v>32</v>
      </c>
      <c r="E162" s="11" t="s">
        <v>145</v>
      </c>
      <c r="F162" s="5">
        <v>2164</v>
      </c>
      <c r="G162" s="5">
        <v>549</v>
      </c>
      <c r="H162" s="5">
        <v>274</v>
      </c>
      <c r="I162" s="5">
        <v>28132</v>
      </c>
      <c r="J162" s="5">
        <v>27361</v>
      </c>
      <c r="K162" s="5">
        <v>177</v>
      </c>
      <c r="L162" s="3" t="s">
        <v>35</v>
      </c>
      <c r="M162" s="3" t="s">
        <v>27</v>
      </c>
      <c r="P162" s="10">
        <f t="shared" si="2"/>
        <v>0.10617801791554102</v>
      </c>
    </row>
    <row r="163" spans="1:16" x14ac:dyDescent="0.3">
      <c r="A163" s="3" t="s">
        <v>289</v>
      </c>
      <c r="B163" s="3" t="s">
        <v>13</v>
      </c>
      <c r="C163" s="4" t="s">
        <v>223</v>
      </c>
      <c r="D163" s="3" t="s">
        <v>49</v>
      </c>
      <c r="E163" s="11" t="s">
        <v>128</v>
      </c>
      <c r="F163" s="5">
        <v>3092</v>
      </c>
      <c r="G163" s="5">
        <v>106</v>
      </c>
      <c r="H163" s="5">
        <v>291</v>
      </c>
      <c r="I163" s="5">
        <v>27828</v>
      </c>
      <c r="J163" s="5">
        <v>27217</v>
      </c>
      <c r="K163" s="5">
        <v>102</v>
      </c>
      <c r="L163" s="6"/>
      <c r="M163" s="3" t="s">
        <v>59</v>
      </c>
      <c r="P163" s="10">
        <f t="shared" si="2"/>
        <v>0.12537731780940059</v>
      </c>
    </row>
    <row r="164" spans="1:16" x14ac:dyDescent="0.3">
      <c r="A164" s="3" t="s">
        <v>382</v>
      </c>
      <c r="B164" s="3" t="s">
        <v>13</v>
      </c>
      <c r="C164" s="4" t="s">
        <v>383</v>
      </c>
      <c r="D164" s="3" t="s">
        <v>15</v>
      </c>
      <c r="E164" s="11" t="s">
        <v>16</v>
      </c>
      <c r="F164" s="5">
        <v>1644</v>
      </c>
      <c r="G164" s="5">
        <v>546</v>
      </c>
      <c r="H164" s="5">
        <v>150</v>
      </c>
      <c r="I164" s="5">
        <v>27948</v>
      </c>
      <c r="J164" s="5">
        <v>27184</v>
      </c>
      <c r="K164" s="5">
        <v>300</v>
      </c>
      <c r="L164" s="3" t="s">
        <v>28</v>
      </c>
      <c r="M164" s="3" t="s">
        <v>34</v>
      </c>
      <c r="P164" s="10">
        <f t="shared" si="2"/>
        <v>8.3726921425504502E-2</v>
      </c>
    </row>
    <row r="165" spans="1:16" x14ac:dyDescent="0.3">
      <c r="A165" s="3" t="s">
        <v>317</v>
      </c>
      <c r="B165" s="3" t="s">
        <v>30</v>
      </c>
      <c r="C165" s="4" t="s">
        <v>163</v>
      </c>
      <c r="D165" s="3" t="s">
        <v>15</v>
      </c>
      <c r="E165" s="11" t="s">
        <v>79</v>
      </c>
      <c r="F165" s="5">
        <v>3256</v>
      </c>
      <c r="G165" s="5">
        <v>459</v>
      </c>
      <c r="H165" s="5">
        <v>266</v>
      </c>
      <c r="I165" s="5">
        <v>26048</v>
      </c>
      <c r="J165" s="5">
        <v>25529</v>
      </c>
      <c r="K165" s="5">
        <v>143</v>
      </c>
      <c r="L165" s="3" t="s">
        <v>22</v>
      </c>
      <c r="M165" s="3" t="s">
        <v>27</v>
      </c>
      <c r="P165" s="10">
        <f t="shared" si="2"/>
        <v>0.15283323095823095</v>
      </c>
    </row>
    <row r="166" spans="1:16" x14ac:dyDescent="0.3">
      <c r="A166" s="3" t="s">
        <v>433</v>
      </c>
      <c r="B166" s="3" t="s">
        <v>40</v>
      </c>
      <c r="C166" s="4" t="s">
        <v>434</v>
      </c>
      <c r="D166" s="3" t="s">
        <v>15</v>
      </c>
      <c r="E166" s="11" t="s">
        <v>62</v>
      </c>
      <c r="F166" s="5">
        <v>1814</v>
      </c>
      <c r="G166" s="5">
        <v>653</v>
      </c>
      <c r="H166" s="5">
        <v>363</v>
      </c>
      <c r="I166" s="5">
        <v>25396</v>
      </c>
      <c r="J166" s="5">
        <v>25286</v>
      </c>
      <c r="K166" s="5">
        <v>39</v>
      </c>
      <c r="L166" s="3" t="s">
        <v>17</v>
      </c>
      <c r="M166" s="3" t="s">
        <v>59</v>
      </c>
      <c r="N166" t="s">
        <v>592</v>
      </c>
      <c r="P166" s="10">
        <f t="shared" si="2"/>
        <v>0.11143487163332809</v>
      </c>
    </row>
    <row r="167" spans="1:16" x14ac:dyDescent="0.3">
      <c r="A167" s="3" t="s">
        <v>272</v>
      </c>
      <c r="B167" s="3" t="s">
        <v>24</v>
      </c>
      <c r="C167" s="4" t="s">
        <v>273</v>
      </c>
      <c r="D167" s="3" t="s">
        <v>15</v>
      </c>
      <c r="E167" s="11" t="s">
        <v>26</v>
      </c>
      <c r="F167" s="5">
        <v>3704</v>
      </c>
      <c r="G167" s="5">
        <v>186</v>
      </c>
      <c r="H167" s="5">
        <v>458</v>
      </c>
      <c r="I167" s="5">
        <v>25928</v>
      </c>
      <c r="J167" s="5">
        <v>25081</v>
      </c>
      <c r="K167" s="5">
        <v>131</v>
      </c>
      <c r="L167" s="6"/>
      <c r="M167" s="3" t="s">
        <v>27</v>
      </c>
      <c r="P167" s="10">
        <f t="shared" si="2"/>
        <v>0.16769515581610614</v>
      </c>
    </row>
    <row r="168" spans="1:16" x14ac:dyDescent="0.3">
      <c r="A168" s="3" t="s">
        <v>258</v>
      </c>
      <c r="B168" s="3" t="s">
        <v>13</v>
      </c>
      <c r="C168" s="4" t="s">
        <v>259</v>
      </c>
      <c r="D168" s="3" t="s">
        <v>32</v>
      </c>
      <c r="E168" s="11" t="s">
        <v>145</v>
      </c>
      <c r="F168" s="5">
        <v>3649</v>
      </c>
      <c r="G168" s="5">
        <v>215</v>
      </c>
      <c r="H168" s="5">
        <v>413</v>
      </c>
      <c r="I168" s="5">
        <v>25543</v>
      </c>
      <c r="J168" s="5">
        <v>24963</v>
      </c>
      <c r="K168" s="5">
        <v>167</v>
      </c>
      <c r="L168" s="3" t="s">
        <v>28</v>
      </c>
      <c r="M168" s="3" t="s">
        <v>59</v>
      </c>
      <c r="P168" s="10">
        <f t="shared" si="2"/>
        <v>0.16744313510550835</v>
      </c>
    </row>
    <row r="169" spans="1:16" x14ac:dyDescent="0.3">
      <c r="A169" s="3" t="s">
        <v>185</v>
      </c>
      <c r="B169" s="3" t="s">
        <v>13</v>
      </c>
      <c r="C169" s="4" t="s">
        <v>130</v>
      </c>
      <c r="D169" s="3" t="s">
        <v>20</v>
      </c>
      <c r="E169" s="11" t="s">
        <v>21</v>
      </c>
      <c r="F169" s="5">
        <v>1292</v>
      </c>
      <c r="G169" s="5">
        <v>626</v>
      </c>
      <c r="H169" s="5">
        <v>496</v>
      </c>
      <c r="I169" s="5">
        <v>25840</v>
      </c>
      <c r="J169" s="5">
        <v>24916</v>
      </c>
      <c r="K169" s="5">
        <v>149</v>
      </c>
      <c r="L169" s="3" t="s">
        <v>28</v>
      </c>
      <c r="M169" s="3" t="s">
        <v>59</v>
      </c>
      <c r="P169" s="10">
        <f t="shared" si="2"/>
        <v>9.3421052631578946E-2</v>
      </c>
    </row>
    <row r="170" spans="1:16" x14ac:dyDescent="0.3">
      <c r="A170" s="3" t="s">
        <v>215</v>
      </c>
      <c r="B170" s="3" t="s">
        <v>30</v>
      </c>
      <c r="C170" s="4" t="s">
        <v>119</v>
      </c>
      <c r="D170" s="3" t="s">
        <v>49</v>
      </c>
      <c r="E170" s="11" t="s">
        <v>209</v>
      </c>
      <c r="F170" s="5">
        <v>4177</v>
      </c>
      <c r="G170" s="5">
        <v>569</v>
      </c>
      <c r="H170" s="5">
        <v>55</v>
      </c>
      <c r="I170" s="5">
        <v>25062</v>
      </c>
      <c r="J170" s="5">
        <v>24847</v>
      </c>
      <c r="K170" s="5">
        <v>230</v>
      </c>
      <c r="L170" s="3" t="s">
        <v>17</v>
      </c>
      <c r="M170" s="3" t="s">
        <v>59</v>
      </c>
      <c r="P170" s="10">
        <f t="shared" si="2"/>
        <v>0.19156491900087783</v>
      </c>
    </row>
    <row r="171" spans="1:16" x14ac:dyDescent="0.3">
      <c r="A171" s="3" t="s">
        <v>238</v>
      </c>
      <c r="B171" s="3" t="s">
        <v>13</v>
      </c>
      <c r="C171" s="4" t="s">
        <v>147</v>
      </c>
      <c r="D171" s="3" t="s">
        <v>32</v>
      </c>
      <c r="E171" s="11" t="s">
        <v>145</v>
      </c>
      <c r="F171" s="5">
        <v>1575</v>
      </c>
      <c r="G171" s="5">
        <v>771</v>
      </c>
      <c r="H171" s="5">
        <v>486</v>
      </c>
      <c r="I171" s="5">
        <v>25200</v>
      </c>
      <c r="J171" s="5">
        <v>24826</v>
      </c>
      <c r="K171" s="5">
        <v>17</v>
      </c>
      <c r="L171" s="3" t="s">
        <v>35</v>
      </c>
      <c r="M171" s="3" t="s">
        <v>59</v>
      </c>
      <c r="P171" s="10">
        <f t="shared" si="2"/>
        <v>0.11238095238095239</v>
      </c>
    </row>
    <row r="172" spans="1:16" x14ac:dyDescent="0.3">
      <c r="A172" s="3" t="s">
        <v>57</v>
      </c>
      <c r="B172" s="3" t="s">
        <v>30</v>
      </c>
      <c r="C172" s="4" t="s">
        <v>58</v>
      </c>
      <c r="D172" s="3" t="s">
        <v>32</v>
      </c>
      <c r="E172" s="11" t="s">
        <v>33</v>
      </c>
      <c r="F172" s="5">
        <v>1792</v>
      </c>
      <c r="G172" s="5">
        <v>614</v>
      </c>
      <c r="H172" s="5">
        <v>497</v>
      </c>
      <c r="I172" s="5">
        <v>25088</v>
      </c>
      <c r="J172" s="5">
        <v>24675</v>
      </c>
      <c r="K172" s="5">
        <v>65</v>
      </c>
      <c r="L172" s="3" t="s">
        <v>35</v>
      </c>
      <c r="M172" s="3" t="s">
        <v>59</v>
      </c>
      <c r="P172" s="10">
        <f t="shared" si="2"/>
        <v>0.11571269132653061</v>
      </c>
    </row>
    <row r="173" spans="1:16" x14ac:dyDescent="0.3">
      <c r="A173" s="3" t="s">
        <v>318</v>
      </c>
      <c r="B173" s="3" t="s">
        <v>30</v>
      </c>
      <c r="C173" s="4" t="s">
        <v>165</v>
      </c>
      <c r="D173" s="3" t="s">
        <v>71</v>
      </c>
      <c r="E173" s="11" t="s">
        <v>82</v>
      </c>
      <c r="F173" s="5">
        <v>4133</v>
      </c>
      <c r="G173" s="5">
        <v>466</v>
      </c>
      <c r="H173" s="5">
        <v>327</v>
      </c>
      <c r="I173" s="5">
        <v>24798</v>
      </c>
      <c r="J173" s="5">
        <v>24620</v>
      </c>
      <c r="K173" s="5">
        <v>176</v>
      </c>
      <c r="L173" s="3" t="s">
        <v>35</v>
      </c>
      <c r="M173" s="3" t="s">
        <v>34</v>
      </c>
      <c r="P173" s="10">
        <f t="shared" si="2"/>
        <v>0.19864505202032423</v>
      </c>
    </row>
    <row r="174" spans="1:16" x14ac:dyDescent="0.3">
      <c r="A174" s="3" t="s">
        <v>226</v>
      </c>
      <c r="B174" s="3" t="s">
        <v>40</v>
      </c>
      <c r="C174" s="4" t="s">
        <v>227</v>
      </c>
      <c r="D174" s="3" t="s">
        <v>49</v>
      </c>
      <c r="E174" s="11" t="s">
        <v>56</v>
      </c>
      <c r="F174" s="5">
        <v>1263</v>
      </c>
      <c r="G174" s="5">
        <v>397</v>
      </c>
      <c r="H174" s="5">
        <v>357</v>
      </c>
      <c r="I174" s="5">
        <v>25260</v>
      </c>
      <c r="J174" s="5">
        <v>24615</v>
      </c>
      <c r="K174" s="5">
        <v>137</v>
      </c>
      <c r="L174" s="3" t="s">
        <v>35</v>
      </c>
      <c r="M174" s="3" t="s">
        <v>34</v>
      </c>
      <c r="P174" s="10">
        <f t="shared" si="2"/>
        <v>7.984956452889945E-2</v>
      </c>
    </row>
    <row r="175" spans="1:16" x14ac:dyDescent="0.3">
      <c r="A175" s="3" t="s">
        <v>88</v>
      </c>
      <c r="B175" s="3" t="s">
        <v>40</v>
      </c>
      <c r="C175" s="4" t="s">
        <v>89</v>
      </c>
      <c r="D175" s="3" t="s">
        <v>20</v>
      </c>
      <c r="E175" s="11" t="s">
        <v>53</v>
      </c>
      <c r="F175" s="5">
        <v>1570</v>
      </c>
      <c r="G175" s="5">
        <v>187</v>
      </c>
      <c r="H175" s="5">
        <v>260</v>
      </c>
      <c r="I175" s="5">
        <v>25120</v>
      </c>
      <c r="J175" s="5">
        <v>24613</v>
      </c>
      <c r="K175" s="5">
        <v>133</v>
      </c>
      <c r="L175" s="3" t="s">
        <v>35</v>
      </c>
      <c r="M175" s="3" t="s">
        <v>27</v>
      </c>
      <c r="P175" s="10">
        <f t="shared" si="2"/>
        <v>8.0294585987261149E-2</v>
      </c>
    </row>
    <row r="176" spans="1:16" x14ac:dyDescent="0.3">
      <c r="A176" s="3" t="s">
        <v>241</v>
      </c>
      <c r="B176" s="3" t="s">
        <v>24</v>
      </c>
      <c r="C176" s="4" t="s">
        <v>242</v>
      </c>
      <c r="D176" s="3" t="s">
        <v>71</v>
      </c>
      <c r="E176" s="11" t="s">
        <v>212</v>
      </c>
      <c r="F176" s="5">
        <v>1766</v>
      </c>
      <c r="G176" s="5">
        <v>92</v>
      </c>
      <c r="H176" s="5">
        <v>424</v>
      </c>
      <c r="I176" s="5">
        <v>24724</v>
      </c>
      <c r="J176" s="5">
        <v>24333</v>
      </c>
      <c r="K176" s="5">
        <v>52</v>
      </c>
      <c r="L176" s="6"/>
      <c r="M176" s="3" t="s">
        <v>34</v>
      </c>
      <c r="P176" s="10">
        <f t="shared" si="2"/>
        <v>9.2298980747451867E-2</v>
      </c>
    </row>
    <row r="177" spans="1:16" x14ac:dyDescent="0.3">
      <c r="A177" s="3" t="s">
        <v>451</v>
      </c>
      <c r="B177" s="3" t="s">
        <v>40</v>
      </c>
      <c r="C177" s="4" t="s">
        <v>452</v>
      </c>
      <c r="D177" s="3" t="s">
        <v>20</v>
      </c>
      <c r="E177" s="11" t="s">
        <v>53</v>
      </c>
      <c r="F177" s="5">
        <v>1272</v>
      </c>
      <c r="G177" s="5">
        <v>465</v>
      </c>
      <c r="H177" s="5">
        <v>99</v>
      </c>
      <c r="I177" s="5">
        <v>24168</v>
      </c>
      <c r="J177" s="5">
        <v>23719</v>
      </c>
      <c r="K177" s="5">
        <v>42</v>
      </c>
      <c r="L177" s="6"/>
      <c r="M177" s="3" t="s">
        <v>27</v>
      </c>
      <c r="P177" s="10">
        <f t="shared" si="2"/>
        <v>7.5968222442899705E-2</v>
      </c>
    </row>
    <row r="178" spans="1:16" x14ac:dyDescent="0.3">
      <c r="A178" s="3" t="s">
        <v>120</v>
      </c>
      <c r="B178" s="3" t="s">
        <v>40</v>
      </c>
      <c r="C178" s="4" t="s">
        <v>121</v>
      </c>
      <c r="D178" s="3" t="s">
        <v>42</v>
      </c>
      <c r="E178" s="11" t="s">
        <v>43</v>
      </c>
      <c r="F178" s="5">
        <v>3024</v>
      </c>
      <c r="G178" s="5">
        <v>925</v>
      </c>
      <c r="H178" s="5">
        <v>350</v>
      </c>
      <c r="I178" s="5">
        <v>24192</v>
      </c>
      <c r="J178" s="5">
        <v>23518</v>
      </c>
      <c r="K178" s="5">
        <v>36</v>
      </c>
      <c r="L178" s="3" t="s">
        <v>22</v>
      </c>
      <c r="M178" s="3" t="s">
        <v>34</v>
      </c>
      <c r="P178" s="10">
        <f t="shared" si="2"/>
        <v>0.17770337301587302</v>
      </c>
    </row>
    <row r="179" spans="1:16" x14ac:dyDescent="0.3">
      <c r="A179" s="3" t="s">
        <v>39</v>
      </c>
      <c r="B179" s="3" t="s">
        <v>40</v>
      </c>
      <c r="C179" s="4" t="s">
        <v>41</v>
      </c>
      <c r="D179" s="3" t="s">
        <v>42</v>
      </c>
      <c r="E179" s="11" t="s">
        <v>43</v>
      </c>
      <c r="F179" s="5">
        <v>2945</v>
      </c>
      <c r="G179" s="5">
        <v>930</v>
      </c>
      <c r="H179" s="5">
        <v>355</v>
      </c>
      <c r="I179" s="5">
        <v>23560</v>
      </c>
      <c r="J179" s="5">
        <v>23275</v>
      </c>
      <c r="K179" s="5">
        <v>256</v>
      </c>
      <c r="L179" s="3" t="s">
        <v>22</v>
      </c>
      <c r="M179" s="3" t="s">
        <v>27</v>
      </c>
      <c r="P179" s="10">
        <f t="shared" si="2"/>
        <v>0.17954159592529711</v>
      </c>
    </row>
    <row r="180" spans="1:16" x14ac:dyDescent="0.3">
      <c r="A180" s="3" t="s">
        <v>60</v>
      </c>
      <c r="B180" s="3" t="s">
        <v>40</v>
      </c>
      <c r="C180" s="4" t="s">
        <v>61</v>
      </c>
      <c r="D180" s="3" t="s">
        <v>15</v>
      </c>
      <c r="E180" s="11" t="s">
        <v>62</v>
      </c>
      <c r="F180" s="5">
        <v>1946</v>
      </c>
      <c r="G180" s="5">
        <v>686</v>
      </c>
      <c r="H180" s="5">
        <v>377</v>
      </c>
      <c r="I180" s="5">
        <v>23352</v>
      </c>
      <c r="J180" s="5">
        <v>22982</v>
      </c>
      <c r="K180" s="5">
        <v>213</v>
      </c>
      <c r="L180" s="3" t="s">
        <v>28</v>
      </c>
      <c r="M180" s="3" t="s">
        <v>59</v>
      </c>
      <c r="P180" s="10">
        <f t="shared" si="2"/>
        <v>0.12885405960945528</v>
      </c>
    </row>
    <row r="181" spans="1:16" x14ac:dyDescent="0.3">
      <c r="A181" s="3" t="s">
        <v>329</v>
      </c>
      <c r="B181" s="3" t="s">
        <v>24</v>
      </c>
      <c r="C181" s="4" t="s">
        <v>330</v>
      </c>
      <c r="D181" s="3" t="s">
        <v>49</v>
      </c>
      <c r="E181" s="11" t="s">
        <v>50</v>
      </c>
      <c r="F181" s="5">
        <v>2283</v>
      </c>
      <c r="G181" s="5">
        <v>210</v>
      </c>
      <c r="H181" s="5">
        <v>130</v>
      </c>
      <c r="I181" s="5">
        <v>22830</v>
      </c>
      <c r="J181" s="5">
        <v>22617</v>
      </c>
      <c r="K181" s="5">
        <v>143</v>
      </c>
      <c r="L181" s="3" t="s">
        <v>22</v>
      </c>
      <c r="M181" s="3" t="s">
        <v>59</v>
      </c>
      <c r="P181" s="10">
        <f t="shared" si="2"/>
        <v>0.11489268506351293</v>
      </c>
    </row>
    <row r="182" spans="1:16" x14ac:dyDescent="0.3">
      <c r="A182" s="3" t="s">
        <v>465</v>
      </c>
      <c r="B182" s="3" t="s">
        <v>24</v>
      </c>
      <c r="C182" s="4" t="s">
        <v>466</v>
      </c>
      <c r="D182" s="3" t="s">
        <v>71</v>
      </c>
      <c r="E182" s="11" t="s">
        <v>212</v>
      </c>
      <c r="F182" s="5">
        <v>4661</v>
      </c>
      <c r="G182" s="5">
        <v>935</v>
      </c>
      <c r="H182" s="5">
        <v>433</v>
      </c>
      <c r="I182" s="5">
        <v>23305</v>
      </c>
      <c r="J182" s="5">
        <v>22583</v>
      </c>
      <c r="K182" s="5">
        <v>63</v>
      </c>
      <c r="L182" s="3" t="s">
        <v>28</v>
      </c>
      <c r="M182" s="3" t="s">
        <v>59</v>
      </c>
      <c r="P182" s="10">
        <f t="shared" si="2"/>
        <v>0.25869984981763572</v>
      </c>
    </row>
    <row r="183" spans="1:16" x14ac:dyDescent="0.3">
      <c r="A183" s="3" t="s">
        <v>550</v>
      </c>
      <c r="B183" s="3" t="s">
        <v>40</v>
      </c>
      <c r="C183" s="4" t="s">
        <v>74</v>
      </c>
      <c r="D183" s="3" t="s">
        <v>49</v>
      </c>
      <c r="E183" s="11" t="s">
        <v>56</v>
      </c>
      <c r="F183" s="5">
        <v>2581</v>
      </c>
      <c r="G183" s="5">
        <v>517</v>
      </c>
      <c r="H183" s="5">
        <v>117</v>
      </c>
      <c r="I183" s="5">
        <v>23229</v>
      </c>
      <c r="J183" s="5">
        <v>22331</v>
      </c>
      <c r="K183" s="5">
        <v>70</v>
      </c>
      <c r="L183" s="3" t="s">
        <v>28</v>
      </c>
      <c r="M183" s="3" t="s">
        <v>59</v>
      </c>
      <c r="P183" s="10">
        <f t="shared" si="2"/>
        <v>0.13840458048129492</v>
      </c>
    </row>
    <row r="184" spans="1:16" x14ac:dyDescent="0.3">
      <c r="A184" s="3" t="s">
        <v>347</v>
      </c>
      <c r="B184" s="3" t="s">
        <v>13</v>
      </c>
      <c r="C184" s="4" t="s">
        <v>230</v>
      </c>
      <c r="D184" s="3" t="s">
        <v>20</v>
      </c>
      <c r="E184" s="11" t="s">
        <v>21</v>
      </c>
      <c r="F184" s="5">
        <v>3239</v>
      </c>
      <c r="G184" s="5">
        <v>43</v>
      </c>
      <c r="H184" s="5">
        <v>211</v>
      </c>
      <c r="I184" s="5">
        <v>22673</v>
      </c>
      <c r="J184" s="5">
        <v>22171</v>
      </c>
      <c r="K184" s="5">
        <v>230</v>
      </c>
      <c r="L184" s="3" t="s">
        <v>22</v>
      </c>
      <c r="M184" s="3" t="s">
        <v>27</v>
      </c>
      <c r="P184" s="10">
        <f t="shared" si="2"/>
        <v>0.15405989502933004</v>
      </c>
    </row>
    <row r="185" spans="1:16" x14ac:dyDescent="0.3">
      <c r="A185" s="3" t="s">
        <v>335</v>
      </c>
      <c r="B185" s="3" t="s">
        <v>30</v>
      </c>
      <c r="C185" s="4" t="s">
        <v>336</v>
      </c>
      <c r="D185" s="3" t="s">
        <v>32</v>
      </c>
      <c r="E185" s="11" t="s">
        <v>33</v>
      </c>
      <c r="F185" s="5">
        <v>1762</v>
      </c>
      <c r="G185" s="5">
        <v>405</v>
      </c>
      <c r="H185" s="5">
        <v>423</v>
      </c>
      <c r="I185" s="5">
        <v>22906</v>
      </c>
      <c r="J185" s="5">
        <v>21925</v>
      </c>
      <c r="K185" s="5">
        <v>25</v>
      </c>
      <c r="L185" s="3" t="s">
        <v>17</v>
      </c>
      <c r="M185" s="3" t="s">
        <v>27</v>
      </c>
      <c r="P185" s="10">
        <f t="shared" si="2"/>
        <v>0.11307081114118571</v>
      </c>
    </row>
    <row r="186" spans="1:16" x14ac:dyDescent="0.3">
      <c r="A186" s="3" t="s">
        <v>504</v>
      </c>
      <c r="B186" s="3" t="s">
        <v>30</v>
      </c>
      <c r="C186" s="4" t="s">
        <v>505</v>
      </c>
      <c r="D186" s="3" t="s">
        <v>71</v>
      </c>
      <c r="E186" s="11" t="s">
        <v>82</v>
      </c>
      <c r="F186" s="5">
        <v>4561</v>
      </c>
      <c r="G186" s="5">
        <v>51</v>
      </c>
      <c r="H186" s="5">
        <v>441</v>
      </c>
      <c r="I186" s="5">
        <v>22805</v>
      </c>
      <c r="J186" s="5">
        <v>21890</v>
      </c>
      <c r="K186" s="5">
        <v>45</v>
      </c>
      <c r="L186" s="3" t="s">
        <v>22</v>
      </c>
      <c r="M186" s="3" t="s">
        <v>27</v>
      </c>
      <c r="P186" s="10">
        <f t="shared" si="2"/>
        <v>0.22157421618066214</v>
      </c>
    </row>
    <row r="187" spans="1:16" x14ac:dyDescent="0.3">
      <c r="A187" s="3" t="s">
        <v>476</v>
      </c>
      <c r="B187" s="3" t="s">
        <v>30</v>
      </c>
      <c r="C187" s="4" t="s">
        <v>477</v>
      </c>
      <c r="D187" s="3" t="s">
        <v>42</v>
      </c>
      <c r="E187" s="11" t="s">
        <v>85</v>
      </c>
      <c r="F187" s="5">
        <v>1377</v>
      </c>
      <c r="G187" s="5">
        <v>796</v>
      </c>
      <c r="H187" s="5">
        <v>387</v>
      </c>
      <c r="I187" s="5">
        <v>22032</v>
      </c>
      <c r="J187" s="5">
        <v>21869</v>
      </c>
      <c r="K187" s="5">
        <v>189</v>
      </c>
      <c r="L187" s="6"/>
      <c r="M187" s="3" t="s">
        <v>59</v>
      </c>
      <c r="P187" s="10">
        <f t="shared" si="2"/>
        <v>0.11619462599854757</v>
      </c>
    </row>
    <row r="188" spans="1:16" x14ac:dyDescent="0.3">
      <c r="A188" s="3" t="s">
        <v>344</v>
      </c>
      <c r="B188" s="3" t="s">
        <v>30</v>
      </c>
      <c r="C188" s="4" t="s">
        <v>345</v>
      </c>
      <c r="D188" s="3" t="s">
        <v>49</v>
      </c>
      <c r="E188" s="11" t="s">
        <v>209</v>
      </c>
      <c r="F188" s="5">
        <v>4501</v>
      </c>
      <c r="G188" s="5">
        <v>375</v>
      </c>
      <c r="H188" s="5">
        <v>323</v>
      </c>
      <c r="I188" s="5">
        <v>22505</v>
      </c>
      <c r="J188" s="5">
        <v>21836</v>
      </c>
      <c r="K188" s="5">
        <v>132</v>
      </c>
      <c r="L188" s="3" t="s">
        <v>22</v>
      </c>
      <c r="M188" s="3" t="s">
        <v>27</v>
      </c>
      <c r="P188" s="10">
        <f t="shared" si="2"/>
        <v>0.23101532992668297</v>
      </c>
    </row>
    <row r="189" spans="1:16" x14ac:dyDescent="0.3">
      <c r="A189" s="3" t="s">
        <v>12</v>
      </c>
      <c r="B189" s="3" t="s">
        <v>13</v>
      </c>
      <c r="C189" s="4" t="s">
        <v>14</v>
      </c>
      <c r="D189" s="3" t="s">
        <v>15</v>
      </c>
      <c r="E189" s="11" t="s">
        <v>16</v>
      </c>
      <c r="F189" s="5">
        <v>1461</v>
      </c>
      <c r="G189" s="5">
        <v>184</v>
      </c>
      <c r="H189" s="5">
        <v>344</v>
      </c>
      <c r="I189" s="5">
        <v>21915</v>
      </c>
      <c r="J189" s="5">
        <v>21675</v>
      </c>
      <c r="K189" s="5">
        <v>15</v>
      </c>
      <c r="L189" s="3" t="s">
        <v>17</v>
      </c>
      <c r="M189" s="3" t="s">
        <v>59</v>
      </c>
      <c r="N189" t="s">
        <v>600</v>
      </c>
      <c r="P189" s="10">
        <f t="shared" si="2"/>
        <v>9.0759753593429152E-2</v>
      </c>
    </row>
    <row r="190" spans="1:16" x14ac:dyDescent="0.3">
      <c r="A190" s="3" t="s">
        <v>282</v>
      </c>
      <c r="B190" s="3" t="s">
        <v>30</v>
      </c>
      <c r="C190" s="4" t="s">
        <v>251</v>
      </c>
      <c r="D190" s="3" t="s">
        <v>32</v>
      </c>
      <c r="E190" s="11" t="s">
        <v>33</v>
      </c>
      <c r="F190" s="5">
        <v>4363</v>
      </c>
      <c r="G190" s="5">
        <v>649</v>
      </c>
      <c r="H190" s="5">
        <v>140</v>
      </c>
      <c r="I190" s="5">
        <v>21815</v>
      </c>
      <c r="J190" s="5">
        <v>21481</v>
      </c>
      <c r="K190" s="5">
        <v>157</v>
      </c>
      <c r="L190" s="3" t="s">
        <v>17</v>
      </c>
      <c r="M190" s="3" t="s">
        <v>34</v>
      </c>
      <c r="P190" s="10">
        <f t="shared" si="2"/>
        <v>0.23616777446710979</v>
      </c>
    </row>
    <row r="191" spans="1:16" x14ac:dyDescent="0.3">
      <c r="A191" s="3" t="s">
        <v>486</v>
      </c>
      <c r="B191" s="3" t="s">
        <v>30</v>
      </c>
      <c r="C191" s="4" t="s">
        <v>487</v>
      </c>
      <c r="D191" s="3" t="s">
        <v>32</v>
      </c>
      <c r="E191" s="11" t="s">
        <v>33</v>
      </c>
      <c r="F191" s="5">
        <v>3601</v>
      </c>
      <c r="G191" s="5">
        <v>695</v>
      </c>
      <c r="H191" s="5">
        <v>75</v>
      </c>
      <c r="I191" s="5">
        <v>21606</v>
      </c>
      <c r="J191" s="5">
        <v>21454</v>
      </c>
      <c r="K191" s="5">
        <v>172</v>
      </c>
      <c r="L191" s="3" t="s">
        <v>22</v>
      </c>
      <c r="M191" s="3" t="s">
        <v>34</v>
      </c>
      <c r="P191" s="10">
        <f t="shared" si="2"/>
        <v>0.2023049153013052</v>
      </c>
    </row>
    <row r="192" spans="1:16" x14ac:dyDescent="0.3">
      <c r="A192" s="3" t="s">
        <v>301</v>
      </c>
      <c r="B192" s="3" t="s">
        <v>30</v>
      </c>
      <c r="C192" s="4" t="s">
        <v>302</v>
      </c>
      <c r="D192" s="3" t="s">
        <v>20</v>
      </c>
      <c r="E192" s="11" t="s">
        <v>109</v>
      </c>
      <c r="F192" s="5">
        <v>3134</v>
      </c>
      <c r="G192" s="5">
        <v>888</v>
      </c>
      <c r="H192" s="5">
        <v>444</v>
      </c>
      <c r="I192" s="5">
        <v>21938</v>
      </c>
      <c r="J192" s="5">
        <v>21337</v>
      </c>
      <c r="K192" s="5">
        <v>130</v>
      </c>
      <c r="L192" s="3" t="s">
        <v>35</v>
      </c>
      <c r="M192" s="3" t="s">
        <v>34</v>
      </c>
      <c r="P192" s="10">
        <f t="shared" si="2"/>
        <v>0.20357370772176134</v>
      </c>
    </row>
    <row r="193" spans="1:16" x14ac:dyDescent="0.3">
      <c r="A193" s="3" t="s">
        <v>148</v>
      </c>
      <c r="B193" s="3" t="s">
        <v>24</v>
      </c>
      <c r="C193" s="4" t="s">
        <v>149</v>
      </c>
      <c r="D193" s="3" t="s">
        <v>32</v>
      </c>
      <c r="E193" s="11" t="s">
        <v>150</v>
      </c>
      <c r="F193" s="5">
        <v>2754</v>
      </c>
      <c r="G193" s="5">
        <v>130</v>
      </c>
      <c r="H193" s="5">
        <v>90</v>
      </c>
      <c r="I193" s="5">
        <v>22032</v>
      </c>
      <c r="J193" s="5">
        <v>21288</v>
      </c>
      <c r="K193" s="5">
        <v>112</v>
      </c>
      <c r="L193" s="3" t="s">
        <v>28</v>
      </c>
      <c r="M193" s="3" t="s">
        <v>27</v>
      </c>
      <c r="P193" s="10">
        <f t="shared" si="2"/>
        <v>0.13498547567175018</v>
      </c>
    </row>
    <row r="194" spans="1:16" x14ac:dyDescent="0.3">
      <c r="A194" s="3" t="s">
        <v>63</v>
      </c>
      <c r="B194" s="3" t="s">
        <v>24</v>
      </c>
      <c r="C194" s="4" t="s">
        <v>64</v>
      </c>
      <c r="D194" s="3" t="s">
        <v>42</v>
      </c>
      <c r="E194" s="11" t="s">
        <v>65</v>
      </c>
      <c r="F194" s="5">
        <v>1171</v>
      </c>
      <c r="G194" s="5">
        <v>286</v>
      </c>
      <c r="H194" s="5">
        <v>231</v>
      </c>
      <c r="I194" s="5">
        <v>22249</v>
      </c>
      <c r="J194" s="5">
        <v>21282</v>
      </c>
      <c r="K194" s="5">
        <v>114</v>
      </c>
      <c r="L194" s="3" t="s">
        <v>17</v>
      </c>
      <c r="M194" s="3" t="s">
        <v>34</v>
      </c>
      <c r="P194" s="10">
        <f t="shared" ref="P194:P257" si="3">(F194+G194+H194)/I194</f>
        <v>7.5868578363072495E-2</v>
      </c>
    </row>
    <row r="195" spans="1:16" x14ac:dyDescent="0.3">
      <c r="A195" s="3" t="s">
        <v>481</v>
      </c>
      <c r="B195" s="3" t="s">
        <v>13</v>
      </c>
      <c r="C195" s="4" t="s">
        <v>482</v>
      </c>
      <c r="D195" s="3" t="s">
        <v>49</v>
      </c>
      <c r="E195" s="11" t="s">
        <v>128</v>
      </c>
      <c r="F195" s="5">
        <v>2692</v>
      </c>
      <c r="G195" s="5">
        <v>115</v>
      </c>
      <c r="H195" s="5">
        <v>64</v>
      </c>
      <c r="I195" s="5">
        <v>21536</v>
      </c>
      <c r="J195" s="5">
        <v>21120</v>
      </c>
      <c r="K195" s="5">
        <v>224</v>
      </c>
      <c r="L195" s="3" t="s">
        <v>22</v>
      </c>
      <c r="M195" s="3" t="s">
        <v>59</v>
      </c>
      <c r="P195" s="10">
        <f t="shared" si="3"/>
        <v>0.13331166419019316</v>
      </c>
    </row>
    <row r="196" spans="1:16" x14ac:dyDescent="0.3">
      <c r="A196" s="3" t="s">
        <v>196</v>
      </c>
      <c r="B196" s="3" t="s">
        <v>30</v>
      </c>
      <c r="C196" s="4" t="s">
        <v>197</v>
      </c>
      <c r="D196" s="3" t="s">
        <v>15</v>
      </c>
      <c r="E196" s="11" t="s">
        <v>79</v>
      </c>
      <c r="F196" s="5">
        <v>1674</v>
      </c>
      <c r="G196" s="5">
        <v>929</v>
      </c>
      <c r="H196" s="5">
        <v>37</v>
      </c>
      <c r="I196" s="5">
        <v>21762</v>
      </c>
      <c r="J196" s="5">
        <v>20998</v>
      </c>
      <c r="K196" s="5">
        <v>255</v>
      </c>
      <c r="L196" s="3" t="s">
        <v>35</v>
      </c>
      <c r="M196" s="3" t="s">
        <v>27</v>
      </c>
      <c r="P196" s="10">
        <f t="shared" si="3"/>
        <v>0.12131237937689551</v>
      </c>
    </row>
    <row r="197" spans="1:16" x14ac:dyDescent="0.3">
      <c r="A197" s="3" t="s">
        <v>294</v>
      </c>
      <c r="B197" s="3" t="s">
        <v>30</v>
      </c>
      <c r="C197" s="4" t="s">
        <v>102</v>
      </c>
      <c r="D197" s="3" t="s">
        <v>32</v>
      </c>
      <c r="E197" s="11" t="s">
        <v>33</v>
      </c>
      <c r="F197" s="5">
        <v>1947</v>
      </c>
      <c r="G197" s="5">
        <v>842</v>
      </c>
      <c r="H197" s="5">
        <v>101</v>
      </c>
      <c r="I197" s="5">
        <v>21417</v>
      </c>
      <c r="J197" s="5">
        <v>20967</v>
      </c>
      <c r="K197" s="5">
        <v>186</v>
      </c>
      <c r="L197" s="3" t="s">
        <v>22</v>
      </c>
      <c r="M197" s="3" t="s">
        <v>59</v>
      </c>
      <c r="P197" s="10">
        <f t="shared" si="3"/>
        <v>0.13493953401503478</v>
      </c>
    </row>
    <row r="198" spans="1:16" x14ac:dyDescent="0.3">
      <c r="A198" s="3" t="s">
        <v>142</v>
      </c>
      <c r="B198" s="3" t="s">
        <v>13</v>
      </c>
      <c r="C198" s="4" t="s">
        <v>143</v>
      </c>
      <c r="D198" s="3" t="s">
        <v>42</v>
      </c>
      <c r="E198" s="11" t="s">
        <v>46</v>
      </c>
      <c r="F198" s="5">
        <v>2704</v>
      </c>
      <c r="G198" s="5">
        <v>752</v>
      </c>
      <c r="H198" s="5">
        <v>153</v>
      </c>
      <c r="I198" s="5">
        <v>21632</v>
      </c>
      <c r="J198" s="5">
        <v>20792</v>
      </c>
      <c r="K198" s="5">
        <v>127</v>
      </c>
      <c r="L198" s="6"/>
      <c r="M198" s="3" t="s">
        <v>59</v>
      </c>
      <c r="P198" s="10">
        <f t="shared" si="3"/>
        <v>0.16683616863905326</v>
      </c>
    </row>
    <row r="199" spans="1:16" x14ac:dyDescent="0.3">
      <c r="A199" s="3" t="s">
        <v>507</v>
      </c>
      <c r="B199" s="3" t="s">
        <v>30</v>
      </c>
      <c r="C199" s="4" t="s">
        <v>508</v>
      </c>
      <c r="D199" s="3" t="s">
        <v>71</v>
      </c>
      <c r="E199" s="11" t="s">
        <v>82</v>
      </c>
      <c r="F199" s="5">
        <v>3575</v>
      </c>
      <c r="G199" s="5">
        <v>749</v>
      </c>
      <c r="H199" s="5">
        <v>111</v>
      </c>
      <c r="I199" s="5">
        <v>21450</v>
      </c>
      <c r="J199" s="5">
        <v>20785</v>
      </c>
      <c r="K199" s="5">
        <v>195</v>
      </c>
      <c r="L199" s="3" t="s">
        <v>22</v>
      </c>
      <c r="M199" s="3" t="s">
        <v>34</v>
      </c>
      <c r="P199" s="10">
        <f t="shared" si="3"/>
        <v>0.20675990675990677</v>
      </c>
    </row>
    <row r="200" spans="1:16" x14ac:dyDescent="0.3">
      <c r="A200" s="3" t="s">
        <v>516</v>
      </c>
      <c r="B200" s="3" t="s">
        <v>40</v>
      </c>
      <c r="C200" s="4" t="s">
        <v>284</v>
      </c>
      <c r="D200" s="3" t="s">
        <v>49</v>
      </c>
      <c r="E200" s="11" t="s">
        <v>56</v>
      </c>
      <c r="F200" s="5">
        <v>4236</v>
      </c>
      <c r="G200" s="5">
        <v>711</v>
      </c>
      <c r="H200" s="5">
        <v>298</v>
      </c>
      <c r="I200" s="5">
        <v>21180</v>
      </c>
      <c r="J200" s="5">
        <v>20516</v>
      </c>
      <c r="K200" s="5">
        <v>238</v>
      </c>
      <c r="L200" s="3" t="s">
        <v>17</v>
      </c>
      <c r="M200" s="3" t="s">
        <v>59</v>
      </c>
      <c r="P200" s="10">
        <f t="shared" si="3"/>
        <v>0.24763928234183191</v>
      </c>
    </row>
    <row r="201" spans="1:16" x14ac:dyDescent="0.3">
      <c r="A201" s="3" t="s">
        <v>447</v>
      </c>
      <c r="B201" s="3" t="s">
        <v>30</v>
      </c>
      <c r="C201" s="4" t="s">
        <v>423</v>
      </c>
      <c r="D201" s="3" t="s">
        <v>20</v>
      </c>
      <c r="E201" s="11" t="s">
        <v>109</v>
      </c>
      <c r="F201" s="5">
        <v>1430</v>
      </c>
      <c r="G201" s="5">
        <v>376</v>
      </c>
      <c r="H201" s="5">
        <v>33</v>
      </c>
      <c r="I201" s="5">
        <v>21450</v>
      </c>
      <c r="J201" s="5">
        <v>20509</v>
      </c>
      <c r="K201" s="5">
        <v>251</v>
      </c>
      <c r="L201" s="3" t="s">
        <v>17</v>
      </c>
      <c r="M201" s="3" t="s">
        <v>59</v>
      </c>
      <c r="P201" s="10">
        <f t="shared" si="3"/>
        <v>8.5734265734265735E-2</v>
      </c>
    </row>
    <row r="202" spans="1:16" x14ac:dyDescent="0.3">
      <c r="A202" s="3" t="s">
        <v>458</v>
      </c>
      <c r="B202" s="3" t="s">
        <v>24</v>
      </c>
      <c r="C202" s="4" t="s">
        <v>143</v>
      </c>
      <c r="D202" s="3" t="s">
        <v>20</v>
      </c>
      <c r="E202" s="11" t="s">
        <v>100</v>
      </c>
      <c r="F202" s="5">
        <v>4188</v>
      </c>
      <c r="G202" s="5">
        <v>942</v>
      </c>
      <c r="H202" s="5">
        <v>118</v>
      </c>
      <c r="I202" s="5">
        <v>20940</v>
      </c>
      <c r="J202" s="5">
        <v>20471</v>
      </c>
      <c r="K202" s="5">
        <v>102</v>
      </c>
      <c r="L202" s="6"/>
      <c r="M202" s="3" t="s">
        <v>59</v>
      </c>
      <c r="P202" s="10">
        <f t="shared" si="3"/>
        <v>0.25062082139446035</v>
      </c>
    </row>
    <row r="203" spans="1:16" x14ac:dyDescent="0.3">
      <c r="A203" s="3" t="s">
        <v>274</v>
      </c>
      <c r="B203" s="3" t="s">
        <v>13</v>
      </c>
      <c r="C203" s="4" t="s">
        <v>275</v>
      </c>
      <c r="D203" s="3" t="s">
        <v>49</v>
      </c>
      <c r="E203" s="11" t="s">
        <v>128</v>
      </c>
      <c r="F203" s="5">
        <v>1606</v>
      </c>
      <c r="G203" s="5">
        <v>451</v>
      </c>
      <c r="H203" s="5">
        <v>405</v>
      </c>
      <c r="I203" s="5">
        <v>20878</v>
      </c>
      <c r="J203" s="5">
        <v>20190</v>
      </c>
      <c r="K203" s="5">
        <v>219</v>
      </c>
      <c r="L203" s="3" t="s">
        <v>35</v>
      </c>
      <c r="M203" s="3" t="s">
        <v>34</v>
      </c>
      <c r="P203" s="10">
        <f t="shared" si="3"/>
        <v>0.11792317271769326</v>
      </c>
    </row>
    <row r="204" spans="1:16" x14ac:dyDescent="0.3">
      <c r="A204" s="3" t="s">
        <v>177</v>
      </c>
      <c r="B204" s="3" t="s">
        <v>30</v>
      </c>
      <c r="C204" s="4" t="s">
        <v>178</v>
      </c>
      <c r="D204" s="3" t="s">
        <v>32</v>
      </c>
      <c r="E204" s="11" t="s">
        <v>33</v>
      </c>
      <c r="F204" s="5">
        <v>1881</v>
      </c>
      <c r="G204" s="5">
        <v>501</v>
      </c>
      <c r="H204" s="5">
        <v>99</v>
      </c>
      <c r="I204" s="5">
        <v>20691</v>
      </c>
      <c r="J204" s="5">
        <v>19987</v>
      </c>
      <c r="K204" s="5">
        <v>289</v>
      </c>
      <c r="L204" s="6"/>
      <c r="M204" s="3" t="s">
        <v>34</v>
      </c>
      <c r="P204" s="10">
        <f t="shared" si="3"/>
        <v>0.11990720603160794</v>
      </c>
    </row>
    <row r="205" spans="1:16" x14ac:dyDescent="0.3">
      <c r="A205" s="3" t="s">
        <v>529</v>
      </c>
      <c r="B205" s="3" t="s">
        <v>24</v>
      </c>
      <c r="C205" s="4" t="s">
        <v>530</v>
      </c>
      <c r="D205" s="3" t="s">
        <v>71</v>
      </c>
      <c r="E205" s="11" t="s">
        <v>212</v>
      </c>
      <c r="F205" s="5">
        <v>3389</v>
      </c>
      <c r="G205" s="5">
        <v>344</v>
      </c>
      <c r="H205" s="5">
        <v>229</v>
      </c>
      <c r="I205" s="5">
        <v>20334</v>
      </c>
      <c r="J205" s="5">
        <v>19443</v>
      </c>
      <c r="K205" s="5">
        <v>228</v>
      </c>
      <c r="L205" s="3" t="s">
        <v>28</v>
      </c>
      <c r="M205" s="3" t="s">
        <v>59</v>
      </c>
      <c r="P205" s="10">
        <f t="shared" si="3"/>
        <v>0.19484607062063539</v>
      </c>
    </row>
    <row r="206" spans="1:16" x14ac:dyDescent="0.3">
      <c r="A206" s="3" t="s">
        <v>234</v>
      </c>
      <c r="B206" s="3" t="s">
        <v>13</v>
      </c>
      <c r="C206" s="4" t="s">
        <v>235</v>
      </c>
      <c r="D206" s="3" t="s">
        <v>49</v>
      </c>
      <c r="E206" s="11" t="s">
        <v>128</v>
      </c>
      <c r="F206" s="5">
        <v>1238</v>
      </c>
      <c r="G206" s="5">
        <v>366</v>
      </c>
      <c r="H206" s="5">
        <v>444</v>
      </c>
      <c r="I206" s="5">
        <v>19808</v>
      </c>
      <c r="J206" s="5">
        <v>19334</v>
      </c>
      <c r="K206" s="5">
        <v>123</v>
      </c>
      <c r="L206" s="6"/>
      <c r="M206" s="3" t="s">
        <v>59</v>
      </c>
      <c r="P206" s="10">
        <f t="shared" si="3"/>
        <v>0.10339256865912763</v>
      </c>
    </row>
    <row r="207" spans="1:16" x14ac:dyDescent="0.3">
      <c r="A207" s="3" t="s">
        <v>205</v>
      </c>
      <c r="B207" s="3" t="s">
        <v>30</v>
      </c>
      <c r="C207" s="4" t="s">
        <v>206</v>
      </c>
      <c r="D207" s="3" t="s">
        <v>32</v>
      </c>
      <c r="E207" s="11" t="s">
        <v>33</v>
      </c>
      <c r="F207" s="5">
        <v>1816</v>
      </c>
      <c r="G207" s="5">
        <v>29</v>
      </c>
      <c r="H207" s="5">
        <v>41</v>
      </c>
      <c r="I207" s="5">
        <v>19976</v>
      </c>
      <c r="J207" s="5">
        <v>19262</v>
      </c>
      <c r="K207" s="5">
        <v>283</v>
      </c>
      <c r="L207" s="3" t="s">
        <v>28</v>
      </c>
      <c r="M207" s="3" t="s">
        <v>27</v>
      </c>
      <c r="P207" s="10">
        <f t="shared" si="3"/>
        <v>9.4413295955146179E-2</v>
      </c>
    </row>
    <row r="208" spans="1:16" x14ac:dyDescent="0.3">
      <c r="A208" s="3" t="s">
        <v>396</v>
      </c>
      <c r="B208" s="3" t="s">
        <v>30</v>
      </c>
      <c r="C208" s="4" t="s">
        <v>397</v>
      </c>
      <c r="D208" s="3" t="s">
        <v>20</v>
      </c>
      <c r="E208" s="11" t="s">
        <v>109</v>
      </c>
      <c r="F208" s="5">
        <v>1813</v>
      </c>
      <c r="G208" s="5">
        <v>623</v>
      </c>
      <c r="H208" s="5">
        <v>72</v>
      </c>
      <c r="I208" s="5">
        <v>19943</v>
      </c>
      <c r="J208" s="5">
        <v>18959</v>
      </c>
      <c r="K208" s="5">
        <v>85</v>
      </c>
      <c r="L208" s="3" t="s">
        <v>28</v>
      </c>
      <c r="M208" s="3" t="s">
        <v>34</v>
      </c>
      <c r="P208" s="10">
        <f t="shared" si="3"/>
        <v>0.12575841147269717</v>
      </c>
    </row>
    <row r="209" spans="1:16" x14ac:dyDescent="0.3">
      <c r="A209" s="3" t="s">
        <v>201</v>
      </c>
      <c r="B209" s="3" t="s">
        <v>13</v>
      </c>
      <c r="C209" s="4" t="s">
        <v>159</v>
      </c>
      <c r="D209" s="3" t="s">
        <v>49</v>
      </c>
      <c r="E209" s="11" t="s">
        <v>128</v>
      </c>
      <c r="F209" s="5">
        <v>954</v>
      </c>
      <c r="G209" s="5">
        <v>324</v>
      </c>
      <c r="H209" s="5">
        <v>288</v>
      </c>
      <c r="I209" s="5">
        <v>19080</v>
      </c>
      <c r="J209" s="5">
        <v>18859</v>
      </c>
      <c r="K209" s="5">
        <v>21</v>
      </c>
      <c r="L209" s="3" t="s">
        <v>35</v>
      </c>
      <c r="M209" s="3" t="s">
        <v>59</v>
      </c>
      <c r="P209" s="10">
        <f t="shared" si="3"/>
        <v>8.2075471698113203E-2</v>
      </c>
    </row>
    <row r="210" spans="1:16" x14ac:dyDescent="0.3">
      <c r="A210" s="3" t="s">
        <v>338</v>
      </c>
      <c r="B210" s="3" t="s">
        <v>13</v>
      </c>
      <c r="C210" s="4" t="s">
        <v>339</v>
      </c>
      <c r="D210" s="3" t="s">
        <v>71</v>
      </c>
      <c r="E210" s="11" t="s">
        <v>141</v>
      </c>
      <c r="F210" s="5">
        <v>1082</v>
      </c>
      <c r="G210" s="5">
        <v>209</v>
      </c>
      <c r="H210" s="5">
        <v>484</v>
      </c>
      <c r="I210" s="5">
        <v>19476</v>
      </c>
      <c r="J210" s="5">
        <v>18654</v>
      </c>
      <c r="K210" s="5">
        <v>20</v>
      </c>
      <c r="L210" s="6"/>
      <c r="M210" s="3" t="s">
        <v>27</v>
      </c>
      <c r="P210" s="10">
        <f t="shared" si="3"/>
        <v>9.1137810638734856E-2</v>
      </c>
    </row>
    <row r="211" spans="1:16" x14ac:dyDescent="0.3">
      <c r="A211" s="3" t="s">
        <v>29</v>
      </c>
      <c r="B211" s="3" t="s">
        <v>30</v>
      </c>
      <c r="C211" s="4" t="s">
        <v>31</v>
      </c>
      <c r="D211" s="3" t="s">
        <v>32</v>
      </c>
      <c r="E211" s="11" t="s">
        <v>33</v>
      </c>
      <c r="F211" s="5">
        <v>2404</v>
      </c>
      <c r="G211" s="5">
        <v>363</v>
      </c>
      <c r="H211" s="5">
        <v>138</v>
      </c>
      <c r="I211" s="5">
        <v>19232</v>
      </c>
      <c r="J211" s="5">
        <v>18636</v>
      </c>
      <c r="K211" s="5">
        <v>128</v>
      </c>
      <c r="L211" s="3" t="s">
        <v>35</v>
      </c>
      <c r="M211" s="3" t="s">
        <v>34</v>
      </c>
      <c r="P211" s="10">
        <f t="shared" si="3"/>
        <v>0.15105033277870217</v>
      </c>
    </row>
    <row r="212" spans="1:16" x14ac:dyDescent="0.3">
      <c r="A212" s="3" t="s">
        <v>309</v>
      </c>
      <c r="B212" s="3" t="s">
        <v>13</v>
      </c>
      <c r="C212" s="4" t="s">
        <v>310</v>
      </c>
      <c r="D212" s="3" t="s">
        <v>49</v>
      </c>
      <c r="E212" s="11" t="s">
        <v>128</v>
      </c>
      <c r="F212" s="5">
        <v>3170</v>
      </c>
      <c r="G212" s="5">
        <v>857</v>
      </c>
      <c r="H212" s="5">
        <v>379</v>
      </c>
      <c r="I212" s="5">
        <v>19020</v>
      </c>
      <c r="J212" s="5">
        <v>18559</v>
      </c>
      <c r="K212" s="5">
        <v>240</v>
      </c>
      <c r="L212" s="6"/>
      <c r="M212" s="3" t="s">
        <v>59</v>
      </c>
      <c r="P212" s="10">
        <f t="shared" si="3"/>
        <v>0.2316508937960042</v>
      </c>
    </row>
    <row r="213" spans="1:16" x14ac:dyDescent="0.3">
      <c r="A213" s="3" t="s">
        <v>523</v>
      </c>
      <c r="B213" s="3" t="s">
        <v>30</v>
      </c>
      <c r="C213" s="4" t="s">
        <v>524</v>
      </c>
      <c r="D213" s="3" t="s">
        <v>71</v>
      </c>
      <c r="E213" s="11" t="s">
        <v>82</v>
      </c>
      <c r="F213" s="5">
        <v>1488</v>
      </c>
      <c r="G213" s="5">
        <v>417</v>
      </c>
      <c r="H213" s="5">
        <v>168</v>
      </c>
      <c r="I213" s="5">
        <v>19344</v>
      </c>
      <c r="J213" s="5">
        <v>18395</v>
      </c>
      <c r="K213" s="5">
        <v>30</v>
      </c>
      <c r="L213" s="3" t="s">
        <v>28</v>
      </c>
      <c r="M213" s="3" t="s">
        <v>59</v>
      </c>
      <c r="P213" s="10">
        <f t="shared" si="3"/>
        <v>0.1071650124069479</v>
      </c>
    </row>
    <row r="214" spans="1:16" x14ac:dyDescent="0.3">
      <c r="A214" s="3" t="s">
        <v>156</v>
      </c>
      <c r="B214" s="3" t="s">
        <v>24</v>
      </c>
      <c r="C214" s="4" t="s">
        <v>157</v>
      </c>
      <c r="D214" s="3" t="s">
        <v>42</v>
      </c>
      <c r="E214" s="11" t="s">
        <v>65</v>
      </c>
      <c r="F214" s="5">
        <v>1686</v>
      </c>
      <c r="G214" s="5">
        <v>904</v>
      </c>
      <c r="H214" s="5">
        <v>472</v>
      </c>
      <c r="I214" s="5">
        <v>18546</v>
      </c>
      <c r="J214" s="5">
        <v>18171</v>
      </c>
      <c r="K214" s="5">
        <v>52</v>
      </c>
      <c r="L214" s="3" t="s">
        <v>22</v>
      </c>
      <c r="M214" s="3" t="s">
        <v>59</v>
      </c>
      <c r="P214" s="10">
        <f t="shared" si="3"/>
        <v>0.16510298716704411</v>
      </c>
    </row>
    <row r="215" spans="1:16" x14ac:dyDescent="0.3">
      <c r="A215" s="3" t="s">
        <v>356</v>
      </c>
      <c r="B215" s="3" t="s">
        <v>24</v>
      </c>
      <c r="C215" s="4" t="s">
        <v>357</v>
      </c>
      <c r="D215" s="3" t="s">
        <v>71</v>
      </c>
      <c r="E215" s="11" t="s">
        <v>212</v>
      </c>
      <c r="F215" s="5">
        <v>1018</v>
      </c>
      <c r="G215" s="5">
        <v>447</v>
      </c>
      <c r="H215" s="5">
        <v>332</v>
      </c>
      <c r="I215" s="5">
        <v>18324</v>
      </c>
      <c r="J215" s="5">
        <v>18164</v>
      </c>
      <c r="K215" s="5">
        <v>38</v>
      </c>
      <c r="L215" s="3" t="s">
        <v>22</v>
      </c>
      <c r="M215" s="3" t="s">
        <v>59</v>
      </c>
      <c r="P215" s="10">
        <f t="shared" si="3"/>
        <v>9.8068107400130972E-2</v>
      </c>
    </row>
    <row r="216" spans="1:16" x14ac:dyDescent="0.3">
      <c r="A216" s="3" t="s">
        <v>307</v>
      </c>
      <c r="B216" s="3" t="s">
        <v>40</v>
      </c>
      <c r="C216" s="4" t="s">
        <v>308</v>
      </c>
      <c r="D216" s="3" t="s">
        <v>49</v>
      </c>
      <c r="E216" s="11" t="s">
        <v>56</v>
      </c>
      <c r="F216" s="5">
        <v>2291</v>
      </c>
      <c r="G216" s="5">
        <v>78</v>
      </c>
      <c r="H216" s="5">
        <v>485</v>
      </c>
      <c r="I216" s="5">
        <v>18328</v>
      </c>
      <c r="J216" s="5">
        <v>18101</v>
      </c>
      <c r="K216" s="5">
        <v>10</v>
      </c>
      <c r="L216" s="3" t="s">
        <v>22</v>
      </c>
      <c r="M216" s="3" t="s">
        <v>34</v>
      </c>
      <c r="N216" t="s">
        <v>592</v>
      </c>
      <c r="P216" s="10">
        <f t="shared" si="3"/>
        <v>0.15571802706241816</v>
      </c>
    </row>
    <row r="217" spans="1:16" x14ac:dyDescent="0.3">
      <c r="A217" s="3" t="s">
        <v>315</v>
      </c>
      <c r="B217" s="3" t="s">
        <v>24</v>
      </c>
      <c r="C217" s="4" t="s">
        <v>316</v>
      </c>
      <c r="D217" s="3" t="s">
        <v>15</v>
      </c>
      <c r="E217" s="11" t="s">
        <v>26</v>
      </c>
      <c r="F217" s="5">
        <v>3065</v>
      </c>
      <c r="G217" s="5">
        <v>772</v>
      </c>
      <c r="H217" s="5">
        <v>142</v>
      </c>
      <c r="I217" s="5">
        <v>18390</v>
      </c>
      <c r="J217" s="5">
        <v>17875</v>
      </c>
      <c r="K217" s="5">
        <v>200</v>
      </c>
      <c r="L217" s="6"/>
      <c r="M217" s="3" t="s">
        <v>34</v>
      </c>
      <c r="N217" t="s">
        <v>600</v>
      </c>
      <c r="P217" s="10">
        <f t="shared" si="3"/>
        <v>0.21636759108210984</v>
      </c>
    </row>
    <row r="218" spans="1:16" x14ac:dyDescent="0.3">
      <c r="A218" s="3" t="s">
        <v>231</v>
      </c>
      <c r="B218" s="3" t="s">
        <v>30</v>
      </c>
      <c r="C218" s="4" t="s">
        <v>199</v>
      </c>
      <c r="D218" s="3" t="s">
        <v>49</v>
      </c>
      <c r="E218" s="11" t="s">
        <v>209</v>
      </c>
      <c r="F218" s="5">
        <v>2647</v>
      </c>
      <c r="G218" s="5">
        <v>304</v>
      </c>
      <c r="H218" s="5">
        <v>170</v>
      </c>
      <c r="I218" s="5">
        <v>18529</v>
      </c>
      <c r="J218" s="5">
        <v>17841</v>
      </c>
      <c r="K218" s="5">
        <v>46</v>
      </c>
      <c r="L218" s="3" t="s">
        <v>28</v>
      </c>
      <c r="M218" s="3" t="s">
        <v>59</v>
      </c>
      <c r="P218" s="10">
        <f t="shared" si="3"/>
        <v>0.16843866371633656</v>
      </c>
    </row>
    <row r="219" spans="1:16" x14ac:dyDescent="0.3">
      <c r="A219" s="3" t="s">
        <v>264</v>
      </c>
      <c r="B219" s="3" t="s">
        <v>13</v>
      </c>
      <c r="C219" s="4" t="s">
        <v>265</v>
      </c>
      <c r="D219" s="3" t="s">
        <v>32</v>
      </c>
      <c r="E219" s="11" t="s">
        <v>145</v>
      </c>
      <c r="F219" s="5">
        <v>1957</v>
      </c>
      <c r="G219" s="5">
        <v>877</v>
      </c>
      <c r="H219" s="5">
        <v>238</v>
      </c>
      <c r="I219" s="5">
        <v>17613</v>
      </c>
      <c r="J219" s="5">
        <v>16865</v>
      </c>
      <c r="K219" s="5">
        <v>297</v>
      </c>
      <c r="L219" s="3" t="s">
        <v>28</v>
      </c>
      <c r="M219" s="3" t="s">
        <v>59</v>
      </c>
      <c r="P219" s="10">
        <f t="shared" si="3"/>
        <v>0.17441662408448305</v>
      </c>
    </row>
    <row r="220" spans="1:16" x14ac:dyDescent="0.3">
      <c r="A220" s="3" t="s">
        <v>513</v>
      </c>
      <c r="B220" s="3" t="s">
        <v>40</v>
      </c>
      <c r="C220" s="4" t="s">
        <v>487</v>
      </c>
      <c r="D220" s="3" t="s">
        <v>15</v>
      </c>
      <c r="E220" s="11" t="s">
        <v>62</v>
      </c>
      <c r="F220" s="5">
        <v>1741</v>
      </c>
      <c r="G220" s="5">
        <v>831</v>
      </c>
      <c r="H220" s="5">
        <v>345</v>
      </c>
      <c r="I220" s="5">
        <v>17410</v>
      </c>
      <c r="J220" s="5">
        <v>16844</v>
      </c>
      <c r="K220" s="5">
        <v>58</v>
      </c>
      <c r="L220" s="3" t="s">
        <v>28</v>
      </c>
      <c r="M220" s="3" t="s">
        <v>34</v>
      </c>
      <c r="P220" s="10">
        <f t="shared" si="3"/>
        <v>0.16754738655944859</v>
      </c>
    </row>
    <row r="221" spans="1:16" x14ac:dyDescent="0.3">
      <c r="A221" s="3" t="s">
        <v>290</v>
      </c>
      <c r="B221" s="3" t="s">
        <v>13</v>
      </c>
      <c r="C221" s="4" t="s">
        <v>61</v>
      </c>
      <c r="D221" s="3" t="s">
        <v>20</v>
      </c>
      <c r="E221" s="11" t="s">
        <v>21</v>
      </c>
      <c r="F221" s="5">
        <v>2147</v>
      </c>
      <c r="G221" s="5">
        <v>430</v>
      </c>
      <c r="H221" s="5">
        <v>393</v>
      </c>
      <c r="I221" s="5">
        <v>17176</v>
      </c>
      <c r="J221" s="5">
        <v>16483</v>
      </c>
      <c r="K221" s="5">
        <v>170</v>
      </c>
      <c r="L221" s="6"/>
      <c r="M221" s="3" t="s">
        <v>27</v>
      </c>
      <c r="P221" s="10">
        <f t="shared" si="3"/>
        <v>0.17291569632044715</v>
      </c>
    </row>
    <row r="222" spans="1:16" x14ac:dyDescent="0.3">
      <c r="A222" s="3" t="s">
        <v>194</v>
      </c>
      <c r="B222" s="3" t="s">
        <v>24</v>
      </c>
      <c r="C222" s="4" t="s">
        <v>195</v>
      </c>
      <c r="D222" s="3" t="s">
        <v>15</v>
      </c>
      <c r="E222" s="11" t="s">
        <v>26</v>
      </c>
      <c r="F222" s="5">
        <v>1855</v>
      </c>
      <c r="G222" s="5">
        <v>200</v>
      </c>
      <c r="H222" s="5">
        <v>174</v>
      </c>
      <c r="I222" s="5">
        <v>16695</v>
      </c>
      <c r="J222" s="5">
        <v>16330</v>
      </c>
      <c r="K222" s="5">
        <v>123</v>
      </c>
      <c r="L222" s="3" t="s">
        <v>28</v>
      </c>
      <c r="M222" s="3" t="s">
        <v>27</v>
      </c>
      <c r="P222" s="10">
        <f t="shared" si="3"/>
        <v>0.13351302785265048</v>
      </c>
    </row>
    <row r="223" spans="1:16" x14ac:dyDescent="0.3">
      <c r="A223" s="3" t="s">
        <v>478</v>
      </c>
      <c r="B223" s="3" t="s">
        <v>40</v>
      </c>
      <c r="C223" s="4" t="s">
        <v>355</v>
      </c>
      <c r="D223" s="3" t="s">
        <v>42</v>
      </c>
      <c r="E223" s="11" t="s">
        <v>43</v>
      </c>
      <c r="F223" s="5">
        <v>2089</v>
      </c>
      <c r="G223" s="5">
        <v>476</v>
      </c>
      <c r="H223" s="5">
        <v>69</v>
      </c>
      <c r="I223" s="5">
        <v>16712</v>
      </c>
      <c r="J223" s="5">
        <v>16309</v>
      </c>
      <c r="K223" s="5">
        <v>64</v>
      </c>
      <c r="L223" s="3" t="s">
        <v>28</v>
      </c>
      <c r="M223" s="3" t="s">
        <v>59</v>
      </c>
      <c r="P223" s="10">
        <f t="shared" si="3"/>
        <v>0.15761129727142173</v>
      </c>
    </row>
    <row r="224" spans="1:16" x14ac:dyDescent="0.3">
      <c r="A224" s="3" t="s">
        <v>459</v>
      </c>
      <c r="B224" s="3" t="s">
        <v>13</v>
      </c>
      <c r="C224" s="4" t="s">
        <v>74</v>
      </c>
      <c r="D224" s="3" t="s">
        <v>42</v>
      </c>
      <c r="E224" s="11" t="s">
        <v>46</v>
      </c>
      <c r="F224" s="5">
        <v>929</v>
      </c>
      <c r="G224" s="5">
        <v>192</v>
      </c>
      <c r="H224" s="5">
        <v>322</v>
      </c>
      <c r="I224" s="5">
        <v>16722</v>
      </c>
      <c r="J224" s="5">
        <v>15996</v>
      </c>
      <c r="K224" s="5">
        <v>145</v>
      </c>
      <c r="L224" s="3" t="s">
        <v>28</v>
      </c>
      <c r="M224" s="3" t="s">
        <v>34</v>
      </c>
      <c r="N224" t="s">
        <v>27</v>
      </c>
      <c r="O224" t="s">
        <v>600</v>
      </c>
      <c r="P224" s="10">
        <f t="shared" si="3"/>
        <v>8.6293505561535699E-2</v>
      </c>
    </row>
    <row r="225" spans="1:16" x14ac:dyDescent="0.3">
      <c r="A225" s="3" t="s">
        <v>112</v>
      </c>
      <c r="B225" s="3" t="s">
        <v>40</v>
      </c>
      <c r="C225" s="4" t="s">
        <v>113</v>
      </c>
      <c r="D225" s="3" t="s">
        <v>49</v>
      </c>
      <c r="E225" s="11" t="s">
        <v>56</v>
      </c>
      <c r="F225" s="5">
        <v>1407</v>
      </c>
      <c r="G225" s="5">
        <v>400</v>
      </c>
      <c r="H225" s="5">
        <v>351</v>
      </c>
      <c r="I225" s="5">
        <v>16884</v>
      </c>
      <c r="J225" s="5">
        <v>15954</v>
      </c>
      <c r="K225" s="5">
        <v>113</v>
      </c>
      <c r="L225" s="3" t="s">
        <v>17</v>
      </c>
      <c r="M225" s="3" t="s">
        <v>27</v>
      </c>
      <c r="P225" s="10">
        <f t="shared" si="3"/>
        <v>0.12781331438047855</v>
      </c>
    </row>
    <row r="226" spans="1:16" x14ac:dyDescent="0.3">
      <c r="A226" s="3" t="s">
        <v>80</v>
      </c>
      <c r="B226" s="3" t="s">
        <v>30</v>
      </c>
      <c r="C226" s="4" t="s">
        <v>81</v>
      </c>
      <c r="D226" s="3" t="s">
        <v>71</v>
      </c>
      <c r="E226" s="11" t="s">
        <v>82</v>
      </c>
      <c r="F226" s="5">
        <v>1071</v>
      </c>
      <c r="G226" s="5">
        <v>519</v>
      </c>
      <c r="H226" s="5">
        <v>22</v>
      </c>
      <c r="I226" s="5">
        <v>16065</v>
      </c>
      <c r="J226" s="5">
        <v>15865</v>
      </c>
      <c r="K226" s="5">
        <v>103</v>
      </c>
      <c r="L226" s="3" t="s">
        <v>35</v>
      </c>
      <c r="M226" s="3" t="s">
        <v>27</v>
      </c>
      <c r="P226" s="10">
        <f t="shared" si="3"/>
        <v>0.10034235916588857</v>
      </c>
    </row>
    <row r="227" spans="1:16" x14ac:dyDescent="0.3">
      <c r="A227" s="3" t="s">
        <v>544</v>
      </c>
      <c r="B227" s="3" t="s">
        <v>13</v>
      </c>
      <c r="C227" s="4" t="s">
        <v>426</v>
      </c>
      <c r="D227" s="3" t="s">
        <v>49</v>
      </c>
      <c r="E227" s="11" t="s">
        <v>128</v>
      </c>
      <c r="F227" s="5">
        <v>1952</v>
      </c>
      <c r="G227" s="5">
        <v>344</v>
      </c>
      <c r="H227" s="5">
        <v>287</v>
      </c>
      <c r="I227" s="5">
        <v>15616</v>
      </c>
      <c r="J227" s="5">
        <v>15403</v>
      </c>
      <c r="K227" s="5">
        <v>235</v>
      </c>
      <c r="L227" s="3" t="s">
        <v>22</v>
      </c>
      <c r="M227" s="3" t="s">
        <v>59</v>
      </c>
      <c r="N227" t="s">
        <v>27</v>
      </c>
      <c r="O227" t="s">
        <v>600</v>
      </c>
      <c r="P227" s="10">
        <f t="shared" si="3"/>
        <v>0.16540727459016394</v>
      </c>
    </row>
    <row r="228" spans="1:16" x14ac:dyDescent="0.3">
      <c r="A228" s="3" t="s">
        <v>360</v>
      </c>
      <c r="B228" s="3" t="s">
        <v>13</v>
      </c>
      <c r="C228" s="4" t="s">
        <v>361</v>
      </c>
      <c r="D228" s="3" t="s">
        <v>71</v>
      </c>
      <c r="E228" s="11" t="s">
        <v>141</v>
      </c>
      <c r="F228" s="5">
        <v>1330</v>
      </c>
      <c r="G228" s="5">
        <v>925</v>
      </c>
      <c r="H228" s="5">
        <v>35</v>
      </c>
      <c r="I228" s="5">
        <v>15960</v>
      </c>
      <c r="J228" s="5">
        <v>15379</v>
      </c>
      <c r="K228" s="5">
        <v>229</v>
      </c>
      <c r="L228" s="3" t="s">
        <v>28</v>
      </c>
      <c r="M228" s="3" t="s">
        <v>59</v>
      </c>
      <c r="P228" s="10">
        <f t="shared" si="3"/>
        <v>0.14348370927318296</v>
      </c>
    </row>
    <row r="229" spans="1:16" x14ac:dyDescent="0.3">
      <c r="A229" s="3" t="s">
        <v>183</v>
      </c>
      <c r="B229" s="3" t="s">
        <v>30</v>
      </c>
      <c r="C229" s="4" t="s">
        <v>184</v>
      </c>
      <c r="D229" s="3" t="s">
        <v>32</v>
      </c>
      <c r="E229" s="11" t="s">
        <v>33</v>
      </c>
      <c r="F229" s="5">
        <v>2610</v>
      </c>
      <c r="G229" s="5">
        <v>126</v>
      </c>
      <c r="H229" s="5">
        <v>288</v>
      </c>
      <c r="I229" s="5">
        <v>15660</v>
      </c>
      <c r="J229" s="5">
        <v>15145</v>
      </c>
      <c r="K229" s="5">
        <v>73</v>
      </c>
      <c r="L229" s="6"/>
      <c r="M229" s="3" t="s">
        <v>34</v>
      </c>
      <c r="P229" s="10">
        <f t="shared" si="3"/>
        <v>0.19310344827586207</v>
      </c>
    </row>
    <row r="230" spans="1:16" x14ac:dyDescent="0.3">
      <c r="A230" s="3" t="s">
        <v>198</v>
      </c>
      <c r="B230" s="3" t="s">
        <v>13</v>
      </c>
      <c r="C230" s="4" t="s">
        <v>199</v>
      </c>
      <c r="D230" s="3" t="s">
        <v>32</v>
      </c>
      <c r="E230" s="11" t="s">
        <v>145</v>
      </c>
      <c r="F230" s="5">
        <v>1121</v>
      </c>
      <c r="G230" s="5">
        <v>135</v>
      </c>
      <c r="H230" s="5">
        <v>18</v>
      </c>
      <c r="I230" s="5">
        <v>15694</v>
      </c>
      <c r="J230" s="5">
        <v>14957</v>
      </c>
      <c r="K230" s="5">
        <v>99</v>
      </c>
      <c r="L230" s="3" t="s">
        <v>35</v>
      </c>
      <c r="M230" s="3" t="s">
        <v>27</v>
      </c>
      <c r="P230" s="10">
        <f t="shared" si="3"/>
        <v>8.1177520071364848E-2</v>
      </c>
    </row>
    <row r="231" spans="1:16" x14ac:dyDescent="0.3">
      <c r="A231" s="3" t="s">
        <v>222</v>
      </c>
      <c r="B231" s="3" t="s">
        <v>13</v>
      </c>
      <c r="C231" s="4" t="s">
        <v>223</v>
      </c>
      <c r="D231" s="3" t="s">
        <v>49</v>
      </c>
      <c r="E231" s="11" t="s">
        <v>128</v>
      </c>
      <c r="F231" s="5">
        <v>2214</v>
      </c>
      <c r="G231" s="5">
        <v>249</v>
      </c>
      <c r="H231" s="5">
        <v>152</v>
      </c>
      <c r="I231" s="5">
        <v>15498</v>
      </c>
      <c r="J231" s="5">
        <v>14800</v>
      </c>
      <c r="K231" s="5">
        <v>180</v>
      </c>
      <c r="L231" s="6"/>
      <c r="M231" s="3" t="s">
        <v>34</v>
      </c>
      <c r="P231" s="10">
        <f t="shared" si="3"/>
        <v>0.16873144921925409</v>
      </c>
    </row>
    <row r="232" spans="1:16" x14ac:dyDescent="0.3">
      <c r="A232" s="3" t="s">
        <v>303</v>
      </c>
      <c r="B232" s="3" t="s">
        <v>40</v>
      </c>
      <c r="C232" s="4" t="s">
        <v>111</v>
      </c>
      <c r="D232" s="3" t="s">
        <v>71</v>
      </c>
      <c r="E232" s="11" t="s">
        <v>72</v>
      </c>
      <c r="F232" s="5">
        <v>3008</v>
      </c>
      <c r="G232" s="5">
        <v>94</v>
      </c>
      <c r="H232" s="5">
        <v>37</v>
      </c>
      <c r="I232" s="5">
        <v>15040</v>
      </c>
      <c r="J232" s="5">
        <v>14639</v>
      </c>
      <c r="K232" s="5">
        <v>277</v>
      </c>
      <c r="L232" s="6"/>
      <c r="M232" s="3" t="s">
        <v>59</v>
      </c>
      <c r="P232" s="10">
        <f t="shared" si="3"/>
        <v>0.20871010638297871</v>
      </c>
    </row>
    <row r="233" spans="1:16" x14ac:dyDescent="0.3">
      <c r="A233" s="3" t="s">
        <v>429</v>
      </c>
      <c r="B233" s="3" t="s">
        <v>40</v>
      </c>
      <c r="C233" s="4" t="s">
        <v>247</v>
      </c>
      <c r="D233" s="3" t="s">
        <v>42</v>
      </c>
      <c r="E233" s="11" t="s">
        <v>43</v>
      </c>
      <c r="F233" s="5">
        <v>1869</v>
      </c>
      <c r="G233" s="5">
        <v>453</v>
      </c>
      <c r="H233" s="5">
        <v>490</v>
      </c>
      <c r="I233" s="5">
        <v>14952</v>
      </c>
      <c r="J233" s="5">
        <v>14309</v>
      </c>
      <c r="K233" s="5">
        <v>275</v>
      </c>
      <c r="L233" s="3" t="s">
        <v>35</v>
      </c>
      <c r="M233" s="3" t="s">
        <v>27</v>
      </c>
      <c r="P233" s="10">
        <f t="shared" si="3"/>
        <v>0.18806848582129482</v>
      </c>
    </row>
    <row r="234" spans="1:16" x14ac:dyDescent="0.3">
      <c r="A234" s="3" t="s">
        <v>404</v>
      </c>
      <c r="B234" s="3" t="s">
        <v>13</v>
      </c>
      <c r="C234" s="4" t="s">
        <v>405</v>
      </c>
      <c r="D234" s="3" t="s">
        <v>15</v>
      </c>
      <c r="E234" s="11" t="s">
        <v>16</v>
      </c>
      <c r="F234" s="5">
        <v>802</v>
      </c>
      <c r="G234" s="5">
        <v>262</v>
      </c>
      <c r="H234" s="5">
        <v>244</v>
      </c>
      <c r="I234" s="5">
        <v>14436</v>
      </c>
      <c r="J234" s="5">
        <v>14280</v>
      </c>
      <c r="K234" s="5">
        <v>49</v>
      </c>
      <c r="L234" s="3" t="s">
        <v>17</v>
      </c>
      <c r="M234" s="3" t="s">
        <v>34</v>
      </c>
      <c r="P234" s="10">
        <f t="shared" si="3"/>
        <v>9.0606816292601824E-2</v>
      </c>
    </row>
    <row r="235" spans="1:16" x14ac:dyDescent="0.3">
      <c r="A235" s="3" t="s">
        <v>474</v>
      </c>
      <c r="B235" s="3" t="s">
        <v>13</v>
      </c>
      <c r="C235" s="4" t="s">
        <v>420</v>
      </c>
      <c r="D235" s="3" t="s">
        <v>49</v>
      </c>
      <c r="E235" s="11" t="s">
        <v>128</v>
      </c>
      <c r="F235" s="5">
        <v>827</v>
      </c>
      <c r="G235" s="5">
        <v>77</v>
      </c>
      <c r="H235" s="5">
        <v>402</v>
      </c>
      <c r="I235" s="5">
        <v>14886</v>
      </c>
      <c r="J235" s="5">
        <v>14129</v>
      </c>
      <c r="K235" s="5">
        <v>254</v>
      </c>
      <c r="L235" s="3" t="s">
        <v>22</v>
      </c>
      <c r="M235" s="3" t="s">
        <v>34</v>
      </c>
      <c r="P235" s="10">
        <f t="shared" si="3"/>
        <v>8.7733440816874911E-2</v>
      </c>
    </row>
    <row r="236" spans="1:16" x14ac:dyDescent="0.3">
      <c r="A236" s="3" t="s">
        <v>158</v>
      </c>
      <c r="B236" s="3" t="s">
        <v>40</v>
      </c>
      <c r="C236" s="4" t="s">
        <v>159</v>
      </c>
      <c r="D236" s="3" t="s">
        <v>49</v>
      </c>
      <c r="E236" s="11" t="s">
        <v>56</v>
      </c>
      <c r="F236" s="5">
        <v>1226</v>
      </c>
      <c r="G236" s="5">
        <v>119</v>
      </c>
      <c r="H236" s="5">
        <v>7</v>
      </c>
      <c r="I236" s="5">
        <v>14712</v>
      </c>
      <c r="J236" s="5">
        <v>14049</v>
      </c>
      <c r="K236" s="5">
        <v>123</v>
      </c>
      <c r="L236" s="3" t="s">
        <v>35</v>
      </c>
      <c r="M236" s="3" t="s">
        <v>34</v>
      </c>
      <c r="P236" s="10">
        <f t="shared" si="3"/>
        <v>9.1897770527460579E-2</v>
      </c>
    </row>
    <row r="237" spans="1:16" x14ac:dyDescent="0.3">
      <c r="A237" s="3" t="s">
        <v>412</v>
      </c>
      <c r="B237" s="3" t="s">
        <v>13</v>
      </c>
      <c r="C237" s="4" t="s">
        <v>45</v>
      </c>
      <c r="D237" s="3" t="s">
        <v>20</v>
      </c>
      <c r="E237" s="11" t="s">
        <v>21</v>
      </c>
      <c r="F237" s="5">
        <v>941</v>
      </c>
      <c r="G237" s="5">
        <v>121</v>
      </c>
      <c r="H237" s="5">
        <v>458</v>
      </c>
      <c r="I237" s="5">
        <v>14115</v>
      </c>
      <c r="J237" s="5">
        <v>13838</v>
      </c>
      <c r="K237" s="5">
        <v>87</v>
      </c>
      <c r="L237" s="3" t="s">
        <v>17</v>
      </c>
      <c r="M237" s="3" t="s">
        <v>34</v>
      </c>
      <c r="P237" s="10">
        <f t="shared" si="3"/>
        <v>0.10768685795253277</v>
      </c>
    </row>
    <row r="238" spans="1:16" x14ac:dyDescent="0.3">
      <c r="A238" s="3" t="s">
        <v>207</v>
      </c>
      <c r="B238" s="3" t="s">
        <v>30</v>
      </c>
      <c r="C238" s="4" t="s">
        <v>208</v>
      </c>
      <c r="D238" s="3" t="s">
        <v>49</v>
      </c>
      <c r="E238" s="11" t="s">
        <v>209</v>
      </c>
      <c r="F238" s="5">
        <v>725</v>
      </c>
      <c r="G238" s="5">
        <v>88</v>
      </c>
      <c r="H238" s="5">
        <v>428</v>
      </c>
      <c r="I238" s="5">
        <v>14500</v>
      </c>
      <c r="J238" s="5">
        <v>13637</v>
      </c>
      <c r="K238" s="5">
        <v>200</v>
      </c>
      <c r="L238" s="3" t="s">
        <v>28</v>
      </c>
      <c r="M238" s="3" t="s">
        <v>59</v>
      </c>
      <c r="N238" t="s">
        <v>27</v>
      </c>
      <c r="O238" t="s">
        <v>600</v>
      </c>
      <c r="P238" s="10">
        <f t="shared" si="3"/>
        <v>8.558620689655172E-2</v>
      </c>
    </row>
    <row r="239" spans="1:16" x14ac:dyDescent="0.3">
      <c r="A239" s="3" t="s">
        <v>389</v>
      </c>
      <c r="B239" s="3" t="s">
        <v>30</v>
      </c>
      <c r="C239" s="4" t="s">
        <v>390</v>
      </c>
      <c r="D239" s="3" t="s">
        <v>71</v>
      </c>
      <c r="E239" s="11" t="s">
        <v>82</v>
      </c>
      <c r="F239" s="5">
        <v>1176</v>
      </c>
      <c r="G239" s="5">
        <v>464</v>
      </c>
      <c r="H239" s="5">
        <v>394</v>
      </c>
      <c r="I239" s="5">
        <v>14112</v>
      </c>
      <c r="J239" s="5">
        <v>13588</v>
      </c>
      <c r="K239" s="5">
        <v>272</v>
      </c>
      <c r="L239" s="6"/>
      <c r="M239" s="3" t="s">
        <v>34</v>
      </c>
      <c r="P239" s="10">
        <f t="shared" si="3"/>
        <v>0.1441326530612245</v>
      </c>
    </row>
    <row r="240" spans="1:16" x14ac:dyDescent="0.3">
      <c r="A240" s="3" t="s">
        <v>218</v>
      </c>
      <c r="B240" s="3" t="s">
        <v>13</v>
      </c>
      <c r="C240" s="4" t="s">
        <v>219</v>
      </c>
      <c r="D240" s="3" t="s">
        <v>71</v>
      </c>
      <c r="E240" s="11" t="s">
        <v>141</v>
      </c>
      <c r="F240" s="5">
        <v>1436</v>
      </c>
      <c r="G240" s="5">
        <v>765</v>
      </c>
      <c r="H240" s="5">
        <v>496</v>
      </c>
      <c r="I240" s="5">
        <v>12924</v>
      </c>
      <c r="J240" s="5">
        <v>12701</v>
      </c>
      <c r="K240" s="5">
        <v>197</v>
      </c>
      <c r="L240" s="3" t="s">
        <v>28</v>
      </c>
      <c r="M240" s="3" t="s">
        <v>59</v>
      </c>
      <c r="P240" s="10">
        <f t="shared" si="3"/>
        <v>0.20868152274837512</v>
      </c>
    </row>
    <row r="241" spans="1:16" x14ac:dyDescent="0.3">
      <c r="A241" s="3" t="s">
        <v>110</v>
      </c>
      <c r="B241" s="3" t="s">
        <v>13</v>
      </c>
      <c r="C241" s="4" t="s">
        <v>111</v>
      </c>
      <c r="D241" s="3" t="s">
        <v>42</v>
      </c>
      <c r="E241" s="11" t="s">
        <v>46</v>
      </c>
      <c r="F241" s="5">
        <v>2278</v>
      </c>
      <c r="G241" s="5">
        <v>10</v>
      </c>
      <c r="H241" s="5">
        <v>321</v>
      </c>
      <c r="I241" s="5">
        <v>13668</v>
      </c>
      <c r="J241" s="5">
        <v>12676</v>
      </c>
      <c r="K241" s="5">
        <v>275</v>
      </c>
      <c r="L241" s="3" t="s">
        <v>17</v>
      </c>
      <c r="M241" s="3" t="s">
        <v>34</v>
      </c>
      <c r="P241" s="10">
        <f t="shared" si="3"/>
        <v>0.19088381621305239</v>
      </c>
    </row>
    <row r="242" spans="1:16" x14ac:dyDescent="0.3">
      <c r="A242" s="3" t="s">
        <v>419</v>
      </c>
      <c r="B242" s="3" t="s">
        <v>13</v>
      </c>
      <c r="C242" s="4" t="s">
        <v>420</v>
      </c>
      <c r="D242" s="3" t="s">
        <v>42</v>
      </c>
      <c r="E242" s="11" t="s">
        <v>46</v>
      </c>
      <c r="F242" s="5">
        <v>2120</v>
      </c>
      <c r="G242" s="5">
        <v>38</v>
      </c>
      <c r="H242" s="5">
        <v>212</v>
      </c>
      <c r="I242" s="5">
        <v>12720</v>
      </c>
      <c r="J242" s="5">
        <v>12564</v>
      </c>
      <c r="K242" s="5">
        <v>21</v>
      </c>
      <c r="L242" s="3" t="s">
        <v>35</v>
      </c>
      <c r="M242" s="3" t="s">
        <v>59</v>
      </c>
      <c r="P242" s="10">
        <f t="shared" si="3"/>
        <v>0.18632075471698112</v>
      </c>
    </row>
    <row r="243" spans="1:16" x14ac:dyDescent="0.3">
      <c r="A243" s="3" t="s">
        <v>103</v>
      </c>
      <c r="B243" s="3" t="s">
        <v>30</v>
      </c>
      <c r="C243" s="4" t="s">
        <v>104</v>
      </c>
      <c r="D243" s="3" t="s">
        <v>42</v>
      </c>
      <c r="E243" s="11" t="s">
        <v>85</v>
      </c>
      <c r="F243" s="5">
        <v>2566</v>
      </c>
      <c r="G243" s="5">
        <v>118</v>
      </c>
      <c r="H243" s="5">
        <v>37</v>
      </c>
      <c r="I243" s="5">
        <v>12830</v>
      </c>
      <c r="J243" s="5">
        <v>12264</v>
      </c>
      <c r="K243" s="5">
        <v>221</v>
      </c>
      <c r="L243" s="3" t="s">
        <v>28</v>
      </c>
      <c r="M243" s="3" t="s">
        <v>59</v>
      </c>
      <c r="P243" s="10">
        <f t="shared" si="3"/>
        <v>0.21208106001558846</v>
      </c>
    </row>
    <row r="244" spans="1:16" x14ac:dyDescent="0.3">
      <c r="A244" s="3" t="s">
        <v>133</v>
      </c>
      <c r="B244" s="3" t="s">
        <v>30</v>
      </c>
      <c r="C244" s="4" t="s">
        <v>134</v>
      </c>
      <c r="D244" s="3" t="s">
        <v>42</v>
      </c>
      <c r="E244" s="11" t="s">
        <v>85</v>
      </c>
      <c r="F244" s="5">
        <v>2174</v>
      </c>
      <c r="G244" s="5">
        <v>658</v>
      </c>
      <c r="H244" s="5">
        <v>15</v>
      </c>
      <c r="I244" s="5">
        <v>13044</v>
      </c>
      <c r="J244" s="5">
        <v>12206</v>
      </c>
      <c r="K244" s="5">
        <v>137</v>
      </c>
      <c r="L244" s="3" t="s">
        <v>28</v>
      </c>
      <c r="M244" s="3" t="s">
        <v>27</v>
      </c>
      <c r="P244" s="10">
        <f t="shared" si="3"/>
        <v>0.21826126954921804</v>
      </c>
    </row>
    <row r="245" spans="1:16" x14ac:dyDescent="0.3">
      <c r="A245" s="3" t="s">
        <v>494</v>
      </c>
      <c r="B245" s="3" t="s">
        <v>30</v>
      </c>
      <c r="C245" s="4" t="s">
        <v>495</v>
      </c>
      <c r="D245" s="3" t="s">
        <v>15</v>
      </c>
      <c r="E245" s="11" t="s">
        <v>79</v>
      </c>
      <c r="F245" s="5">
        <v>2603</v>
      </c>
      <c r="G245" s="5">
        <v>690</v>
      </c>
      <c r="H245" s="5">
        <v>205</v>
      </c>
      <c r="I245" s="5">
        <v>13015</v>
      </c>
      <c r="J245" s="5">
        <v>12130</v>
      </c>
      <c r="K245" s="5">
        <v>20</v>
      </c>
      <c r="L245" s="3" t="s">
        <v>22</v>
      </c>
      <c r="M245" s="3" t="s">
        <v>59</v>
      </c>
      <c r="P245" s="10">
        <f t="shared" si="3"/>
        <v>0.26876680752977333</v>
      </c>
    </row>
    <row r="246" spans="1:16" x14ac:dyDescent="0.3">
      <c r="A246" s="3" t="s">
        <v>337</v>
      </c>
      <c r="B246" s="3" t="s">
        <v>40</v>
      </c>
      <c r="C246" s="4" t="s">
        <v>125</v>
      </c>
      <c r="D246" s="3" t="s">
        <v>32</v>
      </c>
      <c r="E246" s="11" t="s">
        <v>68</v>
      </c>
      <c r="F246" s="5">
        <v>2120</v>
      </c>
      <c r="G246" s="5">
        <v>158</v>
      </c>
      <c r="H246" s="5">
        <v>488</v>
      </c>
      <c r="I246" s="5">
        <v>12720</v>
      </c>
      <c r="J246" s="5">
        <v>12085</v>
      </c>
      <c r="K246" s="5">
        <v>17</v>
      </c>
      <c r="L246" s="3" t="s">
        <v>22</v>
      </c>
      <c r="M246" s="3" t="s">
        <v>59</v>
      </c>
      <c r="P246" s="10">
        <f t="shared" si="3"/>
        <v>0.21745283018867925</v>
      </c>
    </row>
    <row r="247" spans="1:16" x14ac:dyDescent="0.3">
      <c r="A247" s="3" t="s">
        <v>538</v>
      </c>
      <c r="B247" s="3" t="s">
        <v>40</v>
      </c>
      <c r="C247" s="4" t="s">
        <v>539</v>
      </c>
      <c r="D247" s="3" t="s">
        <v>20</v>
      </c>
      <c r="E247" s="11" t="s">
        <v>53</v>
      </c>
      <c r="F247" s="5">
        <v>880</v>
      </c>
      <c r="G247" s="5">
        <v>297</v>
      </c>
      <c r="H247" s="5">
        <v>345</v>
      </c>
      <c r="I247" s="5">
        <v>12320</v>
      </c>
      <c r="J247" s="5">
        <v>11978</v>
      </c>
      <c r="K247" s="5">
        <v>238</v>
      </c>
      <c r="L247" s="6"/>
      <c r="M247" s="3" t="s">
        <v>27</v>
      </c>
      <c r="N247" t="s">
        <v>600</v>
      </c>
      <c r="P247" s="10">
        <f t="shared" si="3"/>
        <v>0.12353896103896105</v>
      </c>
    </row>
    <row r="248" spans="1:16" x14ac:dyDescent="0.3">
      <c r="A248" s="3" t="s">
        <v>454</v>
      </c>
      <c r="B248" s="3" t="s">
        <v>40</v>
      </c>
      <c r="C248" s="4" t="s">
        <v>78</v>
      </c>
      <c r="D248" s="3" t="s">
        <v>20</v>
      </c>
      <c r="E248" s="11" t="s">
        <v>53</v>
      </c>
      <c r="F248" s="5">
        <v>1257</v>
      </c>
      <c r="G248" s="5">
        <v>19</v>
      </c>
      <c r="H248" s="5">
        <v>351</v>
      </c>
      <c r="I248" s="5">
        <v>12570</v>
      </c>
      <c r="J248" s="5">
        <v>11660</v>
      </c>
      <c r="K248" s="5">
        <v>194</v>
      </c>
      <c r="L248" s="3" t="s">
        <v>22</v>
      </c>
      <c r="M248" s="3" t="s">
        <v>59</v>
      </c>
      <c r="N248" t="s">
        <v>600</v>
      </c>
      <c r="O248" t="s">
        <v>34</v>
      </c>
      <c r="P248" s="10">
        <f t="shared" si="3"/>
        <v>0.12943516308671441</v>
      </c>
    </row>
    <row r="249" spans="1:16" x14ac:dyDescent="0.3">
      <c r="A249" s="3" t="s">
        <v>348</v>
      </c>
      <c r="B249" s="3" t="s">
        <v>13</v>
      </c>
      <c r="C249" s="4" t="s">
        <v>67</v>
      </c>
      <c r="D249" s="3" t="s">
        <v>15</v>
      </c>
      <c r="E249" s="11" t="s">
        <v>16</v>
      </c>
      <c r="F249" s="5">
        <v>1076</v>
      </c>
      <c r="G249" s="5">
        <v>313</v>
      </c>
      <c r="H249" s="5">
        <v>306</v>
      </c>
      <c r="I249" s="5">
        <v>11836</v>
      </c>
      <c r="J249" s="5">
        <v>11596</v>
      </c>
      <c r="K249" s="5">
        <v>104</v>
      </c>
      <c r="L249" s="3" t="s">
        <v>17</v>
      </c>
      <c r="M249" s="3" t="s">
        <v>59</v>
      </c>
      <c r="P249" s="10">
        <f t="shared" si="3"/>
        <v>0.14320716458262928</v>
      </c>
    </row>
    <row r="250" spans="1:16" x14ac:dyDescent="0.3">
      <c r="A250" s="3" t="s">
        <v>168</v>
      </c>
      <c r="B250" s="3" t="s">
        <v>30</v>
      </c>
      <c r="C250" s="4" t="s">
        <v>169</v>
      </c>
      <c r="D250" s="3" t="s">
        <v>71</v>
      </c>
      <c r="E250" s="11" t="s">
        <v>82</v>
      </c>
      <c r="F250" s="5">
        <v>904</v>
      </c>
      <c r="G250" s="5">
        <v>973</v>
      </c>
      <c r="H250" s="5">
        <v>63</v>
      </c>
      <c r="I250" s="5">
        <v>11752</v>
      </c>
      <c r="J250" s="5">
        <v>11580</v>
      </c>
      <c r="K250" s="5">
        <v>84</v>
      </c>
      <c r="L250" s="3" t="s">
        <v>28</v>
      </c>
      <c r="M250" s="3" t="s">
        <v>34</v>
      </c>
      <c r="N250" t="s">
        <v>27</v>
      </c>
      <c r="O250" t="s">
        <v>600</v>
      </c>
      <c r="P250" s="10">
        <f t="shared" si="3"/>
        <v>0.1650782845473111</v>
      </c>
    </row>
    <row r="251" spans="1:16" x14ac:dyDescent="0.3">
      <c r="A251" s="3" t="s">
        <v>394</v>
      </c>
      <c r="B251" s="3" t="s">
        <v>30</v>
      </c>
      <c r="C251" s="4" t="s">
        <v>395</v>
      </c>
      <c r="D251" s="3" t="s">
        <v>42</v>
      </c>
      <c r="E251" s="11" t="s">
        <v>85</v>
      </c>
      <c r="F251" s="5">
        <v>914</v>
      </c>
      <c r="G251" s="5">
        <v>464</v>
      </c>
      <c r="H251" s="5">
        <v>246</v>
      </c>
      <c r="I251" s="5">
        <v>11882</v>
      </c>
      <c r="J251" s="5">
        <v>11500</v>
      </c>
      <c r="K251" s="5">
        <v>282</v>
      </c>
      <c r="L251" s="3" t="s">
        <v>35</v>
      </c>
      <c r="M251" s="3" t="s">
        <v>59</v>
      </c>
      <c r="N251" t="s">
        <v>27</v>
      </c>
      <c r="O251" t="s">
        <v>600</v>
      </c>
      <c r="P251" s="10">
        <f t="shared" si="3"/>
        <v>0.13667732704931829</v>
      </c>
    </row>
    <row r="252" spans="1:16" x14ac:dyDescent="0.3">
      <c r="A252" s="3" t="s">
        <v>131</v>
      </c>
      <c r="B252" s="3" t="s">
        <v>24</v>
      </c>
      <c r="C252" s="4" t="s">
        <v>132</v>
      </c>
      <c r="D252" s="3" t="s">
        <v>15</v>
      </c>
      <c r="E252" s="11" t="s">
        <v>26</v>
      </c>
      <c r="F252" s="5">
        <v>1543</v>
      </c>
      <c r="G252" s="5">
        <v>820</v>
      </c>
      <c r="H252" s="5">
        <v>333</v>
      </c>
      <c r="I252" s="5">
        <v>12344</v>
      </c>
      <c r="J252" s="5">
        <v>11496</v>
      </c>
      <c r="K252" s="5">
        <v>241</v>
      </c>
      <c r="L252" s="6"/>
      <c r="M252" s="3" t="s">
        <v>34</v>
      </c>
      <c r="P252" s="10">
        <f t="shared" si="3"/>
        <v>0.21840570317563188</v>
      </c>
    </row>
    <row r="253" spans="1:16" x14ac:dyDescent="0.3">
      <c r="A253" s="3" t="s">
        <v>498</v>
      </c>
      <c r="B253" s="3" t="s">
        <v>13</v>
      </c>
      <c r="C253" s="4" t="s">
        <v>499</v>
      </c>
      <c r="D253" s="3" t="s">
        <v>42</v>
      </c>
      <c r="E253" s="11" t="s">
        <v>46</v>
      </c>
      <c r="F253" s="5">
        <v>1877</v>
      </c>
      <c r="G253" s="5">
        <v>745</v>
      </c>
      <c r="H253" s="5">
        <v>225</v>
      </c>
      <c r="I253" s="5">
        <v>11262</v>
      </c>
      <c r="J253" s="5">
        <v>10967</v>
      </c>
      <c r="K253" s="5">
        <v>41</v>
      </c>
      <c r="L253" s="3" t="s">
        <v>35</v>
      </c>
      <c r="M253" s="3" t="s">
        <v>34</v>
      </c>
      <c r="P253" s="10">
        <f t="shared" si="3"/>
        <v>0.25279701651571657</v>
      </c>
    </row>
    <row r="254" spans="1:16" x14ac:dyDescent="0.3">
      <c r="A254" s="3" t="s">
        <v>410</v>
      </c>
      <c r="B254" s="3" t="s">
        <v>30</v>
      </c>
      <c r="C254" s="4" t="s">
        <v>327</v>
      </c>
      <c r="D254" s="3" t="s">
        <v>42</v>
      </c>
      <c r="E254" s="11" t="s">
        <v>85</v>
      </c>
      <c r="F254" s="5">
        <v>2234</v>
      </c>
      <c r="G254" s="5">
        <v>653</v>
      </c>
      <c r="H254" s="5">
        <v>432</v>
      </c>
      <c r="I254" s="5">
        <v>11170</v>
      </c>
      <c r="J254" s="5">
        <v>10569</v>
      </c>
      <c r="K254" s="5">
        <v>198</v>
      </c>
      <c r="L254" s="3" t="s">
        <v>28</v>
      </c>
      <c r="M254" s="3" t="s">
        <v>59</v>
      </c>
      <c r="P254" s="10">
        <f t="shared" si="3"/>
        <v>0.29713518352730528</v>
      </c>
    </row>
    <row r="255" spans="1:16" x14ac:dyDescent="0.3">
      <c r="A255" s="3" t="s">
        <v>547</v>
      </c>
      <c r="B255" s="3" t="s">
        <v>13</v>
      </c>
      <c r="C255" s="4" t="s">
        <v>548</v>
      </c>
      <c r="D255" s="3" t="s">
        <v>20</v>
      </c>
      <c r="E255" s="11" t="s">
        <v>21</v>
      </c>
      <c r="F255" s="5">
        <v>2166</v>
      </c>
      <c r="G255" s="5">
        <v>354</v>
      </c>
      <c r="H255" s="5">
        <v>117</v>
      </c>
      <c r="I255" s="5">
        <v>10830</v>
      </c>
      <c r="J255" s="5">
        <v>10245</v>
      </c>
      <c r="K255" s="5">
        <v>24</v>
      </c>
      <c r="L255" s="3" t="s">
        <v>35</v>
      </c>
      <c r="M255" s="3" t="s">
        <v>34</v>
      </c>
      <c r="P255" s="10">
        <f t="shared" si="3"/>
        <v>0.24349030470914126</v>
      </c>
    </row>
    <row r="256" spans="1:16" x14ac:dyDescent="0.3">
      <c r="A256" s="3" t="s">
        <v>153</v>
      </c>
      <c r="B256" s="3" t="s">
        <v>40</v>
      </c>
      <c r="C256" s="4" t="s">
        <v>154</v>
      </c>
      <c r="D256" s="3" t="s">
        <v>49</v>
      </c>
      <c r="E256" s="11" t="s">
        <v>56</v>
      </c>
      <c r="F256" s="5">
        <v>947</v>
      </c>
      <c r="G256" s="5">
        <v>338</v>
      </c>
      <c r="H256" s="5">
        <v>350</v>
      </c>
      <c r="I256" s="5">
        <v>10417</v>
      </c>
      <c r="J256" s="5">
        <v>9730</v>
      </c>
      <c r="K256" s="5">
        <v>34</v>
      </c>
      <c r="L256" s="3" t="s">
        <v>35</v>
      </c>
      <c r="M256" s="3" t="s">
        <v>27</v>
      </c>
      <c r="P256" s="10">
        <f t="shared" si="3"/>
        <v>0.1569549774407219</v>
      </c>
    </row>
    <row r="257" spans="1:16" x14ac:dyDescent="0.3">
      <c r="A257" s="3" t="s">
        <v>210</v>
      </c>
      <c r="B257" s="3" t="s">
        <v>24</v>
      </c>
      <c r="C257" s="4" t="s">
        <v>211</v>
      </c>
      <c r="D257" s="3" t="s">
        <v>71</v>
      </c>
      <c r="E257" s="11" t="s">
        <v>212</v>
      </c>
      <c r="F257" s="5">
        <v>1094</v>
      </c>
      <c r="G257" s="5">
        <v>472</v>
      </c>
      <c r="H257" s="5">
        <v>21</v>
      </c>
      <c r="I257" s="5">
        <v>9846</v>
      </c>
      <c r="J257" s="5">
        <v>9609</v>
      </c>
      <c r="K257" s="5">
        <v>112</v>
      </c>
      <c r="L257" s="6"/>
      <c r="M257" s="3" t="s">
        <v>34</v>
      </c>
      <c r="P257" s="10">
        <f t="shared" si="3"/>
        <v>0.16118220597196831</v>
      </c>
    </row>
    <row r="258" spans="1:16" x14ac:dyDescent="0.3">
      <c r="A258" s="3" t="s">
        <v>527</v>
      </c>
      <c r="B258" s="3" t="s">
        <v>13</v>
      </c>
      <c r="C258" s="4" t="s">
        <v>99</v>
      </c>
      <c r="D258" s="3" t="s">
        <v>20</v>
      </c>
      <c r="E258" s="11" t="s">
        <v>21</v>
      </c>
      <c r="F258" s="5">
        <v>571</v>
      </c>
      <c r="G258" s="5">
        <v>190</v>
      </c>
      <c r="H258" s="5">
        <v>352</v>
      </c>
      <c r="I258" s="5">
        <v>9707</v>
      </c>
      <c r="J258" s="5">
        <v>9418</v>
      </c>
      <c r="K258" s="5">
        <v>231</v>
      </c>
      <c r="L258" s="3" t="s">
        <v>35</v>
      </c>
      <c r="M258" s="3" t="s">
        <v>27</v>
      </c>
      <c r="P258" s="10">
        <f t="shared" ref="P258:P301" si="4">(F258+G258+H258)/I258</f>
        <v>0.11465952405480581</v>
      </c>
    </row>
    <row r="259" spans="1:16" x14ac:dyDescent="0.3">
      <c r="A259" s="3" t="s">
        <v>493</v>
      </c>
      <c r="B259" s="3" t="s">
        <v>24</v>
      </c>
      <c r="C259" s="4" t="s">
        <v>461</v>
      </c>
      <c r="D259" s="3" t="s">
        <v>49</v>
      </c>
      <c r="E259" s="11" t="s">
        <v>50</v>
      </c>
      <c r="F259" s="5">
        <v>1206</v>
      </c>
      <c r="G259" s="5">
        <v>238</v>
      </c>
      <c r="H259" s="5">
        <v>36</v>
      </c>
      <c r="I259" s="5">
        <v>9648</v>
      </c>
      <c r="J259" s="5">
        <v>9417</v>
      </c>
      <c r="K259" s="5">
        <v>237</v>
      </c>
      <c r="L259" s="6"/>
      <c r="M259" s="3" t="s">
        <v>27</v>
      </c>
      <c r="P259" s="10">
        <f t="shared" si="4"/>
        <v>0.15339966832504145</v>
      </c>
    </row>
    <row r="260" spans="1:16" x14ac:dyDescent="0.3">
      <c r="A260" s="3" t="s">
        <v>277</v>
      </c>
      <c r="B260" s="3" t="s">
        <v>30</v>
      </c>
      <c r="C260" s="4" t="s">
        <v>278</v>
      </c>
      <c r="D260" s="3" t="s">
        <v>15</v>
      </c>
      <c r="E260" s="11" t="s">
        <v>79</v>
      </c>
      <c r="F260" s="5">
        <v>1970</v>
      </c>
      <c r="G260" s="5">
        <v>675</v>
      </c>
      <c r="H260" s="5">
        <v>478</v>
      </c>
      <c r="I260" s="5">
        <v>9850</v>
      </c>
      <c r="J260" s="5">
        <v>8924</v>
      </c>
      <c r="K260" s="5">
        <v>117</v>
      </c>
      <c r="L260" s="6"/>
      <c r="M260" s="3" t="s">
        <v>59</v>
      </c>
      <c r="P260" s="10">
        <f t="shared" si="4"/>
        <v>0.31705583756345179</v>
      </c>
    </row>
    <row r="261" spans="1:16" x14ac:dyDescent="0.3">
      <c r="A261" s="3" t="s">
        <v>399</v>
      </c>
      <c r="B261" s="3" t="s">
        <v>13</v>
      </c>
      <c r="C261" s="4" t="s">
        <v>400</v>
      </c>
      <c r="D261" s="3" t="s">
        <v>49</v>
      </c>
      <c r="E261" s="11" t="s">
        <v>128</v>
      </c>
      <c r="F261" s="5">
        <v>1048</v>
      </c>
      <c r="G261" s="5">
        <v>374</v>
      </c>
      <c r="H261" s="5">
        <v>450</v>
      </c>
      <c r="I261" s="5">
        <v>9432</v>
      </c>
      <c r="J261" s="5">
        <v>8882</v>
      </c>
      <c r="K261" s="5">
        <v>158</v>
      </c>
      <c r="L261" s="3" t="s">
        <v>28</v>
      </c>
      <c r="M261" s="3" t="s">
        <v>27</v>
      </c>
      <c r="P261" s="10">
        <f t="shared" si="4"/>
        <v>0.19847328244274809</v>
      </c>
    </row>
    <row r="262" spans="1:16" x14ac:dyDescent="0.3">
      <c r="A262" s="3" t="s">
        <v>514</v>
      </c>
      <c r="B262" s="3" t="s">
        <v>13</v>
      </c>
      <c r="C262" s="4" t="s">
        <v>515</v>
      </c>
      <c r="D262" s="3" t="s">
        <v>42</v>
      </c>
      <c r="E262" s="11" t="s">
        <v>46</v>
      </c>
      <c r="F262" s="5">
        <v>1556</v>
      </c>
      <c r="G262" s="5">
        <v>195</v>
      </c>
      <c r="H262" s="5">
        <v>131</v>
      </c>
      <c r="I262" s="5">
        <v>9336</v>
      </c>
      <c r="J262" s="5">
        <v>8875</v>
      </c>
      <c r="K262" s="5">
        <v>137</v>
      </c>
      <c r="L262" s="3" t="s">
        <v>22</v>
      </c>
      <c r="M262" s="3" t="s">
        <v>27</v>
      </c>
      <c r="P262" s="10">
        <f t="shared" si="4"/>
        <v>0.2015852613538989</v>
      </c>
    </row>
    <row r="263" spans="1:16" x14ac:dyDescent="0.3">
      <c r="A263" s="3" t="s">
        <v>139</v>
      </c>
      <c r="B263" s="3" t="s">
        <v>13</v>
      </c>
      <c r="C263" s="4" t="s">
        <v>140</v>
      </c>
      <c r="D263" s="3" t="s">
        <v>71</v>
      </c>
      <c r="E263" s="11" t="s">
        <v>141</v>
      </c>
      <c r="F263" s="5">
        <v>1108</v>
      </c>
      <c r="G263" s="5">
        <v>177</v>
      </c>
      <c r="H263" s="5">
        <v>212</v>
      </c>
      <c r="I263" s="5">
        <v>8864</v>
      </c>
      <c r="J263" s="5">
        <v>8710</v>
      </c>
      <c r="K263" s="5">
        <v>97</v>
      </c>
      <c r="L263" s="3" t="s">
        <v>35</v>
      </c>
      <c r="M263" s="3" t="s">
        <v>27</v>
      </c>
      <c r="P263" s="10">
        <f t="shared" si="4"/>
        <v>0.16888537906137185</v>
      </c>
    </row>
    <row r="264" spans="1:16" x14ac:dyDescent="0.3">
      <c r="A264" s="3" t="s">
        <v>200</v>
      </c>
      <c r="B264" s="3" t="s">
        <v>40</v>
      </c>
      <c r="C264" s="4" t="s">
        <v>102</v>
      </c>
      <c r="D264" s="3" t="s">
        <v>32</v>
      </c>
      <c r="E264" s="11" t="s">
        <v>68</v>
      </c>
      <c r="F264" s="5">
        <v>1249</v>
      </c>
      <c r="G264" s="5">
        <v>116</v>
      </c>
      <c r="H264" s="5">
        <v>420</v>
      </c>
      <c r="I264" s="5">
        <v>8743</v>
      </c>
      <c r="J264" s="5">
        <v>8538</v>
      </c>
      <c r="K264" s="5">
        <v>63</v>
      </c>
      <c r="L264" s="6"/>
      <c r="M264" s="3" t="s">
        <v>27</v>
      </c>
      <c r="P264" s="10">
        <f t="shared" si="4"/>
        <v>0.20416333066453163</v>
      </c>
    </row>
    <row r="265" spans="1:16" x14ac:dyDescent="0.3">
      <c r="A265" s="3" t="s">
        <v>229</v>
      </c>
      <c r="B265" s="3" t="s">
        <v>30</v>
      </c>
      <c r="C265" s="4" t="s">
        <v>230</v>
      </c>
      <c r="D265" s="3" t="s">
        <v>71</v>
      </c>
      <c r="E265" s="11" t="s">
        <v>82</v>
      </c>
      <c r="F265" s="5">
        <v>1431</v>
      </c>
      <c r="G265" s="5">
        <v>951</v>
      </c>
      <c r="H265" s="5">
        <v>26</v>
      </c>
      <c r="I265" s="5">
        <v>8586</v>
      </c>
      <c r="J265" s="5">
        <v>8396</v>
      </c>
      <c r="K265" s="5">
        <v>150</v>
      </c>
      <c r="L265" s="3" t="s">
        <v>28</v>
      </c>
      <c r="M265" s="3" t="s">
        <v>34</v>
      </c>
      <c r="P265" s="10">
        <f t="shared" si="4"/>
        <v>0.28045655718611695</v>
      </c>
    </row>
    <row r="266" spans="1:16" x14ac:dyDescent="0.3">
      <c r="A266" s="3" t="s">
        <v>439</v>
      </c>
      <c r="B266" s="3" t="s">
        <v>30</v>
      </c>
      <c r="C266" s="4" t="s">
        <v>440</v>
      </c>
      <c r="D266" s="3" t="s">
        <v>42</v>
      </c>
      <c r="E266" s="11" t="s">
        <v>85</v>
      </c>
      <c r="F266" s="5">
        <v>1741</v>
      </c>
      <c r="G266" s="5">
        <v>164</v>
      </c>
      <c r="H266" s="5">
        <v>318</v>
      </c>
      <c r="I266" s="5">
        <v>8705</v>
      </c>
      <c r="J266" s="5">
        <v>8272</v>
      </c>
      <c r="K266" s="5">
        <v>121</v>
      </c>
      <c r="L266" s="6"/>
      <c r="M266" s="3" t="s">
        <v>27</v>
      </c>
      <c r="P266" s="10">
        <f t="shared" si="4"/>
        <v>0.25537047673750718</v>
      </c>
    </row>
    <row r="267" spans="1:16" x14ac:dyDescent="0.3">
      <c r="A267" s="3" t="s">
        <v>279</v>
      </c>
      <c r="B267" s="3" t="s">
        <v>40</v>
      </c>
      <c r="C267" s="4" t="s">
        <v>163</v>
      </c>
      <c r="D267" s="3" t="s">
        <v>32</v>
      </c>
      <c r="E267" s="11" t="s">
        <v>68</v>
      </c>
      <c r="F267" s="5">
        <v>780</v>
      </c>
      <c r="G267" s="5">
        <v>928</v>
      </c>
      <c r="H267" s="5">
        <v>301</v>
      </c>
      <c r="I267" s="5">
        <v>8580</v>
      </c>
      <c r="J267" s="5">
        <v>8081</v>
      </c>
      <c r="K267" s="5">
        <v>91</v>
      </c>
      <c r="L267" s="3" t="s">
        <v>28</v>
      </c>
      <c r="M267" s="3" t="s">
        <v>34</v>
      </c>
      <c r="P267" s="10">
        <f t="shared" si="4"/>
        <v>0.23414918414918415</v>
      </c>
    </row>
    <row r="268" spans="1:16" x14ac:dyDescent="0.3">
      <c r="A268" s="3" t="s">
        <v>372</v>
      </c>
      <c r="B268" s="3" t="s">
        <v>24</v>
      </c>
      <c r="C268" s="4" t="s">
        <v>373</v>
      </c>
      <c r="D268" s="3" t="s">
        <v>49</v>
      </c>
      <c r="E268" s="11" t="s">
        <v>50</v>
      </c>
      <c r="F268" s="5">
        <v>606</v>
      </c>
      <c r="G268" s="5">
        <v>789</v>
      </c>
      <c r="H268" s="5">
        <v>470</v>
      </c>
      <c r="I268" s="5">
        <v>7878</v>
      </c>
      <c r="J268" s="5">
        <v>7389</v>
      </c>
      <c r="K268" s="5">
        <v>239</v>
      </c>
      <c r="L268" s="3" t="s">
        <v>28</v>
      </c>
      <c r="M268" s="3" t="s">
        <v>34</v>
      </c>
      <c r="P268" s="10">
        <f t="shared" si="4"/>
        <v>0.23673521198273673</v>
      </c>
    </row>
    <row r="269" spans="1:16" x14ac:dyDescent="0.3">
      <c r="A269" s="3" t="s">
        <v>129</v>
      </c>
      <c r="B269" s="3" t="s">
        <v>30</v>
      </c>
      <c r="C269" s="4" t="s">
        <v>130</v>
      </c>
      <c r="D269" s="3" t="s">
        <v>15</v>
      </c>
      <c r="E269" s="11" t="s">
        <v>79</v>
      </c>
      <c r="F269" s="5">
        <v>456</v>
      </c>
      <c r="G269" s="5">
        <v>629</v>
      </c>
      <c r="H269" s="5">
        <v>428</v>
      </c>
      <c r="I269" s="5">
        <v>8208</v>
      </c>
      <c r="J269" s="5">
        <v>7377</v>
      </c>
      <c r="K269" s="5">
        <v>205</v>
      </c>
      <c r="L269" s="3" t="s">
        <v>35</v>
      </c>
      <c r="M269" s="3" t="s">
        <v>59</v>
      </c>
      <c r="P269" s="10">
        <f t="shared" si="4"/>
        <v>0.18433235867446393</v>
      </c>
    </row>
    <row r="270" spans="1:16" x14ac:dyDescent="0.3">
      <c r="A270" s="3" t="s">
        <v>328</v>
      </c>
      <c r="B270" s="3" t="s">
        <v>30</v>
      </c>
      <c r="C270" s="4" t="s">
        <v>203</v>
      </c>
      <c r="D270" s="3" t="s">
        <v>42</v>
      </c>
      <c r="E270" s="11" t="s">
        <v>85</v>
      </c>
      <c r="F270" s="5">
        <v>985</v>
      </c>
      <c r="G270" s="5">
        <v>932</v>
      </c>
      <c r="H270" s="5">
        <v>287</v>
      </c>
      <c r="I270" s="5">
        <v>6895</v>
      </c>
      <c r="J270" s="5">
        <v>6757</v>
      </c>
      <c r="K270" s="5">
        <v>64</v>
      </c>
      <c r="L270" s="3" t="s">
        <v>35</v>
      </c>
      <c r="M270" s="3" t="s">
        <v>59</v>
      </c>
      <c r="P270" s="10">
        <f t="shared" si="4"/>
        <v>0.31965192168237855</v>
      </c>
    </row>
    <row r="271" spans="1:16" x14ac:dyDescent="0.3">
      <c r="A271" s="3" t="s">
        <v>531</v>
      </c>
      <c r="B271" s="3" t="s">
        <v>30</v>
      </c>
      <c r="C271" s="4" t="s">
        <v>395</v>
      </c>
      <c r="D271" s="3" t="s">
        <v>15</v>
      </c>
      <c r="E271" s="11" t="s">
        <v>79</v>
      </c>
      <c r="F271" s="5">
        <v>1164</v>
      </c>
      <c r="G271" s="5">
        <v>616</v>
      </c>
      <c r="H271" s="5">
        <v>324</v>
      </c>
      <c r="I271" s="5">
        <v>6984</v>
      </c>
      <c r="J271" s="5">
        <v>6636</v>
      </c>
      <c r="K271" s="5">
        <v>82</v>
      </c>
      <c r="L271" s="3" t="s">
        <v>17</v>
      </c>
      <c r="M271" s="3" t="s">
        <v>34</v>
      </c>
      <c r="P271" s="10">
        <f t="shared" si="4"/>
        <v>0.30126002290950743</v>
      </c>
    </row>
    <row r="272" spans="1:16" x14ac:dyDescent="0.3">
      <c r="A272" s="3" t="s">
        <v>101</v>
      </c>
      <c r="B272" s="3" t="s">
        <v>30</v>
      </c>
      <c r="C272" s="4" t="s">
        <v>102</v>
      </c>
      <c r="D272" s="3" t="s">
        <v>71</v>
      </c>
      <c r="E272" s="11" t="s">
        <v>82</v>
      </c>
      <c r="F272" s="5">
        <v>432</v>
      </c>
      <c r="G272" s="5">
        <v>624</v>
      </c>
      <c r="H272" s="5">
        <v>123</v>
      </c>
      <c r="I272" s="5">
        <v>6912</v>
      </c>
      <c r="J272" s="5">
        <v>6259</v>
      </c>
      <c r="K272" s="5">
        <v>79</v>
      </c>
      <c r="L272" s="3" t="s">
        <v>35</v>
      </c>
      <c r="M272" s="3" t="s">
        <v>59</v>
      </c>
      <c r="P272" s="10">
        <f t="shared" si="4"/>
        <v>0.17057291666666666</v>
      </c>
    </row>
    <row r="273" spans="1:16" x14ac:dyDescent="0.3">
      <c r="A273" s="3" t="s">
        <v>326</v>
      </c>
      <c r="B273" s="3" t="s">
        <v>13</v>
      </c>
      <c r="C273" s="4" t="s">
        <v>327</v>
      </c>
      <c r="D273" s="3" t="s">
        <v>71</v>
      </c>
      <c r="E273" s="11" t="s">
        <v>141</v>
      </c>
      <c r="F273" s="5">
        <v>754</v>
      </c>
      <c r="G273" s="5">
        <v>197</v>
      </c>
      <c r="H273" s="5">
        <v>257</v>
      </c>
      <c r="I273" s="5">
        <v>6786</v>
      </c>
      <c r="J273" s="5">
        <v>6221</v>
      </c>
      <c r="K273" s="5">
        <v>212</v>
      </c>
      <c r="L273" s="3" t="s">
        <v>28</v>
      </c>
      <c r="M273" s="3" t="s">
        <v>27</v>
      </c>
      <c r="P273" s="10">
        <f t="shared" si="4"/>
        <v>0.17801355732390214</v>
      </c>
    </row>
    <row r="274" spans="1:16" x14ac:dyDescent="0.3">
      <c r="A274" s="3" t="s">
        <v>430</v>
      </c>
      <c r="B274" s="3" t="s">
        <v>13</v>
      </c>
      <c r="C274" s="4" t="s">
        <v>169</v>
      </c>
      <c r="D274" s="3" t="s">
        <v>15</v>
      </c>
      <c r="E274" s="11" t="s">
        <v>16</v>
      </c>
      <c r="F274" s="5">
        <v>1188</v>
      </c>
      <c r="G274" s="5">
        <v>470</v>
      </c>
      <c r="H274" s="5">
        <v>174</v>
      </c>
      <c r="I274" s="5">
        <v>7128</v>
      </c>
      <c r="J274" s="5">
        <v>6145</v>
      </c>
      <c r="K274" s="5">
        <v>270</v>
      </c>
      <c r="L274" s="3" t="s">
        <v>35</v>
      </c>
      <c r="M274" s="3" t="s">
        <v>27</v>
      </c>
      <c r="P274" s="10">
        <f t="shared" si="4"/>
        <v>0.25701459034792368</v>
      </c>
    </row>
    <row r="275" spans="1:16" x14ac:dyDescent="0.3">
      <c r="A275" s="3" t="s">
        <v>469</v>
      </c>
      <c r="B275" s="3" t="s">
        <v>40</v>
      </c>
      <c r="C275" s="4" t="s">
        <v>470</v>
      </c>
      <c r="D275" s="3" t="s">
        <v>49</v>
      </c>
      <c r="E275" s="11" t="s">
        <v>56</v>
      </c>
      <c r="F275" s="5">
        <v>400</v>
      </c>
      <c r="G275" s="5">
        <v>680</v>
      </c>
      <c r="H275" s="5">
        <v>434</v>
      </c>
      <c r="I275" s="5">
        <v>6400</v>
      </c>
      <c r="J275" s="5">
        <v>5472</v>
      </c>
      <c r="K275" s="5">
        <v>160</v>
      </c>
      <c r="L275" s="3" t="s">
        <v>22</v>
      </c>
      <c r="M275" s="3" t="s">
        <v>59</v>
      </c>
      <c r="P275" s="10">
        <f t="shared" si="4"/>
        <v>0.23656250000000001</v>
      </c>
    </row>
    <row r="276" spans="1:16" x14ac:dyDescent="0.3">
      <c r="A276" s="3" t="s">
        <v>190</v>
      </c>
      <c r="B276" s="3" t="s">
        <v>24</v>
      </c>
      <c r="C276" s="4" t="s">
        <v>191</v>
      </c>
      <c r="D276" s="3" t="s">
        <v>15</v>
      </c>
      <c r="E276" s="11" t="s">
        <v>26</v>
      </c>
      <c r="F276" s="5">
        <v>296</v>
      </c>
      <c r="G276" s="5">
        <v>60</v>
      </c>
      <c r="H276" s="5">
        <v>141</v>
      </c>
      <c r="I276" s="5">
        <v>5624</v>
      </c>
      <c r="J276" s="5">
        <v>5239</v>
      </c>
      <c r="K276" s="5">
        <v>88</v>
      </c>
      <c r="L276" s="3" t="s">
        <v>22</v>
      </c>
      <c r="M276" s="3" t="s">
        <v>34</v>
      </c>
      <c r="P276" s="10">
        <f t="shared" si="4"/>
        <v>8.837126600284495E-2</v>
      </c>
    </row>
    <row r="277" spans="1:16" x14ac:dyDescent="0.3">
      <c r="A277" s="3" t="s">
        <v>244</v>
      </c>
      <c r="B277" s="3" t="s">
        <v>13</v>
      </c>
      <c r="C277" s="4" t="s">
        <v>245</v>
      </c>
      <c r="D277" s="3" t="s">
        <v>15</v>
      </c>
      <c r="E277" s="11" t="s">
        <v>16</v>
      </c>
      <c r="F277" s="5">
        <v>1000</v>
      </c>
      <c r="G277" s="5">
        <v>978</v>
      </c>
      <c r="H277" s="5">
        <v>162</v>
      </c>
      <c r="I277" s="5">
        <v>6000</v>
      </c>
      <c r="J277" s="5">
        <v>5221</v>
      </c>
      <c r="K277" s="5">
        <v>223</v>
      </c>
      <c r="L277" s="3" t="s">
        <v>22</v>
      </c>
      <c r="M277" s="3" t="s">
        <v>34</v>
      </c>
      <c r="P277" s="10">
        <f t="shared" si="4"/>
        <v>0.35666666666666669</v>
      </c>
    </row>
    <row r="278" spans="1:16" x14ac:dyDescent="0.3">
      <c r="A278" s="3" t="s">
        <v>220</v>
      </c>
      <c r="B278" s="3" t="s">
        <v>40</v>
      </c>
      <c r="C278" s="4" t="s">
        <v>221</v>
      </c>
      <c r="D278" s="3" t="s">
        <v>32</v>
      </c>
      <c r="E278" s="11" t="s">
        <v>68</v>
      </c>
      <c r="F278" s="5">
        <v>302</v>
      </c>
      <c r="G278" s="5">
        <v>47</v>
      </c>
      <c r="H278" s="5">
        <v>430</v>
      </c>
      <c r="I278" s="5">
        <v>5738</v>
      </c>
      <c r="J278" s="5">
        <v>4890</v>
      </c>
      <c r="K278" s="5">
        <v>25</v>
      </c>
      <c r="L278" s="3" t="s">
        <v>35</v>
      </c>
      <c r="M278" s="3" t="s">
        <v>27</v>
      </c>
      <c r="P278" s="10">
        <f t="shared" si="4"/>
        <v>0.13576158940397351</v>
      </c>
    </row>
    <row r="279" spans="1:16" x14ac:dyDescent="0.3">
      <c r="A279" s="3" t="s">
        <v>283</v>
      </c>
      <c r="B279" s="3" t="s">
        <v>24</v>
      </c>
      <c r="C279" s="4" t="s">
        <v>284</v>
      </c>
      <c r="D279" s="3" t="s">
        <v>42</v>
      </c>
      <c r="E279" s="11" t="s">
        <v>65</v>
      </c>
      <c r="F279" s="5">
        <v>736</v>
      </c>
      <c r="G279" s="5">
        <v>771</v>
      </c>
      <c r="H279" s="5">
        <v>225</v>
      </c>
      <c r="I279" s="5">
        <v>5152</v>
      </c>
      <c r="J279" s="5">
        <v>4706</v>
      </c>
      <c r="K279" s="5">
        <v>19</v>
      </c>
      <c r="L279" s="3" t="s">
        <v>17</v>
      </c>
      <c r="M279" s="3" t="s">
        <v>34</v>
      </c>
      <c r="P279" s="10">
        <f t="shared" si="4"/>
        <v>0.33618012422360249</v>
      </c>
    </row>
    <row r="280" spans="1:16" x14ac:dyDescent="0.3">
      <c r="A280" s="3" t="s">
        <v>441</v>
      </c>
      <c r="B280" s="3" t="s">
        <v>30</v>
      </c>
      <c r="C280" s="4" t="s">
        <v>442</v>
      </c>
      <c r="D280" s="3" t="s">
        <v>20</v>
      </c>
      <c r="E280" s="11" t="s">
        <v>109</v>
      </c>
      <c r="F280" s="5">
        <v>246</v>
      </c>
      <c r="G280" s="5">
        <v>149</v>
      </c>
      <c r="H280" s="5">
        <v>130</v>
      </c>
      <c r="I280" s="5">
        <v>4674</v>
      </c>
      <c r="J280" s="5">
        <v>4390</v>
      </c>
      <c r="K280" s="5">
        <v>217</v>
      </c>
      <c r="L280" s="3" t="s">
        <v>28</v>
      </c>
      <c r="M280" s="3" t="s">
        <v>59</v>
      </c>
      <c r="P280" s="10">
        <f t="shared" si="4"/>
        <v>0.11232349165596919</v>
      </c>
    </row>
    <row r="281" spans="1:16" x14ac:dyDescent="0.3">
      <c r="A281" s="3" t="s">
        <v>375</v>
      </c>
      <c r="B281" s="3" t="s">
        <v>30</v>
      </c>
      <c r="C281" s="4" t="s">
        <v>376</v>
      </c>
      <c r="D281" s="3" t="s">
        <v>32</v>
      </c>
      <c r="E281" s="11" t="s">
        <v>33</v>
      </c>
      <c r="F281" s="5">
        <v>360</v>
      </c>
      <c r="G281" s="5">
        <v>590</v>
      </c>
      <c r="H281" s="5">
        <v>393</v>
      </c>
      <c r="I281" s="5">
        <v>4680</v>
      </c>
      <c r="J281" s="5">
        <v>4322</v>
      </c>
      <c r="K281" s="5">
        <v>208</v>
      </c>
      <c r="L281" s="3" t="s">
        <v>22</v>
      </c>
      <c r="M281" s="3" t="s">
        <v>59</v>
      </c>
      <c r="P281" s="10">
        <f t="shared" si="4"/>
        <v>0.28696581196581195</v>
      </c>
    </row>
    <row r="282" spans="1:16" x14ac:dyDescent="0.3">
      <c r="A282" s="3" t="s">
        <v>280</v>
      </c>
      <c r="B282" s="3" t="s">
        <v>30</v>
      </c>
      <c r="C282" s="4" t="s">
        <v>261</v>
      </c>
      <c r="D282" s="3" t="s">
        <v>32</v>
      </c>
      <c r="E282" s="11" t="s">
        <v>33</v>
      </c>
      <c r="F282" s="5">
        <v>498</v>
      </c>
      <c r="G282" s="5">
        <v>701</v>
      </c>
      <c r="H282" s="5">
        <v>412</v>
      </c>
      <c r="I282" s="5">
        <v>4980</v>
      </c>
      <c r="J282" s="5">
        <v>4185</v>
      </c>
      <c r="K282" s="5">
        <v>185</v>
      </c>
      <c r="L282" s="6"/>
      <c r="M282" s="3" t="s">
        <v>59</v>
      </c>
      <c r="P282" s="10">
        <f t="shared" si="4"/>
        <v>0.32349397590361445</v>
      </c>
    </row>
    <row r="283" spans="1:16" x14ac:dyDescent="0.3">
      <c r="A283" s="3" t="s">
        <v>473</v>
      </c>
      <c r="B283" s="3" t="s">
        <v>40</v>
      </c>
      <c r="C283" s="4" t="s">
        <v>58</v>
      </c>
      <c r="D283" s="3" t="s">
        <v>32</v>
      </c>
      <c r="E283" s="11" t="s">
        <v>68</v>
      </c>
      <c r="F283" s="5">
        <v>886</v>
      </c>
      <c r="G283" s="5">
        <v>126</v>
      </c>
      <c r="H283" s="5">
        <v>153</v>
      </c>
      <c r="I283" s="5">
        <v>4430</v>
      </c>
      <c r="J283" s="5">
        <v>4037</v>
      </c>
      <c r="K283" s="5">
        <v>212</v>
      </c>
      <c r="L283" s="6"/>
      <c r="M283" s="3" t="s">
        <v>34</v>
      </c>
      <c r="P283" s="10">
        <f t="shared" si="4"/>
        <v>0.26297968397291194</v>
      </c>
    </row>
    <row r="284" spans="1:16" x14ac:dyDescent="0.3">
      <c r="A284" s="3" t="s">
        <v>304</v>
      </c>
      <c r="B284" s="3" t="s">
        <v>13</v>
      </c>
      <c r="C284" s="4" t="s">
        <v>182</v>
      </c>
      <c r="D284" s="3" t="s">
        <v>49</v>
      </c>
      <c r="E284" s="11" t="s">
        <v>128</v>
      </c>
      <c r="F284" s="5">
        <v>305</v>
      </c>
      <c r="G284" s="5">
        <v>187</v>
      </c>
      <c r="H284" s="5">
        <v>243</v>
      </c>
      <c r="I284" s="5">
        <v>4575</v>
      </c>
      <c r="J284" s="5">
        <v>3704</v>
      </c>
      <c r="K284" s="5">
        <v>234</v>
      </c>
      <c r="L284" s="3" t="s">
        <v>28</v>
      </c>
      <c r="M284" s="3" t="s">
        <v>59</v>
      </c>
      <c r="P284" s="10">
        <f t="shared" si="4"/>
        <v>0.16065573770491803</v>
      </c>
    </row>
    <row r="285" spans="1:16" x14ac:dyDescent="0.3">
      <c r="A285" s="3" t="s">
        <v>250</v>
      </c>
      <c r="B285" s="3" t="s">
        <v>30</v>
      </c>
      <c r="C285" s="4" t="s">
        <v>251</v>
      </c>
      <c r="D285" s="3" t="s">
        <v>42</v>
      </c>
      <c r="E285" s="11" t="s">
        <v>85</v>
      </c>
      <c r="F285" s="5">
        <v>498</v>
      </c>
      <c r="G285" s="5">
        <v>38</v>
      </c>
      <c r="H285" s="5">
        <v>42</v>
      </c>
      <c r="I285" s="5">
        <v>4482</v>
      </c>
      <c r="J285" s="5">
        <v>3647</v>
      </c>
      <c r="K285" s="5">
        <v>32</v>
      </c>
      <c r="L285" s="3" t="s">
        <v>17</v>
      </c>
      <c r="M285" s="3" t="s">
        <v>59</v>
      </c>
      <c r="P285" s="10">
        <f t="shared" si="4"/>
        <v>0.12896028558679162</v>
      </c>
    </row>
    <row r="286" spans="1:16" x14ac:dyDescent="0.3">
      <c r="A286" s="3" t="s">
        <v>424</v>
      </c>
      <c r="B286" s="3" t="s">
        <v>30</v>
      </c>
      <c r="C286" s="4" t="s">
        <v>14</v>
      </c>
      <c r="D286" s="3" t="s">
        <v>49</v>
      </c>
      <c r="E286" s="11" t="s">
        <v>209</v>
      </c>
      <c r="F286" s="5">
        <v>521</v>
      </c>
      <c r="G286" s="5">
        <v>746</v>
      </c>
      <c r="H286" s="5">
        <v>315</v>
      </c>
      <c r="I286" s="5">
        <v>4168</v>
      </c>
      <c r="J286" s="5">
        <v>3399</v>
      </c>
      <c r="K286" s="5">
        <v>282</v>
      </c>
      <c r="L286" s="3" t="s">
        <v>22</v>
      </c>
      <c r="M286" s="3" t="s">
        <v>59</v>
      </c>
      <c r="P286" s="10">
        <f t="shared" si="4"/>
        <v>0.37955854126679461</v>
      </c>
    </row>
    <row r="287" spans="1:16" x14ac:dyDescent="0.3">
      <c r="A287" s="3" t="s">
        <v>436</v>
      </c>
      <c r="B287" s="3" t="s">
        <v>40</v>
      </c>
      <c r="C287" s="4" t="s">
        <v>437</v>
      </c>
      <c r="D287" s="3" t="s">
        <v>49</v>
      </c>
      <c r="E287" s="11" t="s">
        <v>56</v>
      </c>
      <c r="F287" s="5">
        <v>602</v>
      </c>
      <c r="G287" s="5">
        <v>594</v>
      </c>
      <c r="H287" s="5">
        <v>156</v>
      </c>
      <c r="I287" s="5">
        <v>4214</v>
      </c>
      <c r="J287" s="5">
        <v>3363</v>
      </c>
      <c r="K287" s="5">
        <v>164</v>
      </c>
      <c r="L287" s="3" t="s">
        <v>28</v>
      </c>
      <c r="M287" s="3" t="s">
        <v>27</v>
      </c>
      <c r="P287" s="10">
        <f t="shared" si="4"/>
        <v>0.32083531086853345</v>
      </c>
    </row>
    <row r="288" spans="1:16" x14ac:dyDescent="0.3">
      <c r="A288" s="3" t="s">
        <v>155</v>
      </c>
      <c r="B288" s="3" t="s">
        <v>24</v>
      </c>
      <c r="C288" s="4" t="s">
        <v>143</v>
      </c>
      <c r="D288" s="3" t="s">
        <v>42</v>
      </c>
      <c r="E288" s="11" t="s">
        <v>65</v>
      </c>
      <c r="F288" s="5">
        <v>804</v>
      </c>
      <c r="G288" s="5">
        <v>639</v>
      </c>
      <c r="H288" s="5">
        <v>43</v>
      </c>
      <c r="I288" s="5">
        <v>4020</v>
      </c>
      <c r="J288" s="5">
        <v>3144</v>
      </c>
      <c r="K288" s="5">
        <v>11</v>
      </c>
      <c r="L288" s="6"/>
      <c r="M288" s="3" t="s">
        <v>34</v>
      </c>
      <c r="N288" t="s">
        <v>601</v>
      </c>
      <c r="P288" s="10">
        <f t="shared" si="4"/>
        <v>0.36965174129353234</v>
      </c>
    </row>
    <row r="289" spans="1:16" x14ac:dyDescent="0.3">
      <c r="A289" s="3" t="s">
        <v>186</v>
      </c>
      <c r="B289" s="3" t="s">
        <v>40</v>
      </c>
      <c r="C289" s="4" t="s">
        <v>187</v>
      </c>
      <c r="D289" s="3" t="s">
        <v>71</v>
      </c>
      <c r="E289" s="11" t="s">
        <v>72</v>
      </c>
      <c r="F289" s="5">
        <v>199</v>
      </c>
      <c r="G289" s="5">
        <v>772</v>
      </c>
      <c r="H289" s="5">
        <v>400</v>
      </c>
      <c r="I289" s="5">
        <v>3582</v>
      </c>
      <c r="J289" s="5">
        <v>2988</v>
      </c>
      <c r="K289" s="5">
        <v>43</v>
      </c>
      <c r="L289" s="6"/>
      <c r="M289" s="3" t="s">
        <v>27</v>
      </c>
      <c r="P289" s="10">
        <f t="shared" si="4"/>
        <v>0.38274706867671693</v>
      </c>
    </row>
    <row r="290" spans="1:16" x14ac:dyDescent="0.3">
      <c r="A290" s="3" t="s">
        <v>488</v>
      </c>
      <c r="B290" s="3" t="s">
        <v>40</v>
      </c>
      <c r="C290" s="4" t="s">
        <v>242</v>
      </c>
      <c r="D290" s="3" t="s">
        <v>20</v>
      </c>
      <c r="E290" s="11" t="s">
        <v>53</v>
      </c>
      <c r="F290" s="5">
        <v>562</v>
      </c>
      <c r="G290" s="5">
        <v>158</v>
      </c>
      <c r="H290" s="5">
        <v>149</v>
      </c>
      <c r="I290" s="5">
        <v>3372</v>
      </c>
      <c r="J290" s="5">
        <v>2940</v>
      </c>
      <c r="K290" s="5">
        <v>93</v>
      </c>
      <c r="L290" s="3" t="s">
        <v>17</v>
      </c>
      <c r="M290" s="3" t="s">
        <v>27</v>
      </c>
      <c r="P290" s="10">
        <f t="shared" si="4"/>
        <v>0.25771055753262156</v>
      </c>
    </row>
    <row r="291" spans="1:16" x14ac:dyDescent="0.3">
      <c r="A291" s="3" t="s">
        <v>418</v>
      </c>
      <c r="B291" s="3" t="s">
        <v>24</v>
      </c>
      <c r="C291" s="4" t="s">
        <v>341</v>
      </c>
      <c r="D291" s="3" t="s">
        <v>49</v>
      </c>
      <c r="E291" s="11" t="s">
        <v>50</v>
      </c>
      <c r="F291" s="5">
        <v>257</v>
      </c>
      <c r="G291" s="5">
        <v>966</v>
      </c>
      <c r="H291" s="5">
        <v>398</v>
      </c>
      <c r="I291" s="5">
        <v>3341</v>
      </c>
      <c r="J291" s="5">
        <v>2753</v>
      </c>
      <c r="K291" s="5">
        <v>287</v>
      </c>
      <c r="L291" s="3" t="s">
        <v>17</v>
      </c>
      <c r="M291" s="3" t="s">
        <v>59</v>
      </c>
      <c r="P291" s="10">
        <f t="shared" si="4"/>
        <v>0.48518407662376534</v>
      </c>
    </row>
    <row r="292" spans="1:16" x14ac:dyDescent="0.3">
      <c r="A292" s="3" t="s">
        <v>107</v>
      </c>
      <c r="B292" s="3" t="s">
        <v>30</v>
      </c>
      <c r="C292" s="4" t="s">
        <v>108</v>
      </c>
      <c r="D292" s="3" t="s">
        <v>20</v>
      </c>
      <c r="E292" s="11" t="s">
        <v>109</v>
      </c>
      <c r="F292" s="5">
        <v>438</v>
      </c>
      <c r="G292" s="5">
        <v>153</v>
      </c>
      <c r="H292" s="5">
        <v>275</v>
      </c>
      <c r="I292" s="5">
        <v>3066</v>
      </c>
      <c r="J292" s="5">
        <v>2701</v>
      </c>
      <c r="K292" s="5">
        <v>282</v>
      </c>
      <c r="L292" s="3" t="s">
        <v>22</v>
      </c>
      <c r="M292" s="3" t="s">
        <v>27</v>
      </c>
      <c r="P292" s="10">
        <f t="shared" si="4"/>
        <v>0.28245270711024134</v>
      </c>
    </row>
    <row r="293" spans="1:16" x14ac:dyDescent="0.3">
      <c r="A293" s="3" t="s">
        <v>179</v>
      </c>
      <c r="B293" s="3" t="s">
        <v>13</v>
      </c>
      <c r="C293" s="4" t="s">
        <v>180</v>
      </c>
      <c r="D293" s="3" t="s">
        <v>42</v>
      </c>
      <c r="E293" s="11" t="s">
        <v>46</v>
      </c>
      <c r="F293" s="5">
        <v>432</v>
      </c>
      <c r="G293" s="5">
        <v>171</v>
      </c>
      <c r="H293" s="5">
        <v>280</v>
      </c>
      <c r="I293" s="5">
        <v>3024</v>
      </c>
      <c r="J293" s="5">
        <v>2285</v>
      </c>
      <c r="K293" s="5">
        <v>184</v>
      </c>
      <c r="L293" s="3" t="s">
        <v>17</v>
      </c>
      <c r="M293" s="3" t="s">
        <v>34</v>
      </c>
      <c r="P293" s="10">
        <f t="shared" si="4"/>
        <v>0.29199735449735448</v>
      </c>
    </row>
    <row r="294" spans="1:16" x14ac:dyDescent="0.3">
      <c r="A294" s="3" t="s">
        <v>448</v>
      </c>
      <c r="B294" s="3" t="s">
        <v>13</v>
      </c>
      <c r="C294" s="4" t="s">
        <v>449</v>
      </c>
      <c r="D294" s="3" t="s">
        <v>32</v>
      </c>
      <c r="E294" s="11" t="s">
        <v>145</v>
      </c>
      <c r="F294" s="5">
        <v>249</v>
      </c>
      <c r="G294" s="5">
        <v>592</v>
      </c>
      <c r="H294" s="5">
        <v>230</v>
      </c>
      <c r="I294" s="5">
        <v>1494</v>
      </c>
      <c r="J294" s="5">
        <v>1044</v>
      </c>
      <c r="K294" s="5">
        <v>201</v>
      </c>
      <c r="L294" s="3" t="s">
        <v>35</v>
      </c>
      <c r="M294" s="3" t="s">
        <v>34</v>
      </c>
      <c r="P294" s="10">
        <f t="shared" si="4"/>
        <v>0.7168674698795181</v>
      </c>
    </row>
    <row r="295" spans="1:16" x14ac:dyDescent="0.3">
      <c r="A295" s="3" t="s">
        <v>363</v>
      </c>
      <c r="B295" s="3" t="s">
        <v>30</v>
      </c>
      <c r="C295" s="4" t="s">
        <v>364</v>
      </c>
      <c r="D295" s="3" t="s">
        <v>15</v>
      </c>
      <c r="E295" s="11" t="s">
        <v>79</v>
      </c>
      <c r="F295" s="5">
        <v>142</v>
      </c>
      <c r="G295" s="5">
        <v>784</v>
      </c>
      <c r="H295" s="5">
        <v>183</v>
      </c>
      <c r="I295" s="5">
        <v>1704</v>
      </c>
      <c r="J295" s="5">
        <v>995</v>
      </c>
      <c r="K295" s="5">
        <v>154</v>
      </c>
      <c r="L295" s="3" t="s">
        <v>35</v>
      </c>
      <c r="M295" s="3" t="s">
        <v>59</v>
      </c>
      <c r="P295" s="10">
        <f t="shared" si="4"/>
        <v>0.6508215962441315</v>
      </c>
    </row>
    <row r="296" spans="1:16" x14ac:dyDescent="0.3">
      <c r="A296" s="3" t="s">
        <v>369</v>
      </c>
      <c r="B296" s="3" t="s">
        <v>30</v>
      </c>
      <c r="C296" s="4" t="s">
        <v>199</v>
      </c>
      <c r="D296" s="3" t="s">
        <v>71</v>
      </c>
      <c r="E296" s="11" t="s">
        <v>82</v>
      </c>
      <c r="F296" s="5">
        <v>129</v>
      </c>
      <c r="G296" s="5">
        <v>643</v>
      </c>
      <c r="H296" s="5">
        <v>136</v>
      </c>
      <c r="I296" s="5">
        <v>1290</v>
      </c>
      <c r="J296" s="5">
        <v>839</v>
      </c>
      <c r="K296" s="5">
        <v>238</v>
      </c>
      <c r="L296" s="3" t="s">
        <v>35</v>
      </c>
      <c r="M296" s="3" t="s">
        <v>27</v>
      </c>
      <c r="P296" s="10">
        <f t="shared" si="4"/>
        <v>0.70387596899224802</v>
      </c>
    </row>
    <row r="297" spans="1:16" x14ac:dyDescent="0.3">
      <c r="A297" s="3" t="s">
        <v>496</v>
      </c>
      <c r="B297" s="3" t="s">
        <v>13</v>
      </c>
      <c r="C297" s="4" t="s">
        <v>497</v>
      </c>
      <c r="D297" s="3" t="s">
        <v>49</v>
      </c>
      <c r="E297" s="11" t="s">
        <v>128</v>
      </c>
      <c r="F297" s="5">
        <v>59</v>
      </c>
      <c r="G297" s="5">
        <v>163</v>
      </c>
      <c r="H297" s="5">
        <v>93</v>
      </c>
      <c r="I297" s="5">
        <v>590</v>
      </c>
      <c r="J297" s="5">
        <v>475</v>
      </c>
      <c r="K297" s="5">
        <v>293</v>
      </c>
      <c r="L297" s="3" t="s">
        <v>22</v>
      </c>
      <c r="M297" s="3" t="s">
        <v>27</v>
      </c>
      <c r="P297" s="10">
        <f t="shared" si="4"/>
        <v>0.53389830508474578</v>
      </c>
    </row>
    <row r="298" spans="1:16" x14ac:dyDescent="0.3">
      <c r="A298" s="3" t="s">
        <v>164</v>
      </c>
      <c r="B298" s="3" t="s">
        <v>30</v>
      </c>
      <c r="C298" s="4" t="s">
        <v>165</v>
      </c>
      <c r="D298" s="3" t="s">
        <v>15</v>
      </c>
      <c r="E298" s="11" t="s">
        <v>79</v>
      </c>
      <c r="F298" s="5">
        <v>103</v>
      </c>
      <c r="G298" s="5">
        <v>770</v>
      </c>
      <c r="H298" s="5">
        <v>19</v>
      </c>
      <c r="I298" s="5">
        <v>1030</v>
      </c>
      <c r="J298" s="5">
        <v>410</v>
      </c>
      <c r="K298" s="5">
        <v>262</v>
      </c>
      <c r="L298" s="3" t="s">
        <v>35</v>
      </c>
      <c r="M298" s="3" t="s">
        <v>27</v>
      </c>
      <c r="P298" s="10">
        <f t="shared" si="4"/>
        <v>0.86601941747572819</v>
      </c>
    </row>
    <row r="299" spans="1:16" x14ac:dyDescent="0.3">
      <c r="A299" s="3" t="s">
        <v>312</v>
      </c>
      <c r="B299" s="3" t="s">
        <v>24</v>
      </c>
      <c r="C299" s="4" t="s">
        <v>267</v>
      </c>
      <c r="D299" s="3" t="s">
        <v>42</v>
      </c>
      <c r="E299" s="11" t="s">
        <v>65</v>
      </c>
      <c r="F299" s="5">
        <v>80</v>
      </c>
      <c r="G299" s="5">
        <v>362</v>
      </c>
      <c r="H299" s="5">
        <v>80</v>
      </c>
      <c r="I299" s="5">
        <v>1040</v>
      </c>
      <c r="J299" s="5">
        <v>349</v>
      </c>
      <c r="K299" s="5">
        <v>117</v>
      </c>
      <c r="L299" s="3" t="s">
        <v>28</v>
      </c>
      <c r="M299" s="3" t="s">
        <v>27</v>
      </c>
      <c r="P299" s="10">
        <f t="shared" si="4"/>
        <v>0.50192307692307692</v>
      </c>
    </row>
    <row r="300" spans="1:16" x14ac:dyDescent="0.3">
      <c r="A300" s="3" t="s">
        <v>431</v>
      </c>
      <c r="B300" s="3" t="s">
        <v>30</v>
      </c>
      <c r="C300" s="4" t="s">
        <v>407</v>
      </c>
      <c r="D300" s="3" t="s">
        <v>32</v>
      </c>
      <c r="E300" s="11" t="s">
        <v>33</v>
      </c>
      <c r="F300" s="5">
        <v>84</v>
      </c>
      <c r="G300" s="5">
        <v>897</v>
      </c>
      <c r="H300" s="5">
        <v>85</v>
      </c>
      <c r="I300" s="5">
        <v>588</v>
      </c>
      <c r="J300" s="5">
        <v>8</v>
      </c>
      <c r="K300" s="5">
        <v>12</v>
      </c>
      <c r="L300" s="6"/>
      <c r="M300" s="3" t="s">
        <v>34</v>
      </c>
      <c r="P300" s="10">
        <f t="shared" si="4"/>
        <v>1.8129251700680271</v>
      </c>
    </row>
    <row r="301" spans="1:16" x14ac:dyDescent="0.3">
      <c r="A301" s="3" t="s">
        <v>172</v>
      </c>
      <c r="B301" s="3" t="s">
        <v>13</v>
      </c>
      <c r="C301" s="4" t="s">
        <v>173</v>
      </c>
      <c r="D301" s="3" t="s">
        <v>42</v>
      </c>
      <c r="E301" s="11" t="s">
        <v>46</v>
      </c>
      <c r="F301" s="5">
        <v>53</v>
      </c>
      <c r="G301" s="5">
        <v>81</v>
      </c>
      <c r="H301" s="5">
        <v>379</v>
      </c>
      <c r="I301" s="5">
        <v>954</v>
      </c>
      <c r="J301" s="5">
        <v>7</v>
      </c>
      <c r="K301" s="5">
        <v>148</v>
      </c>
      <c r="L301" s="3" t="s">
        <v>28</v>
      </c>
      <c r="M301" s="3" t="s">
        <v>27</v>
      </c>
      <c r="P301" s="10">
        <f t="shared" si="4"/>
        <v>0.53773584905660377</v>
      </c>
    </row>
  </sheetData>
  <sortState xmlns:xlrd2="http://schemas.microsoft.com/office/spreadsheetml/2017/richdata2" ref="A2:P301">
    <sortCondition descending="1" ref="J2:J301"/>
  </sortState>
  <conditionalFormatting sqref="A2:A301">
    <cfRule type="duplicateValues" dxfId="3" priority="2"/>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3CFCD-9E4D-45FC-A2C2-FA20AD101251}">
  <dimension ref="A3:B8"/>
  <sheetViews>
    <sheetView workbookViewId="0">
      <selection activeCell="A3" sqref="A3"/>
    </sheetView>
  </sheetViews>
  <sheetFormatPr defaultRowHeight="14.4" x14ac:dyDescent="0.3"/>
  <cols>
    <col min="1" max="1" width="12.5546875" bestFit="1" customWidth="1"/>
    <col min="2" max="2" width="18.6640625" bestFit="1" customWidth="1"/>
    <col min="3" max="7" width="7" bestFit="1" customWidth="1"/>
    <col min="8" max="8" width="10.77734375" bestFit="1" customWidth="1"/>
  </cols>
  <sheetData>
    <row r="3" spans="1:2" x14ac:dyDescent="0.3">
      <c r="A3" s="16" t="s">
        <v>609</v>
      </c>
      <c r="B3" t="s">
        <v>648</v>
      </c>
    </row>
    <row r="4" spans="1:2" x14ac:dyDescent="0.3">
      <c r="A4" s="17" t="s">
        <v>40</v>
      </c>
      <c r="B4" s="15">
        <v>305242</v>
      </c>
    </row>
    <row r="5" spans="1:2" x14ac:dyDescent="0.3">
      <c r="A5" s="17" t="s">
        <v>30</v>
      </c>
      <c r="B5" s="15">
        <v>263579</v>
      </c>
    </row>
    <row r="6" spans="1:2" x14ac:dyDescent="0.3">
      <c r="A6" s="17" t="s">
        <v>13</v>
      </c>
      <c r="B6" s="15">
        <v>256005</v>
      </c>
    </row>
    <row r="7" spans="1:2" x14ac:dyDescent="0.3">
      <c r="A7" s="17" t="s">
        <v>24</v>
      </c>
      <c r="B7" s="15">
        <v>212941</v>
      </c>
    </row>
    <row r="8" spans="1:2" x14ac:dyDescent="0.3">
      <c r="A8" s="17" t="s">
        <v>610</v>
      </c>
      <c r="B8" s="15">
        <v>1037767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067E63-C800-407F-B5E6-D2CABB72BA9F}">
  <dimension ref="A3:B8"/>
  <sheetViews>
    <sheetView workbookViewId="0">
      <selection activeCell="B5" sqref="B5"/>
    </sheetView>
  </sheetViews>
  <sheetFormatPr defaultRowHeight="14.4" x14ac:dyDescent="0.3"/>
  <cols>
    <col min="1" max="1" width="12.5546875" bestFit="1" customWidth="1"/>
    <col min="2" max="2" width="29.5546875" bestFit="1" customWidth="1"/>
  </cols>
  <sheetData>
    <row r="3" spans="1:2" x14ac:dyDescent="0.3">
      <c r="A3" s="16" t="s">
        <v>609</v>
      </c>
      <c r="B3" t="s">
        <v>616</v>
      </c>
    </row>
    <row r="4" spans="1:2" x14ac:dyDescent="0.3">
      <c r="A4" s="17" t="s">
        <v>40</v>
      </c>
      <c r="B4" s="10">
        <v>5.4649906832972654E-3</v>
      </c>
    </row>
    <row r="5" spans="1:2" x14ac:dyDescent="0.3">
      <c r="A5" s="17" t="s">
        <v>30</v>
      </c>
      <c r="B5" s="10">
        <v>5.7625321264951823E-3</v>
      </c>
    </row>
    <row r="6" spans="1:2" x14ac:dyDescent="0.3">
      <c r="A6" s="17" t="s">
        <v>13</v>
      </c>
      <c r="B6" s="10">
        <v>9.2800256766213396E-3</v>
      </c>
    </row>
    <row r="7" spans="1:2" x14ac:dyDescent="0.3">
      <c r="A7" s="17" t="s">
        <v>24</v>
      </c>
      <c r="B7" s="10">
        <v>9.021066631336009E-3</v>
      </c>
    </row>
    <row r="8" spans="1:2" x14ac:dyDescent="0.3">
      <c r="A8" s="17" t="s">
        <v>610</v>
      </c>
      <c r="B8" s="10">
        <v>7.3821537794374484E-3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31E68-1741-40B9-890F-1C605B6E784D}">
  <dimension ref="A3:E15"/>
  <sheetViews>
    <sheetView workbookViewId="0">
      <selection activeCell="G9" sqref="G9"/>
    </sheetView>
  </sheetViews>
  <sheetFormatPr defaultRowHeight="14.4" x14ac:dyDescent="0.3"/>
  <cols>
    <col min="1" max="1" width="12.5546875" bestFit="1" customWidth="1"/>
    <col min="2" max="2" width="21.88671875" bestFit="1" customWidth="1"/>
    <col min="3" max="3" width="15.77734375" bestFit="1" customWidth="1"/>
    <col min="4" max="4" width="12.5546875" bestFit="1" customWidth="1"/>
    <col min="5" max="5" width="18.88671875" bestFit="1" customWidth="1"/>
    <col min="6" max="6" width="19" bestFit="1" customWidth="1"/>
    <col min="7" max="7" width="15.77734375" bestFit="1" customWidth="1"/>
  </cols>
  <sheetData>
    <row r="3" spans="1:5" x14ac:dyDescent="0.3">
      <c r="A3" s="16" t="s">
        <v>609</v>
      </c>
      <c r="B3" t="s">
        <v>619</v>
      </c>
      <c r="D3" s="16" t="s">
        <v>609</v>
      </c>
      <c r="E3" t="s">
        <v>622</v>
      </c>
    </row>
    <row r="4" spans="1:5" x14ac:dyDescent="0.3">
      <c r="A4" s="17" t="s">
        <v>40</v>
      </c>
      <c r="B4" s="15">
        <v>3677.6144578313251</v>
      </c>
      <c r="D4" s="17" t="s">
        <v>40</v>
      </c>
      <c r="E4" s="25">
        <v>27590.78</v>
      </c>
    </row>
    <row r="5" spans="1:5" x14ac:dyDescent="0.3">
      <c r="A5" s="17" t="s">
        <v>30</v>
      </c>
      <c r="B5" s="15">
        <v>3336.4430379746836</v>
      </c>
      <c r="D5" s="17" t="s">
        <v>30</v>
      </c>
      <c r="E5" s="25">
        <v>23642.224489795917</v>
      </c>
    </row>
    <row r="6" spans="1:5" x14ac:dyDescent="0.3">
      <c r="A6" s="17" t="s">
        <v>13</v>
      </c>
      <c r="B6" s="15">
        <v>3240.5696202531644</v>
      </c>
      <c r="D6" s="17" t="s">
        <v>13</v>
      </c>
      <c r="E6" s="25">
        <v>21207.14</v>
      </c>
    </row>
    <row r="7" spans="1:5" x14ac:dyDescent="0.3">
      <c r="A7" s="17" t="s">
        <v>24</v>
      </c>
      <c r="B7" s="15">
        <v>3609.1694915254238</v>
      </c>
      <c r="D7" s="17" t="s">
        <v>24</v>
      </c>
      <c r="E7" s="25">
        <v>24572.94</v>
      </c>
    </row>
    <row r="8" spans="1:5" x14ac:dyDescent="0.3">
      <c r="A8" s="17" t="s">
        <v>610</v>
      </c>
      <c r="B8" s="15">
        <v>3459.2233333333334</v>
      </c>
      <c r="D8" s="17" t="s">
        <v>610</v>
      </c>
      <c r="E8" s="25">
        <v>24256.341708542714</v>
      </c>
    </row>
    <row r="11" spans="1:5" ht="18" x14ac:dyDescent="0.35">
      <c r="A11" s="26" t="s">
        <v>1</v>
      </c>
      <c r="B11" s="26" t="s">
        <v>620</v>
      </c>
      <c r="C11" s="26" t="s">
        <v>621</v>
      </c>
    </row>
    <row r="12" spans="1:5" ht="18" x14ac:dyDescent="0.35">
      <c r="A12" s="26" t="str">
        <f>VLOOKUP(A4,$D$3:$E$8,1,FALSE)</f>
        <v>Facebook</v>
      </c>
      <c r="B12" s="27">
        <f>VLOOKUP(A12,$A$3:$B$8,2,)</f>
        <v>3677.6144578313251</v>
      </c>
      <c r="C12" s="27">
        <f>VLOOKUP(A12,$D$3:$E$8,2,FALSE)</f>
        <v>27590.78</v>
      </c>
    </row>
    <row r="13" spans="1:5" ht="18" x14ac:dyDescent="0.35">
      <c r="A13" s="26" t="str">
        <f>VLOOKUP(A5,$D$3:$E$8,1,FALSE)</f>
        <v>Instagram</v>
      </c>
      <c r="B13" s="27">
        <f t="shared" ref="B13:B15" si="0">VLOOKUP(A13,$A$3:$B$8,2,)</f>
        <v>3336.4430379746836</v>
      </c>
      <c r="C13" s="27">
        <f t="shared" ref="C13:C15" si="1">VLOOKUP(A13,$D$3:$E$8,2,FALSE)</f>
        <v>23642.224489795917</v>
      </c>
    </row>
    <row r="14" spans="1:5" ht="18" x14ac:dyDescent="0.35">
      <c r="A14" s="26" t="str">
        <f>VLOOKUP(A6,$D$3:$E$8,1,FALSE)</f>
        <v>Twitter</v>
      </c>
      <c r="B14" s="27">
        <f t="shared" si="0"/>
        <v>3240.5696202531644</v>
      </c>
      <c r="C14" s="27">
        <f t="shared" si="1"/>
        <v>21207.14</v>
      </c>
    </row>
    <row r="15" spans="1:5" ht="18" x14ac:dyDescent="0.35">
      <c r="A15" s="26" t="str">
        <f>VLOOKUP(A7,$D$3:$E$8,1,FALSE)</f>
        <v>YouTube</v>
      </c>
      <c r="B15" s="27">
        <f t="shared" si="0"/>
        <v>3609.1694915254238</v>
      </c>
      <c r="C15" s="27">
        <f t="shared" si="1"/>
        <v>24572.94</v>
      </c>
    </row>
  </sheetData>
  <pageMargins left="0.7" right="0.7" top="0.75" bottom="0.75" header="0.3" footer="0.3"/>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E379A3-6540-4945-961E-7E8142DF76E1}">
  <dimension ref="A1:E14"/>
  <sheetViews>
    <sheetView workbookViewId="0">
      <selection activeCell="E11" sqref="E11"/>
    </sheetView>
  </sheetViews>
  <sheetFormatPr defaultRowHeight="14.4" x14ac:dyDescent="0.3"/>
  <cols>
    <col min="1" max="1" width="12.5546875" bestFit="1" customWidth="1"/>
    <col min="2" max="2" width="21.88671875" bestFit="1" customWidth="1"/>
    <col min="3" max="3" width="14.88671875" bestFit="1" customWidth="1"/>
    <col min="4" max="4" width="12.5546875" bestFit="1" customWidth="1"/>
    <col min="5" max="5" width="24.77734375" bestFit="1" customWidth="1"/>
    <col min="6" max="6" width="12.5546875" bestFit="1" customWidth="1"/>
    <col min="7" max="7" width="21.88671875" bestFit="1" customWidth="1"/>
    <col min="9" max="9" width="12.5546875" bestFit="1" customWidth="1"/>
    <col min="10" max="10" width="19.44140625" bestFit="1" customWidth="1"/>
  </cols>
  <sheetData>
    <row r="1" spans="1:5" x14ac:dyDescent="0.3">
      <c r="A1" s="28" t="s">
        <v>609</v>
      </c>
      <c r="B1" s="29" t="s">
        <v>619</v>
      </c>
      <c r="D1" s="28" t="s">
        <v>609</v>
      </c>
      <c r="E1" s="29" t="s">
        <v>618</v>
      </c>
    </row>
    <row r="2" spans="1:5" x14ac:dyDescent="0.3">
      <c r="A2" s="30" t="s">
        <v>40</v>
      </c>
      <c r="B2" s="31">
        <v>3677.6144578313251</v>
      </c>
      <c r="D2" s="30" t="s">
        <v>40</v>
      </c>
      <c r="E2" s="36">
        <v>27590.78</v>
      </c>
    </row>
    <row r="3" spans="1:5" x14ac:dyDescent="0.3">
      <c r="A3" s="30" t="s">
        <v>30</v>
      </c>
      <c r="B3" s="31">
        <v>3336.4430379746836</v>
      </c>
      <c r="D3" s="30" t="s">
        <v>30</v>
      </c>
      <c r="E3" s="36">
        <v>23287.46</v>
      </c>
    </row>
    <row r="4" spans="1:5" x14ac:dyDescent="0.3">
      <c r="A4" s="30" t="s">
        <v>13</v>
      </c>
      <c r="B4" s="31">
        <v>3240.5696202531644</v>
      </c>
      <c r="D4" s="30" t="s">
        <v>13</v>
      </c>
      <c r="E4" s="36">
        <v>21207.14</v>
      </c>
    </row>
    <row r="5" spans="1:5" x14ac:dyDescent="0.3">
      <c r="A5" s="30" t="s">
        <v>24</v>
      </c>
      <c r="B5" s="31">
        <v>3609.1694915254238</v>
      </c>
      <c r="D5" s="30" t="s">
        <v>24</v>
      </c>
      <c r="E5" s="36">
        <v>24572.94</v>
      </c>
    </row>
    <row r="6" spans="1:5" x14ac:dyDescent="0.3">
      <c r="A6" s="30" t="s">
        <v>610</v>
      </c>
      <c r="B6" s="31">
        <v>3459.2233333333334</v>
      </c>
      <c r="D6" s="30" t="s">
        <v>610</v>
      </c>
      <c r="E6" s="36">
        <v>24164.58</v>
      </c>
    </row>
    <row r="10" spans="1:5" x14ac:dyDescent="0.3">
      <c r="B10" s="33" t="s">
        <v>624</v>
      </c>
      <c r="C10" s="33" t="s">
        <v>620</v>
      </c>
      <c r="D10" s="33" t="s">
        <v>625</v>
      </c>
      <c r="E10" s="33" t="s">
        <v>665</v>
      </c>
    </row>
    <row r="11" spans="1:5" x14ac:dyDescent="0.3">
      <c r="B11" s="33" t="s">
        <v>40</v>
      </c>
      <c r="C11" s="34">
        <f>VLOOKUP($B11,$A$1:$B$6,2,FALSE)</f>
        <v>3677.6144578313251</v>
      </c>
      <c r="D11" s="34">
        <f>VLOOKUP($B11,$D$1:$E$6,2,FALSE)</f>
        <v>27590.78</v>
      </c>
      <c r="E11" s="35">
        <f>C11/D11</f>
        <v>0.13329142770995692</v>
      </c>
    </row>
    <row r="12" spans="1:5" x14ac:dyDescent="0.3">
      <c r="B12" s="33" t="s">
        <v>30</v>
      </c>
      <c r="C12" s="34">
        <f>VLOOKUP($B12,$A$1:$B$6,2,FALSE)</f>
        <v>3336.4430379746836</v>
      </c>
      <c r="D12" s="34">
        <f>VLOOKUP($B12,$D$1:$E$6,2,FALSE)</f>
        <v>23287.46</v>
      </c>
      <c r="E12" s="35">
        <f t="shared" ref="E12:E14" si="0">C12/D12</f>
        <v>0.1432720888398599</v>
      </c>
    </row>
    <row r="13" spans="1:5" x14ac:dyDescent="0.3">
      <c r="B13" s="33" t="s">
        <v>13</v>
      </c>
      <c r="C13" s="34">
        <f>VLOOKUP($B13,$A$1:$B$6,2,FALSE)</f>
        <v>3240.5696202531644</v>
      </c>
      <c r="D13" s="34">
        <f>VLOOKUP($B13,$D$1:$E$6,2,FALSE)</f>
        <v>21207.14</v>
      </c>
      <c r="E13" s="35">
        <f t="shared" si="0"/>
        <v>0.15280559378837338</v>
      </c>
    </row>
    <row r="14" spans="1:5" x14ac:dyDescent="0.3">
      <c r="B14" s="33" t="s">
        <v>24</v>
      </c>
      <c r="C14" s="34">
        <f>VLOOKUP($B14,$A$1:$B$6,2,FALSE)</f>
        <v>3609.1694915254238</v>
      </c>
      <c r="D14" s="34">
        <f>VLOOKUP($B14,$D$1:$E$6,2,FALSE)</f>
        <v>24572.94</v>
      </c>
      <c r="E14" s="35">
        <f t="shared" si="0"/>
        <v>0.14687577031993013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EED8D-0A1D-4C3C-B305-2C17D2615CC1}">
  <dimension ref="A2:I19"/>
  <sheetViews>
    <sheetView workbookViewId="0">
      <selection activeCell="F10" sqref="F10"/>
    </sheetView>
  </sheetViews>
  <sheetFormatPr defaultRowHeight="14.4" x14ac:dyDescent="0.3"/>
  <cols>
    <col min="1" max="1" width="20.21875" style="17" bestFit="1" customWidth="1"/>
    <col min="2" max="2" width="9.5546875" style="39" customWidth="1"/>
    <col min="3" max="3" width="9.88671875" customWidth="1"/>
    <col min="5" max="5" width="25.21875" bestFit="1" customWidth="1"/>
    <col min="8" max="8" width="20.33203125" bestFit="1" customWidth="1"/>
  </cols>
  <sheetData>
    <row r="2" spans="1:9" x14ac:dyDescent="0.3">
      <c r="A2" s="37" t="s">
        <v>626</v>
      </c>
      <c r="B2" s="38" t="s">
        <v>630</v>
      </c>
    </row>
    <row r="3" spans="1:9" x14ac:dyDescent="0.3">
      <c r="A3" s="17" t="str" cm="1">
        <f t="array" ref="A3:A5">_xlfn.UNIQUE(Hashtag_1)</f>
        <v>#FutureOfDriving</v>
      </c>
      <c r="B3" s="39">
        <f>COUNTIF(Hashtag_1,A3)</f>
        <v>103</v>
      </c>
    </row>
    <row r="4" spans="1:9" ht="18" x14ac:dyDescent="0.35">
      <c r="A4" s="17" t="str">
        <v>#TeslaCoInnovation</v>
      </c>
      <c r="B4" s="39">
        <f>COUNTIF(Hashtag_1,A4)</f>
        <v>100</v>
      </c>
      <c r="E4" s="43" t="s">
        <v>632</v>
      </c>
      <c r="F4" s="41" t="s">
        <v>631</v>
      </c>
    </row>
    <row r="5" spans="1:9" ht="18" x14ac:dyDescent="0.35">
      <c r="A5" s="17" t="str">
        <v>#EVRevolution</v>
      </c>
      <c r="B5" s="39">
        <f>COUNTIF(Hashtag_1,A5)</f>
        <v>97</v>
      </c>
      <c r="E5" s="40" t="str" cm="1">
        <f t="array" ref="E5:E7">_xlfn.UNIQUE(Hashtag_1)</f>
        <v>#FutureOfDriving</v>
      </c>
      <c r="F5" s="42">
        <f>B3</f>
        <v>103</v>
      </c>
    </row>
    <row r="6" spans="1:9" ht="18" x14ac:dyDescent="0.35">
      <c r="E6" s="40" t="str">
        <v>#TeslaCoInnovation</v>
      </c>
      <c r="F6" s="42">
        <f>B4+B11</f>
        <v>107</v>
      </c>
      <c r="H6" s="46" t="s">
        <v>633</v>
      </c>
      <c r="I6" s="46" t="s">
        <v>629</v>
      </c>
    </row>
    <row r="7" spans="1:9" ht="18" x14ac:dyDescent="0.35">
      <c r="A7" s="37" t="s">
        <v>627</v>
      </c>
      <c r="B7" s="38" t="s">
        <v>631</v>
      </c>
      <c r="E7" s="40" t="str">
        <v>#EVRevolution</v>
      </c>
      <c r="F7" s="42">
        <f>B5+B13+B18</f>
        <v>102</v>
      </c>
      <c r="H7" s="44" t="str">
        <f>_xlfn.XLOOKUP(I7,F4:F10,E4:E10)</f>
        <v>#TeslaCoInnovation</v>
      </c>
      <c r="I7" s="45">
        <f>MAX(F5:F10)</f>
        <v>107</v>
      </c>
    </row>
    <row r="8" spans="1:9" ht="18" x14ac:dyDescent="0.35">
      <c r="A8" s="17" t="str" cm="1">
        <f t="array" ref="A8:A13">_xlfn.UNIQUE(Hashtag_2)</f>
        <v>#AnytimeIsTeslaTime</v>
      </c>
      <c r="B8" s="39">
        <f t="shared" ref="B8:B13" si="0">COUNTIF(Hashtag_2,A8)</f>
        <v>9</v>
      </c>
      <c r="E8" s="40" t="s">
        <v>600</v>
      </c>
      <c r="F8" s="42">
        <f>B8+B17</f>
        <v>15</v>
      </c>
    </row>
    <row r="9" spans="1:9" ht="18" x14ac:dyDescent="0.35">
      <c r="A9" s="17" t="str">
        <v>#BetterWithTesla</v>
      </c>
      <c r="B9" s="39">
        <f t="shared" si="0"/>
        <v>3</v>
      </c>
      <c r="E9" s="40" t="s">
        <v>601</v>
      </c>
      <c r="F9" s="42">
        <f>B9+B19</f>
        <v>7</v>
      </c>
    </row>
    <row r="10" spans="1:9" ht="18" x14ac:dyDescent="0.35">
      <c r="A10" s="17">
        <v>0</v>
      </c>
      <c r="B10" s="39">
        <f t="shared" si="0"/>
        <v>0</v>
      </c>
      <c r="E10" s="40" t="s">
        <v>592</v>
      </c>
      <c r="F10" s="42">
        <f>B12</f>
        <v>5</v>
      </c>
    </row>
    <row r="11" spans="1:9" x14ac:dyDescent="0.3">
      <c r="A11" s="17" t="str">
        <v>#TeslaCoInnovation</v>
      </c>
      <c r="B11" s="39">
        <f t="shared" si="0"/>
        <v>7</v>
      </c>
    </row>
    <row r="12" spans="1:9" x14ac:dyDescent="0.3">
      <c r="A12" s="17" t="str">
        <v>#SmoothLikeNitroTesla</v>
      </c>
      <c r="B12" s="39">
        <f t="shared" si="0"/>
        <v>5</v>
      </c>
    </row>
    <row r="13" spans="1:9" x14ac:dyDescent="0.3">
      <c r="A13" s="17" t="str">
        <v>#EVRevolution</v>
      </c>
      <c r="B13" s="39">
        <f t="shared" si="0"/>
        <v>4</v>
      </c>
    </row>
    <row r="15" spans="1:9" x14ac:dyDescent="0.3">
      <c r="A15" s="37" t="s">
        <v>628</v>
      </c>
      <c r="B15" s="38" t="s">
        <v>631</v>
      </c>
    </row>
    <row r="16" spans="1:9" x14ac:dyDescent="0.3">
      <c r="A16" s="17" cm="1">
        <f t="array" ref="A16:A19">_xlfn.UNIQUE(Hashtag_3)</f>
        <v>0</v>
      </c>
      <c r="B16" s="39">
        <f>COUNTIF(Hashtag_3,A16)</f>
        <v>0</v>
      </c>
    </row>
    <row r="17" spans="1:2" x14ac:dyDescent="0.3">
      <c r="A17" s="17" t="str">
        <v>#AnytimeIsTeslaTime</v>
      </c>
      <c r="B17" s="39">
        <f>COUNTIF(Hashtag_3,A17)</f>
        <v>6</v>
      </c>
    </row>
    <row r="18" spans="1:2" x14ac:dyDescent="0.3">
      <c r="A18" s="17" t="str">
        <v>#EVRevolution</v>
      </c>
      <c r="B18" s="39">
        <f>COUNTIF(Hashtag_3,A18)</f>
        <v>1</v>
      </c>
    </row>
    <row r="19" spans="1:2" x14ac:dyDescent="0.3">
      <c r="A19" s="17" t="str">
        <v>#BetterWithTesla</v>
      </c>
      <c r="B19" s="39">
        <f>COUNTIF(Hashtag_3,A19)</f>
        <v>4</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843538-6467-4D1A-A3B8-5476E1326AA5}">
  <dimension ref="A3:F9"/>
  <sheetViews>
    <sheetView workbookViewId="0">
      <selection activeCell="A6" sqref="A6:F6"/>
      <pivotSelection pane="bottomRight" showHeader="1" extendable="1" axis="axisRow" start="2" max="6" activeRow="5" previousRow="5" click="1" r:id="rId1">
        <pivotArea dataOnly="0" fieldPosition="0">
          <references count="1">
            <reference field="0" count="1">
              <x v="2"/>
            </reference>
          </references>
        </pivotArea>
      </pivotSelection>
    </sheetView>
  </sheetViews>
  <sheetFormatPr defaultRowHeight="14.4" x14ac:dyDescent="0.3"/>
  <cols>
    <col min="1" max="1" width="20.21875" bestFit="1" customWidth="1"/>
    <col min="2" max="2" width="14.77734375" bestFit="1" customWidth="1"/>
    <col min="3" max="3" width="16.21875" bestFit="1" customWidth="1"/>
    <col min="4" max="4" width="15.77734375" bestFit="1" customWidth="1"/>
    <col min="5" max="5" width="19.88671875" bestFit="1" customWidth="1"/>
    <col min="6" max="6" width="20.77734375" bestFit="1" customWidth="1"/>
  </cols>
  <sheetData>
    <row r="3" spans="1:6" x14ac:dyDescent="0.3">
      <c r="A3" s="47" t="s">
        <v>609</v>
      </c>
      <c r="B3" s="48" t="s">
        <v>634</v>
      </c>
      <c r="C3" s="48" t="s">
        <v>635</v>
      </c>
      <c r="D3" s="48" t="s">
        <v>636</v>
      </c>
      <c r="E3" s="48" t="s">
        <v>637</v>
      </c>
      <c r="F3" s="48" t="s">
        <v>638</v>
      </c>
    </row>
    <row r="4" spans="1:6" x14ac:dyDescent="0.3">
      <c r="A4" s="30" t="s">
        <v>600</v>
      </c>
      <c r="B4" s="49">
        <v>2219.6</v>
      </c>
      <c r="C4" s="49">
        <v>423.93333333333334</v>
      </c>
      <c r="D4" s="49">
        <v>27513.666666666668</v>
      </c>
      <c r="E4" s="49">
        <v>257.39999999999998</v>
      </c>
      <c r="F4" s="49">
        <v>27974.133333333335</v>
      </c>
    </row>
    <row r="5" spans="1:6" x14ac:dyDescent="0.3">
      <c r="A5" s="30" t="s">
        <v>601</v>
      </c>
      <c r="B5" s="49">
        <v>3451.7142857142858</v>
      </c>
      <c r="C5" s="49">
        <v>540.57142857142856</v>
      </c>
      <c r="D5" s="49">
        <v>47434</v>
      </c>
      <c r="E5" s="49">
        <v>151</v>
      </c>
      <c r="F5" s="49">
        <v>47972</v>
      </c>
    </row>
    <row r="6" spans="1:6" x14ac:dyDescent="0.3">
      <c r="A6" s="30" t="s">
        <v>34</v>
      </c>
      <c r="B6" s="49">
        <v>2838.8039215686276</v>
      </c>
      <c r="C6" s="49">
        <v>464.96078431372547</v>
      </c>
      <c r="D6" s="49">
        <v>34194.852941176468</v>
      </c>
      <c r="E6" s="49">
        <v>230.95098039215685</v>
      </c>
      <c r="F6" s="49">
        <v>34738.823529411762</v>
      </c>
    </row>
    <row r="7" spans="1:6" x14ac:dyDescent="0.3">
      <c r="A7" s="30" t="s">
        <v>59</v>
      </c>
      <c r="B7" s="49">
        <v>2634.7184466019417</v>
      </c>
      <c r="C7" s="49">
        <v>508.63106796116506</v>
      </c>
      <c r="D7" s="49">
        <v>32823.407766990291</v>
      </c>
      <c r="E7" s="49">
        <v>262.50485436893206</v>
      </c>
      <c r="F7" s="49">
        <v>33348.990291262133</v>
      </c>
    </row>
    <row r="8" spans="1:6" x14ac:dyDescent="0.3">
      <c r="A8" s="30" t="s">
        <v>592</v>
      </c>
      <c r="B8" s="49">
        <v>3127.8</v>
      </c>
      <c r="C8" s="49">
        <v>356.2</v>
      </c>
      <c r="D8" s="49">
        <v>36122</v>
      </c>
      <c r="E8" s="49">
        <v>283.39999999999998</v>
      </c>
      <c r="F8" s="49">
        <v>36447.199999999997</v>
      </c>
    </row>
    <row r="9" spans="1:6" x14ac:dyDescent="0.3">
      <c r="A9" s="30" t="s">
        <v>27</v>
      </c>
      <c r="B9" s="49">
        <v>2705.1028037383176</v>
      </c>
      <c r="C9" s="49">
        <v>458.01869158878503</v>
      </c>
      <c r="D9" s="49">
        <v>35360.028037383177</v>
      </c>
      <c r="E9" s="49">
        <v>254.18691588785046</v>
      </c>
      <c r="F9" s="49">
        <v>35914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E74AD-B6A5-4283-9290-6BC87BE67CF6}">
  <sheetPr filterMode="1"/>
  <dimension ref="A1:J918"/>
  <sheetViews>
    <sheetView workbookViewId="0">
      <selection activeCell="M9" sqref="M9"/>
    </sheetView>
  </sheetViews>
  <sheetFormatPr defaultRowHeight="14.4" x14ac:dyDescent="0.3"/>
  <cols>
    <col min="1" max="1" width="20.21875" bestFit="1" customWidth="1"/>
    <col min="2" max="2" width="5.109375" bestFit="1" customWidth="1"/>
    <col min="3" max="3" width="6.5546875" bestFit="1" customWidth="1"/>
    <col min="4" max="4" width="10.109375" bestFit="1" customWidth="1"/>
    <col min="5" max="5" width="11" bestFit="1" customWidth="1"/>
    <col min="6" max="6" width="6.109375" bestFit="1" customWidth="1"/>
    <col min="7" max="7" width="5.6640625" bestFit="1" customWidth="1"/>
    <col min="8" max="8" width="15.88671875" bestFit="1" customWidth="1"/>
    <col min="9" max="9" width="12" bestFit="1" customWidth="1"/>
    <col min="10" max="10" width="20.21875" bestFit="1" customWidth="1"/>
  </cols>
  <sheetData>
    <row r="1" spans="1:9" x14ac:dyDescent="0.3">
      <c r="A1" s="50" t="s">
        <v>639</v>
      </c>
      <c r="B1" s="50" t="s">
        <v>5</v>
      </c>
      <c r="C1" s="50" t="s">
        <v>6</v>
      </c>
      <c r="D1" s="50" t="s">
        <v>7</v>
      </c>
      <c r="E1" s="50" t="s">
        <v>8</v>
      </c>
      <c r="F1" s="50" t="s">
        <v>9</v>
      </c>
      <c r="G1" s="50" t="s">
        <v>10</v>
      </c>
      <c r="H1" s="50" t="s">
        <v>602</v>
      </c>
      <c r="I1" s="50" t="s">
        <v>617</v>
      </c>
    </row>
    <row r="2" spans="1:9" x14ac:dyDescent="0.3">
      <c r="A2" s="51" t="s">
        <v>59</v>
      </c>
      <c r="B2" s="52">
        <v>1461</v>
      </c>
      <c r="C2" s="52">
        <v>184</v>
      </c>
      <c r="D2" s="52">
        <v>344</v>
      </c>
      <c r="E2" s="52">
        <v>21915</v>
      </c>
      <c r="F2" s="52">
        <v>21675</v>
      </c>
      <c r="G2" s="52">
        <v>15</v>
      </c>
      <c r="H2" s="32">
        <f t="shared" ref="H2:H65" si="0">(B2+C2+D2)/E2</f>
        <v>9.0759753593429152E-2</v>
      </c>
      <c r="I2" s="31">
        <f t="shared" ref="I2:I65" si="1">B2+C2+D2</f>
        <v>1989</v>
      </c>
    </row>
    <row r="3" spans="1:9" x14ac:dyDescent="0.3">
      <c r="A3" s="51" t="s">
        <v>27</v>
      </c>
      <c r="B3" s="52">
        <v>4054</v>
      </c>
      <c r="C3" s="52">
        <v>389</v>
      </c>
      <c r="D3" s="52">
        <v>493</v>
      </c>
      <c r="E3" s="52">
        <v>64864</v>
      </c>
      <c r="F3" s="52">
        <v>64383</v>
      </c>
      <c r="G3" s="52">
        <v>117</v>
      </c>
      <c r="H3" s="32">
        <f t="shared" si="0"/>
        <v>7.6097681302417369E-2</v>
      </c>
      <c r="I3" s="31">
        <f t="shared" si="1"/>
        <v>4936</v>
      </c>
    </row>
    <row r="4" spans="1:9" x14ac:dyDescent="0.3">
      <c r="A4" s="51" t="s">
        <v>27</v>
      </c>
      <c r="B4" s="52">
        <v>2795</v>
      </c>
      <c r="C4" s="52">
        <v>105</v>
      </c>
      <c r="D4" s="52">
        <v>49</v>
      </c>
      <c r="E4" s="52">
        <v>53105</v>
      </c>
      <c r="F4" s="52">
        <v>52307</v>
      </c>
      <c r="G4" s="52">
        <v>204</v>
      </c>
      <c r="H4" s="32">
        <f t="shared" si="0"/>
        <v>5.5531494209584788E-2</v>
      </c>
      <c r="I4" s="31">
        <f t="shared" si="1"/>
        <v>2949</v>
      </c>
    </row>
    <row r="5" spans="1:9" x14ac:dyDescent="0.3">
      <c r="A5" s="51" t="s">
        <v>34</v>
      </c>
      <c r="B5" s="52">
        <v>2404</v>
      </c>
      <c r="C5" s="52">
        <v>363</v>
      </c>
      <c r="D5" s="52">
        <v>138</v>
      </c>
      <c r="E5" s="52">
        <v>19232</v>
      </c>
      <c r="F5" s="52">
        <v>18636</v>
      </c>
      <c r="G5" s="52">
        <v>128</v>
      </c>
      <c r="H5" s="32">
        <f t="shared" si="0"/>
        <v>0.15105033277870217</v>
      </c>
      <c r="I5" s="31">
        <f t="shared" si="1"/>
        <v>2905</v>
      </c>
    </row>
    <row r="6" spans="1:9" x14ac:dyDescent="0.3">
      <c r="A6" s="51" t="s">
        <v>34</v>
      </c>
      <c r="B6" s="52">
        <v>3557</v>
      </c>
      <c r="C6" s="52">
        <v>687</v>
      </c>
      <c r="D6" s="52">
        <v>424</v>
      </c>
      <c r="E6" s="52">
        <v>71140</v>
      </c>
      <c r="F6" s="52">
        <v>70701</v>
      </c>
      <c r="G6" s="52">
        <v>224</v>
      </c>
      <c r="H6" s="32">
        <f t="shared" si="0"/>
        <v>6.5617093055946027E-2</v>
      </c>
      <c r="I6" s="31">
        <f t="shared" si="1"/>
        <v>4668</v>
      </c>
    </row>
    <row r="7" spans="1:9" x14ac:dyDescent="0.3">
      <c r="A7" s="51" t="s">
        <v>27</v>
      </c>
      <c r="B7" s="52">
        <v>2945</v>
      </c>
      <c r="C7" s="52">
        <v>930</v>
      </c>
      <c r="D7" s="52">
        <v>355</v>
      </c>
      <c r="E7" s="52">
        <v>23560</v>
      </c>
      <c r="F7" s="52">
        <v>23275</v>
      </c>
      <c r="G7" s="52">
        <v>256</v>
      </c>
      <c r="H7" s="32">
        <f t="shared" si="0"/>
        <v>0.17954159592529711</v>
      </c>
      <c r="I7" s="31">
        <f t="shared" si="1"/>
        <v>4230</v>
      </c>
    </row>
    <row r="8" spans="1:9" x14ac:dyDescent="0.3">
      <c r="A8" s="51" t="s">
        <v>27</v>
      </c>
      <c r="B8" s="52">
        <v>3860</v>
      </c>
      <c r="C8" s="52">
        <v>201</v>
      </c>
      <c r="D8" s="52">
        <v>279</v>
      </c>
      <c r="E8" s="52">
        <v>61760</v>
      </c>
      <c r="F8" s="52">
        <v>61660</v>
      </c>
      <c r="G8" s="52">
        <v>235</v>
      </c>
      <c r="H8" s="32">
        <f t="shared" si="0"/>
        <v>7.0272020725388601E-2</v>
      </c>
      <c r="I8" s="31">
        <f t="shared" si="1"/>
        <v>4340</v>
      </c>
    </row>
    <row r="9" spans="1:9" x14ac:dyDescent="0.3">
      <c r="A9" s="51" t="s">
        <v>34</v>
      </c>
      <c r="B9" s="52">
        <v>3929</v>
      </c>
      <c r="C9" s="52">
        <v>262</v>
      </c>
      <c r="D9" s="52">
        <v>278</v>
      </c>
      <c r="E9" s="52">
        <v>43219</v>
      </c>
      <c r="F9" s="52">
        <v>42841</v>
      </c>
      <c r="G9" s="52">
        <v>39</v>
      </c>
      <c r="H9" s="32">
        <f t="shared" si="0"/>
        <v>0.10340359564080613</v>
      </c>
      <c r="I9" s="31">
        <f t="shared" si="1"/>
        <v>4469</v>
      </c>
    </row>
    <row r="10" spans="1:9" x14ac:dyDescent="0.3">
      <c r="A10" s="51" t="s">
        <v>27</v>
      </c>
      <c r="B10" s="52">
        <v>3784</v>
      </c>
      <c r="C10" s="52">
        <v>808</v>
      </c>
      <c r="D10" s="52">
        <v>404</v>
      </c>
      <c r="E10" s="52">
        <v>56760</v>
      </c>
      <c r="F10" s="52">
        <v>56343</v>
      </c>
      <c r="G10" s="52">
        <v>131</v>
      </c>
      <c r="H10" s="32">
        <f t="shared" si="0"/>
        <v>8.8019732205778717E-2</v>
      </c>
      <c r="I10" s="31">
        <f t="shared" si="1"/>
        <v>4996</v>
      </c>
    </row>
    <row r="11" spans="1:9" x14ac:dyDescent="0.3">
      <c r="A11" s="51" t="s">
        <v>27</v>
      </c>
      <c r="B11" s="52">
        <v>4241</v>
      </c>
      <c r="C11" s="52">
        <v>902</v>
      </c>
      <c r="D11" s="52">
        <v>47</v>
      </c>
      <c r="E11" s="52">
        <v>72097</v>
      </c>
      <c r="F11" s="52">
        <v>71598</v>
      </c>
      <c r="G11" s="52">
        <v>167</v>
      </c>
      <c r="H11" s="32">
        <f t="shared" si="0"/>
        <v>7.198635172059864E-2</v>
      </c>
      <c r="I11" s="31">
        <f t="shared" si="1"/>
        <v>5190</v>
      </c>
    </row>
    <row r="12" spans="1:9" x14ac:dyDescent="0.3">
      <c r="A12" s="51" t="s">
        <v>59</v>
      </c>
      <c r="B12" s="52">
        <v>1792</v>
      </c>
      <c r="C12" s="52">
        <v>614</v>
      </c>
      <c r="D12" s="52">
        <v>497</v>
      </c>
      <c r="E12" s="52">
        <v>25088</v>
      </c>
      <c r="F12" s="52">
        <v>24675</v>
      </c>
      <c r="G12" s="52">
        <v>65</v>
      </c>
      <c r="H12" s="32">
        <f t="shared" si="0"/>
        <v>0.11571269132653061</v>
      </c>
      <c r="I12" s="31">
        <f t="shared" si="1"/>
        <v>2903</v>
      </c>
    </row>
    <row r="13" spans="1:9" x14ac:dyDescent="0.3">
      <c r="A13" s="51" t="s">
        <v>59</v>
      </c>
      <c r="B13" s="52">
        <v>1946</v>
      </c>
      <c r="C13" s="52">
        <v>686</v>
      </c>
      <c r="D13" s="52">
        <v>377</v>
      </c>
      <c r="E13" s="52">
        <v>23352</v>
      </c>
      <c r="F13" s="52">
        <v>22982</v>
      </c>
      <c r="G13" s="52">
        <v>213</v>
      </c>
      <c r="H13" s="32">
        <f t="shared" si="0"/>
        <v>0.12885405960945528</v>
      </c>
      <c r="I13" s="31">
        <f t="shared" si="1"/>
        <v>3009</v>
      </c>
    </row>
    <row r="14" spans="1:9" x14ac:dyDescent="0.3">
      <c r="A14" s="51" t="s">
        <v>34</v>
      </c>
      <c r="B14" s="52">
        <v>1171</v>
      </c>
      <c r="C14" s="52">
        <v>286</v>
      </c>
      <c r="D14" s="52">
        <v>231</v>
      </c>
      <c r="E14" s="52">
        <v>22249</v>
      </c>
      <c r="F14" s="52">
        <v>21282</v>
      </c>
      <c r="G14" s="52">
        <v>114</v>
      </c>
      <c r="H14" s="32">
        <f t="shared" si="0"/>
        <v>7.5868578363072495E-2</v>
      </c>
      <c r="I14" s="31">
        <f t="shared" si="1"/>
        <v>1688</v>
      </c>
    </row>
    <row r="15" spans="1:9" x14ac:dyDescent="0.3">
      <c r="A15" s="51" t="s">
        <v>59</v>
      </c>
      <c r="B15" s="52">
        <v>4242</v>
      </c>
      <c r="C15" s="52">
        <v>555</v>
      </c>
      <c r="D15" s="52">
        <v>131</v>
      </c>
      <c r="E15" s="52">
        <v>33936</v>
      </c>
      <c r="F15" s="52">
        <v>33802</v>
      </c>
      <c r="G15" s="52">
        <v>265</v>
      </c>
      <c r="H15" s="32">
        <f t="shared" si="0"/>
        <v>0.14521452145214522</v>
      </c>
      <c r="I15" s="31">
        <f t="shared" si="1"/>
        <v>4928</v>
      </c>
    </row>
    <row r="16" spans="1:9" x14ac:dyDescent="0.3">
      <c r="A16" s="51" t="s">
        <v>59</v>
      </c>
      <c r="B16" s="52">
        <v>3888</v>
      </c>
      <c r="C16" s="52">
        <v>604</v>
      </c>
      <c r="D16" s="52">
        <v>128</v>
      </c>
      <c r="E16" s="52">
        <v>77760</v>
      </c>
      <c r="F16" s="52">
        <v>77167</v>
      </c>
      <c r="G16" s="52">
        <v>20</v>
      </c>
      <c r="H16" s="32">
        <f t="shared" si="0"/>
        <v>5.941358024691358E-2</v>
      </c>
      <c r="I16" s="31">
        <f t="shared" si="1"/>
        <v>4620</v>
      </c>
    </row>
    <row r="17" spans="1:9" x14ac:dyDescent="0.3">
      <c r="A17" s="51" t="s">
        <v>59</v>
      </c>
      <c r="B17" s="52">
        <v>3452</v>
      </c>
      <c r="C17" s="52">
        <v>377</v>
      </c>
      <c r="D17" s="52">
        <v>360</v>
      </c>
      <c r="E17" s="52">
        <v>55232</v>
      </c>
      <c r="F17" s="52">
        <v>55075</v>
      </c>
      <c r="G17" s="52">
        <v>87</v>
      </c>
      <c r="H17" s="32">
        <f t="shared" si="0"/>
        <v>7.5843713789107758E-2</v>
      </c>
      <c r="I17" s="31">
        <f t="shared" si="1"/>
        <v>4189</v>
      </c>
    </row>
    <row r="18" spans="1:9" x14ac:dyDescent="0.3">
      <c r="A18" s="51" t="s">
        <v>34</v>
      </c>
      <c r="B18" s="52">
        <v>4441</v>
      </c>
      <c r="C18" s="52">
        <v>511</v>
      </c>
      <c r="D18" s="52">
        <v>70</v>
      </c>
      <c r="E18" s="52">
        <v>53292</v>
      </c>
      <c r="F18" s="52">
        <v>53082</v>
      </c>
      <c r="G18" s="52">
        <v>159</v>
      </c>
      <c r="H18" s="32">
        <f t="shared" si="0"/>
        <v>9.4235532537716729E-2</v>
      </c>
      <c r="I18" s="31">
        <f t="shared" si="1"/>
        <v>5022</v>
      </c>
    </row>
    <row r="19" spans="1:9" x14ac:dyDescent="0.3">
      <c r="A19" s="51" t="s">
        <v>59</v>
      </c>
      <c r="B19" s="52">
        <v>3000</v>
      </c>
      <c r="C19" s="52">
        <v>382</v>
      </c>
      <c r="D19" s="52">
        <v>325</v>
      </c>
      <c r="E19" s="52">
        <v>36000</v>
      </c>
      <c r="F19" s="52">
        <v>35819</v>
      </c>
      <c r="G19" s="52">
        <v>19</v>
      </c>
      <c r="H19" s="32">
        <f t="shared" si="0"/>
        <v>0.10297222222222223</v>
      </c>
      <c r="I19" s="31">
        <f t="shared" si="1"/>
        <v>3707</v>
      </c>
    </row>
    <row r="20" spans="1:9" x14ac:dyDescent="0.3">
      <c r="A20" s="51" t="s">
        <v>27</v>
      </c>
      <c r="B20" s="52">
        <v>1071</v>
      </c>
      <c r="C20" s="52">
        <v>519</v>
      </c>
      <c r="D20" s="52">
        <v>22</v>
      </c>
      <c r="E20" s="52">
        <v>16065</v>
      </c>
      <c r="F20" s="52">
        <v>15865</v>
      </c>
      <c r="G20" s="52">
        <v>103</v>
      </c>
      <c r="H20" s="32">
        <f t="shared" si="0"/>
        <v>0.10034235916588857</v>
      </c>
      <c r="I20" s="31">
        <f t="shared" si="1"/>
        <v>1612</v>
      </c>
    </row>
    <row r="21" spans="1:9" x14ac:dyDescent="0.3">
      <c r="A21" s="51" t="s">
        <v>27</v>
      </c>
      <c r="B21" s="52">
        <v>4054</v>
      </c>
      <c r="C21" s="52">
        <v>488</v>
      </c>
      <c r="D21" s="52">
        <v>373</v>
      </c>
      <c r="E21" s="52">
        <v>77026</v>
      </c>
      <c r="F21" s="52">
        <v>76881</v>
      </c>
      <c r="G21" s="52">
        <v>25</v>
      </c>
      <c r="H21" s="32">
        <f t="shared" si="0"/>
        <v>6.3809622724794221E-2</v>
      </c>
      <c r="I21" s="31">
        <f t="shared" si="1"/>
        <v>4915</v>
      </c>
    </row>
    <row r="22" spans="1:9" x14ac:dyDescent="0.3">
      <c r="A22" s="51" t="s">
        <v>59</v>
      </c>
      <c r="B22" s="52">
        <v>4838</v>
      </c>
      <c r="C22" s="52">
        <v>640</v>
      </c>
      <c r="D22" s="52">
        <v>128</v>
      </c>
      <c r="E22" s="52">
        <v>72570</v>
      </c>
      <c r="F22" s="52">
        <v>72396</v>
      </c>
      <c r="G22" s="52">
        <v>83</v>
      </c>
      <c r="H22" s="32">
        <f t="shared" si="0"/>
        <v>7.7249552156538517E-2</v>
      </c>
      <c r="I22" s="31">
        <f t="shared" si="1"/>
        <v>5606</v>
      </c>
    </row>
    <row r="23" spans="1:9" x14ac:dyDescent="0.3">
      <c r="A23" s="51" t="s">
        <v>27</v>
      </c>
      <c r="B23" s="52">
        <v>1570</v>
      </c>
      <c r="C23" s="52">
        <v>187</v>
      </c>
      <c r="D23" s="52">
        <v>260</v>
      </c>
      <c r="E23" s="52">
        <v>25120</v>
      </c>
      <c r="F23" s="52">
        <v>24613</v>
      </c>
      <c r="G23" s="52">
        <v>133</v>
      </c>
      <c r="H23" s="32">
        <f t="shared" si="0"/>
        <v>8.0294585987261149E-2</v>
      </c>
      <c r="I23" s="31">
        <f t="shared" si="1"/>
        <v>2017</v>
      </c>
    </row>
    <row r="24" spans="1:9" x14ac:dyDescent="0.3">
      <c r="A24" s="51" t="s">
        <v>27</v>
      </c>
      <c r="B24" s="52">
        <v>1606</v>
      </c>
      <c r="C24" s="52">
        <v>547</v>
      </c>
      <c r="D24" s="52">
        <v>316</v>
      </c>
      <c r="E24" s="52">
        <v>32120</v>
      </c>
      <c r="F24" s="52">
        <v>31736</v>
      </c>
      <c r="G24" s="52">
        <v>225</v>
      </c>
      <c r="H24" s="32">
        <f t="shared" si="0"/>
        <v>7.6867995018679955E-2</v>
      </c>
      <c r="I24" s="31">
        <f t="shared" si="1"/>
        <v>2469</v>
      </c>
    </row>
    <row r="25" spans="1:9" x14ac:dyDescent="0.3">
      <c r="A25" s="51" t="s">
        <v>59</v>
      </c>
      <c r="B25" s="52">
        <v>3961</v>
      </c>
      <c r="C25" s="52">
        <v>761</v>
      </c>
      <c r="D25" s="52">
        <v>131</v>
      </c>
      <c r="E25" s="52">
        <v>67337</v>
      </c>
      <c r="F25" s="52">
        <v>66615</v>
      </c>
      <c r="G25" s="52">
        <v>161</v>
      </c>
      <c r="H25" s="32">
        <f t="shared" si="0"/>
        <v>7.2070332803659209E-2</v>
      </c>
      <c r="I25" s="31">
        <f t="shared" si="1"/>
        <v>4853</v>
      </c>
    </row>
    <row r="26" spans="1:9" x14ac:dyDescent="0.3">
      <c r="A26" s="51" t="s">
        <v>34</v>
      </c>
      <c r="B26" s="52">
        <v>3128</v>
      </c>
      <c r="C26" s="52">
        <v>211</v>
      </c>
      <c r="D26" s="52">
        <v>197</v>
      </c>
      <c r="E26" s="52">
        <v>59432</v>
      </c>
      <c r="F26" s="52">
        <v>59182</v>
      </c>
      <c r="G26" s="52">
        <v>238</v>
      </c>
      <c r="H26" s="32">
        <f t="shared" si="0"/>
        <v>5.9496567505720827E-2</v>
      </c>
      <c r="I26" s="31">
        <f t="shared" si="1"/>
        <v>3536</v>
      </c>
    </row>
    <row r="27" spans="1:9" x14ac:dyDescent="0.3">
      <c r="A27" s="51" t="s">
        <v>59</v>
      </c>
      <c r="B27" s="52">
        <v>3009</v>
      </c>
      <c r="C27" s="52">
        <v>413</v>
      </c>
      <c r="D27" s="52">
        <v>358</v>
      </c>
      <c r="E27" s="52">
        <v>42126</v>
      </c>
      <c r="F27" s="52">
        <v>41309</v>
      </c>
      <c r="G27" s="52">
        <v>211</v>
      </c>
      <c r="H27" s="32">
        <f t="shared" si="0"/>
        <v>8.9730807577268201E-2</v>
      </c>
      <c r="I27" s="31">
        <f t="shared" si="1"/>
        <v>3780</v>
      </c>
    </row>
    <row r="28" spans="1:9" x14ac:dyDescent="0.3">
      <c r="A28" s="51" t="s">
        <v>59</v>
      </c>
      <c r="B28" s="52">
        <v>2076</v>
      </c>
      <c r="C28" s="52">
        <v>195</v>
      </c>
      <c r="D28" s="52">
        <v>104</v>
      </c>
      <c r="E28" s="52">
        <v>33216</v>
      </c>
      <c r="F28" s="52">
        <v>32244</v>
      </c>
      <c r="G28" s="52">
        <v>51</v>
      </c>
      <c r="H28" s="32">
        <f t="shared" si="0"/>
        <v>7.1501685934489398E-2</v>
      </c>
      <c r="I28" s="31">
        <f t="shared" si="1"/>
        <v>2375</v>
      </c>
    </row>
    <row r="29" spans="1:9" x14ac:dyDescent="0.3">
      <c r="A29" s="51" t="s">
        <v>59</v>
      </c>
      <c r="B29" s="52">
        <v>432</v>
      </c>
      <c r="C29" s="52">
        <v>624</v>
      </c>
      <c r="D29" s="52">
        <v>123</v>
      </c>
      <c r="E29" s="52">
        <v>6912</v>
      </c>
      <c r="F29" s="52">
        <v>6259</v>
      </c>
      <c r="G29" s="52">
        <v>79</v>
      </c>
      <c r="H29" s="32">
        <f t="shared" si="0"/>
        <v>0.17057291666666666</v>
      </c>
      <c r="I29" s="31">
        <f t="shared" si="1"/>
        <v>1179</v>
      </c>
    </row>
    <row r="30" spans="1:9" x14ac:dyDescent="0.3">
      <c r="A30" s="51" t="s">
        <v>59</v>
      </c>
      <c r="B30" s="52">
        <v>2566</v>
      </c>
      <c r="C30" s="52">
        <v>118</v>
      </c>
      <c r="D30" s="52">
        <v>37</v>
      </c>
      <c r="E30" s="52">
        <v>12830</v>
      </c>
      <c r="F30" s="52">
        <v>12264</v>
      </c>
      <c r="G30" s="52">
        <v>221</v>
      </c>
      <c r="H30" s="32">
        <f t="shared" si="0"/>
        <v>0.21208106001558846</v>
      </c>
      <c r="I30" s="31">
        <f t="shared" si="1"/>
        <v>2721</v>
      </c>
    </row>
    <row r="31" spans="1:9" x14ac:dyDescent="0.3">
      <c r="A31" s="51" t="s">
        <v>34</v>
      </c>
      <c r="B31" s="52">
        <v>3095</v>
      </c>
      <c r="C31" s="52">
        <v>39</v>
      </c>
      <c r="D31" s="52">
        <v>78</v>
      </c>
      <c r="E31" s="52">
        <v>55710</v>
      </c>
      <c r="F31" s="52">
        <v>54808</v>
      </c>
      <c r="G31" s="52">
        <v>93</v>
      </c>
      <c r="H31" s="32">
        <f t="shared" si="0"/>
        <v>5.7655717106444085E-2</v>
      </c>
      <c r="I31" s="31">
        <f t="shared" si="1"/>
        <v>3212</v>
      </c>
    </row>
    <row r="32" spans="1:9" x14ac:dyDescent="0.3">
      <c r="A32" s="51" t="s">
        <v>27</v>
      </c>
      <c r="B32" s="52">
        <v>438</v>
      </c>
      <c r="C32" s="52">
        <v>153</v>
      </c>
      <c r="D32" s="52">
        <v>275</v>
      </c>
      <c r="E32" s="52">
        <v>3066</v>
      </c>
      <c r="F32" s="52">
        <v>2701</v>
      </c>
      <c r="G32" s="52">
        <v>282</v>
      </c>
      <c r="H32" s="32">
        <f t="shared" si="0"/>
        <v>0.28245270711024134</v>
      </c>
      <c r="I32" s="31">
        <f t="shared" si="1"/>
        <v>866</v>
      </c>
    </row>
    <row r="33" spans="1:9" x14ac:dyDescent="0.3">
      <c r="A33" s="51" t="s">
        <v>34</v>
      </c>
      <c r="B33" s="52">
        <v>2278</v>
      </c>
      <c r="C33" s="52">
        <v>10</v>
      </c>
      <c r="D33" s="52">
        <v>321</v>
      </c>
      <c r="E33" s="52">
        <v>13668</v>
      </c>
      <c r="F33" s="52">
        <v>12676</v>
      </c>
      <c r="G33" s="52">
        <v>275</v>
      </c>
      <c r="H33" s="32">
        <f t="shared" si="0"/>
        <v>0.19088381621305239</v>
      </c>
      <c r="I33" s="31">
        <f t="shared" si="1"/>
        <v>2609</v>
      </c>
    </row>
    <row r="34" spans="1:9" x14ac:dyDescent="0.3">
      <c r="A34" s="51" t="s">
        <v>27</v>
      </c>
      <c r="B34" s="52">
        <v>1407</v>
      </c>
      <c r="C34" s="52">
        <v>400</v>
      </c>
      <c r="D34" s="52">
        <v>351</v>
      </c>
      <c r="E34" s="52">
        <v>16884</v>
      </c>
      <c r="F34" s="52">
        <v>15954</v>
      </c>
      <c r="G34" s="52">
        <v>113</v>
      </c>
      <c r="H34" s="32">
        <f t="shared" si="0"/>
        <v>0.12781331438047855</v>
      </c>
      <c r="I34" s="31">
        <f t="shared" si="1"/>
        <v>2158</v>
      </c>
    </row>
    <row r="35" spans="1:9" x14ac:dyDescent="0.3">
      <c r="A35" s="51" t="s">
        <v>27</v>
      </c>
      <c r="B35" s="52">
        <v>1652</v>
      </c>
      <c r="C35" s="52">
        <v>89</v>
      </c>
      <c r="D35" s="52">
        <v>357</v>
      </c>
      <c r="E35" s="52">
        <v>29736</v>
      </c>
      <c r="F35" s="52">
        <v>28771</v>
      </c>
      <c r="G35" s="52">
        <v>215</v>
      </c>
      <c r="H35" s="32">
        <f t="shared" si="0"/>
        <v>7.055421038471886E-2</v>
      </c>
      <c r="I35" s="31">
        <f t="shared" si="1"/>
        <v>2098</v>
      </c>
    </row>
    <row r="36" spans="1:9" x14ac:dyDescent="0.3">
      <c r="A36" s="51" t="s">
        <v>59</v>
      </c>
      <c r="B36" s="52">
        <v>3775</v>
      </c>
      <c r="C36" s="52">
        <v>16</v>
      </c>
      <c r="D36" s="52">
        <v>239</v>
      </c>
      <c r="E36" s="52">
        <v>33975</v>
      </c>
      <c r="F36" s="52">
        <v>33310</v>
      </c>
      <c r="G36" s="52">
        <v>271</v>
      </c>
      <c r="H36" s="32">
        <f t="shared" si="0"/>
        <v>0.11861662987490802</v>
      </c>
      <c r="I36" s="31">
        <f t="shared" si="1"/>
        <v>4030</v>
      </c>
    </row>
    <row r="37" spans="1:9" x14ac:dyDescent="0.3">
      <c r="A37" s="51" t="s">
        <v>34</v>
      </c>
      <c r="B37" s="52">
        <v>4518</v>
      </c>
      <c r="C37" s="52">
        <v>285</v>
      </c>
      <c r="D37" s="52">
        <v>383</v>
      </c>
      <c r="E37" s="52">
        <v>67770</v>
      </c>
      <c r="F37" s="52">
        <v>67621</v>
      </c>
      <c r="G37" s="52">
        <v>31</v>
      </c>
      <c r="H37" s="32">
        <f t="shared" si="0"/>
        <v>7.6523535487678915E-2</v>
      </c>
      <c r="I37" s="31">
        <f t="shared" si="1"/>
        <v>5186</v>
      </c>
    </row>
    <row r="38" spans="1:9" x14ac:dyDescent="0.3">
      <c r="A38" s="51" t="s">
        <v>34</v>
      </c>
      <c r="B38" s="52">
        <v>3024</v>
      </c>
      <c r="C38" s="52">
        <v>925</v>
      </c>
      <c r="D38" s="52">
        <v>350</v>
      </c>
      <c r="E38" s="52">
        <v>24192</v>
      </c>
      <c r="F38" s="52">
        <v>23518</v>
      </c>
      <c r="G38" s="52">
        <v>36</v>
      </c>
      <c r="H38" s="32">
        <f t="shared" si="0"/>
        <v>0.17770337301587302</v>
      </c>
      <c r="I38" s="31">
        <f t="shared" si="1"/>
        <v>4299</v>
      </c>
    </row>
    <row r="39" spans="1:9" x14ac:dyDescent="0.3">
      <c r="A39" s="51" t="s">
        <v>27</v>
      </c>
      <c r="B39" s="52">
        <v>3138</v>
      </c>
      <c r="C39" s="52">
        <v>123</v>
      </c>
      <c r="D39" s="52">
        <v>291</v>
      </c>
      <c r="E39" s="52">
        <v>28242</v>
      </c>
      <c r="F39" s="52">
        <v>27550</v>
      </c>
      <c r="G39" s="52">
        <v>87</v>
      </c>
      <c r="H39" s="32">
        <f t="shared" si="0"/>
        <v>0.12577012959422137</v>
      </c>
      <c r="I39" s="31">
        <f t="shared" si="1"/>
        <v>3552</v>
      </c>
    </row>
    <row r="40" spans="1:9" x14ac:dyDescent="0.3">
      <c r="A40" s="51" t="s">
        <v>27</v>
      </c>
      <c r="B40" s="52">
        <v>3564</v>
      </c>
      <c r="C40" s="52">
        <v>629</v>
      </c>
      <c r="D40" s="52">
        <v>177</v>
      </c>
      <c r="E40" s="52">
        <v>60588</v>
      </c>
      <c r="F40" s="52">
        <v>59627</v>
      </c>
      <c r="G40" s="52">
        <v>92</v>
      </c>
      <c r="H40" s="32">
        <f t="shared" si="0"/>
        <v>7.2126493695121141E-2</v>
      </c>
      <c r="I40" s="31">
        <f t="shared" si="1"/>
        <v>4370</v>
      </c>
    </row>
    <row r="41" spans="1:9" x14ac:dyDescent="0.3">
      <c r="A41" s="51" t="s">
        <v>34</v>
      </c>
      <c r="B41" s="52">
        <v>4750</v>
      </c>
      <c r="C41" s="52">
        <v>151</v>
      </c>
      <c r="D41" s="52">
        <v>415</v>
      </c>
      <c r="E41" s="52">
        <v>38000</v>
      </c>
      <c r="F41" s="52">
        <v>37792</v>
      </c>
      <c r="G41" s="52">
        <v>299</v>
      </c>
      <c r="H41" s="32">
        <f t="shared" si="0"/>
        <v>0.13989473684210527</v>
      </c>
      <c r="I41" s="31">
        <f t="shared" si="1"/>
        <v>5316</v>
      </c>
    </row>
    <row r="42" spans="1:9" x14ac:dyDescent="0.3">
      <c r="A42" s="51" t="s">
        <v>59</v>
      </c>
      <c r="B42" s="52">
        <v>456</v>
      </c>
      <c r="C42" s="52">
        <v>629</v>
      </c>
      <c r="D42" s="52">
        <v>428</v>
      </c>
      <c r="E42" s="52">
        <v>8208</v>
      </c>
      <c r="F42" s="52">
        <v>7377</v>
      </c>
      <c r="G42" s="52">
        <v>205</v>
      </c>
      <c r="H42" s="32">
        <f t="shared" si="0"/>
        <v>0.18433235867446393</v>
      </c>
      <c r="I42" s="31">
        <f t="shared" si="1"/>
        <v>1513</v>
      </c>
    </row>
    <row r="43" spans="1:9" x14ac:dyDescent="0.3">
      <c r="A43" s="51" t="s">
        <v>34</v>
      </c>
      <c r="B43" s="52">
        <v>1543</v>
      </c>
      <c r="C43" s="52">
        <v>820</v>
      </c>
      <c r="D43" s="52">
        <v>333</v>
      </c>
      <c r="E43" s="52">
        <v>12344</v>
      </c>
      <c r="F43" s="52">
        <v>11496</v>
      </c>
      <c r="G43" s="52">
        <v>241</v>
      </c>
      <c r="H43" s="32">
        <f t="shared" si="0"/>
        <v>0.21840570317563188</v>
      </c>
      <c r="I43" s="31">
        <f t="shared" si="1"/>
        <v>2696</v>
      </c>
    </row>
    <row r="44" spans="1:9" x14ac:dyDescent="0.3">
      <c r="A44" s="51" t="s">
        <v>27</v>
      </c>
      <c r="B44" s="52">
        <v>2174</v>
      </c>
      <c r="C44" s="52">
        <v>658</v>
      </c>
      <c r="D44" s="52">
        <v>15</v>
      </c>
      <c r="E44" s="52">
        <v>13044</v>
      </c>
      <c r="F44" s="52">
        <v>12206</v>
      </c>
      <c r="G44" s="52">
        <v>137</v>
      </c>
      <c r="H44" s="32">
        <f t="shared" si="0"/>
        <v>0.21826126954921804</v>
      </c>
      <c r="I44" s="31">
        <f t="shared" si="1"/>
        <v>2847</v>
      </c>
    </row>
    <row r="45" spans="1:9" x14ac:dyDescent="0.3">
      <c r="A45" s="51" t="s">
        <v>27</v>
      </c>
      <c r="B45" s="52">
        <v>2358</v>
      </c>
      <c r="C45" s="52">
        <v>784</v>
      </c>
      <c r="D45" s="52">
        <v>344</v>
      </c>
      <c r="E45" s="52">
        <v>35370</v>
      </c>
      <c r="F45" s="52">
        <v>34475</v>
      </c>
      <c r="G45" s="52">
        <v>216</v>
      </c>
      <c r="H45" s="32">
        <f t="shared" si="0"/>
        <v>9.8558100084817649E-2</v>
      </c>
      <c r="I45" s="31">
        <f t="shared" si="1"/>
        <v>3486</v>
      </c>
    </row>
    <row r="46" spans="1:9" x14ac:dyDescent="0.3">
      <c r="A46" s="51" t="s">
        <v>59</v>
      </c>
      <c r="B46" s="52">
        <v>3371</v>
      </c>
      <c r="C46" s="52">
        <v>106</v>
      </c>
      <c r="D46" s="52">
        <v>327</v>
      </c>
      <c r="E46" s="52">
        <v>50565</v>
      </c>
      <c r="F46" s="52">
        <v>49816</v>
      </c>
      <c r="G46" s="52">
        <v>176</v>
      </c>
      <c r="H46" s="32">
        <f t="shared" si="0"/>
        <v>7.5229902106199939E-2</v>
      </c>
      <c r="I46" s="31">
        <f t="shared" si="1"/>
        <v>3804</v>
      </c>
    </row>
    <row r="47" spans="1:9" x14ac:dyDescent="0.3">
      <c r="A47" s="51" t="s">
        <v>27</v>
      </c>
      <c r="B47" s="52">
        <v>1108</v>
      </c>
      <c r="C47" s="52">
        <v>177</v>
      </c>
      <c r="D47" s="52">
        <v>212</v>
      </c>
      <c r="E47" s="52">
        <v>8864</v>
      </c>
      <c r="F47" s="52">
        <v>8710</v>
      </c>
      <c r="G47" s="52">
        <v>97</v>
      </c>
      <c r="H47" s="32">
        <f t="shared" si="0"/>
        <v>0.16888537906137185</v>
      </c>
      <c r="I47" s="31">
        <f t="shared" si="1"/>
        <v>1497</v>
      </c>
    </row>
    <row r="48" spans="1:9" x14ac:dyDescent="0.3">
      <c r="A48" s="51" t="s">
        <v>59</v>
      </c>
      <c r="B48" s="52">
        <v>2704</v>
      </c>
      <c r="C48" s="52">
        <v>752</v>
      </c>
      <c r="D48" s="52">
        <v>153</v>
      </c>
      <c r="E48" s="52">
        <v>21632</v>
      </c>
      <c r="F48" s="52">
        <v>20792</v>
      </c>
      <c r="G48" s="52">
        <v>127</v>
      </c>
      <c r="H48" s="32">
        <f t="shared" si="0"/>
        <v>0.16683616863905326</v>
      </c>
      <c r="I48" s="31">
        <f t="shared" si="1"/>
        <v>3609</v>
      </c>
    </row>
    <row r="49" spans="1:9" x14ac:dyDescent="0.3">
      <c r="A49" s="51" t="s">
        <v>27</v>
      </c>
      <c r="B49" s="52">
        <v>1950</v>
      </c>
      <c r="C49" s="52">
        <v>295</v>
      </c>
      <c r="D49" s="52">
        <v>478</v>
      </c>
      <c r="E49" s="52">
        <v>37050</v>
      </c>
      <c r="F49" s="52">
        <v>36272</v>
      </c>
      <c r="G49" s="52">
        <v>119</v>
      </c>
      <c r="H49" s="32">
        <f t="shared" si="0"/>
        <v>7.349527665317139E-2</v>
      </c>
      <c r="I49" s="31">
        <f t="shared" si="1"/>
        <v>2723</v>
      </c>
    </row>
    <row r="50" spans="1:9" x14ac:dyDescent="0.3">
      <c r="A50" s="51" t="s">
        <v>27</v>
      </c>
      <c r="B50" s="52">
        <v>2164</v>
      </c>
      <c r="C50" s="52">
        <v>549</v>
      </c>
      <c r="D50" s="52">
        <v>274</v>
      </c>
      <c r="E50" s="52">
        <v>28132</v>
      </c>
      <c r="F50" s="52">
        <v>27361</v>
      </c>
      <c r="G50" s="52">
        <v>177</v>
      </c>
      <c r="H50" s="32">
        <f t="shared" si="0"/>
        <v>0.10617801791554102</v>
      </c>
      <c r="I50" s="31">
        <f t="shared" si="1"/>
        <v>2987</v>
      </c>
    </row>
    <row r="51" spans="1:9" x14ac:dyDescent="0.3">
      <c r="A51" s="51" t="s">
        <v>27</v>
      </c>
      <c r="B51" s="52">
        <v>2754</v>
      </c>
      <c r="C51" s="52">
        <v>130</v>
      </c>
      <c r="D51" s="52">
        <v>90</v>
      </c>
      <c r="E51" s="52">
        <v>22032</v>
      </c>
      <c r="F51" s="52">
        <v>21288</v>
      </c>
      <c r="G51" s="52">
        <v>112</v>
      </c>
      <c r="H51" s="32">
        <f t="shared" si="0"/>
        <v>0.13498547567175018</v>
      </c>
      <c r="I51" s="31">
        <f t="shared" si="1"/>
        <v>2974</v>
      </c>
    </row>
    <row r="52" spans="1:9" x14ac:dyDescent="0.3">
      <c r="A52" s="51" t="s">
        <v>59</v>
      </c>
      <c r="B52" s="52">
        <v>2200</v>
      </c>
      <c r="C52" s="52">
        <v>504</v>
      </c>
      <c r="D52" s="52">
        <v>239</v>
      </c>
      <c r="E52" s="52">
        <v>37400</v>
      </c>
      <c r="F52" s="52">
        <v>36938</v>
      </c>
      <c r="G52" s="52">
        <v>225</v>
      </c>
      <c r="H52" s="32">
        <f t="shared" si="0"/>
        <v>7.8689839572192513E-2</v>
      </c>
      <c r="I52" s="31">
        <f t="shared" si="1"/>
        <v>2943</v>
      </c>
    </row>
    <row r="53" spans="1:9" x14ac:dyDescent="0.3">
      <c r="A53" s="51" t="s">
        <v>27</v>
      </c>
      <c r="B53" s="52">
        <v>947</v>
      </c>
      <c r="C53" s="52">
        <v>338</v>
      </c>
      <c r="D53" s="52">
        <v>350</v>
      </c>
      <c r="E53" s="52">
        <v>10417</v>
      </c>
      <c r="F53" s="52">
        <v>9730</v>
      </c>
      <c r="G53" s="52">
        <v>34</v>
      </c>
      <c r="H53" s="32">
        <f t="shared" si="0"/>
        <v>0.1569549774407219</v>
      </c>
      <c r="I53" s="31">
        <f t="shared" si="1"/>
        <v>1635</v>
      </c>
    </row>
    <row r="54" spans="1:9" x14ac:dyDescent="0.3">
      <c r="A54" s="51" t="s">
        <v>34</v>
      </c>
      <c r="B54" s="52">
        <v>804</v>
      </c>
      <c r="C54" s="52">
        <v>639</v>
      </c>
      <c r="D54" s="52">
        <v>43</v>
      </c>
      <c r="E54" s="52">
        <v>4020</v>
      </c>
      <c r="F54" s="52">
        <v>3144</v>
      </c>
      <c r="G54" s="52">
        <v>11</v>
      </c>
      <c r="H54" s="32">
        <f t="shared" si="0"/>
        <v>0.36965174129353234</v>
      </c>
      <c r="I54" s="31">
        <f t="shared" si="1"/>
        <v>1486</v>
      </c>
    </row>
    <row r="55" spans="1:9" x14ac:dyDescent="0.3">
      <c r="A55" s="51" t="s">
        <v>59</v>
      </c>
      <c r="B55" s="52">
        <v>1686</v>
      </c>
      <c r="C55" s="52">
        <v>904</v>
      </c>
      <c r="D55" s="52">
        <v>472</v>
      </c>
      <c r="E55" s="52">
        <v>18546</v>
      </c>
      <c r="F55" s="52">
        <v>18171</v>
      </c>
      <c r="G55" s="52">
        <v>52</v>
      </c>
      <c r="H55" s="32">
        <f t="shared" si="0"/>
        <v>0.16510298716704411</v>
      </c>
      <c r="I55" s="31">
        <f t="shared" si="1"/>
        <v>3062</v>
      </c>
    </row>
    <row r="56" spans="1:9" x14ac:dyDescent="0.3">
      <c r="A56" s="51" t="s">
        <v>34</v>
      </c>
      <c r="B56" s="52">
        <v>1226</v>
      </c>
      <c r="C56" s="52">
        <v>119</v>
      </c>
      <c r="D56" s="52">
        <v>7</v>
      </c>
      <c r="E56" s="52">
        <v>14712</v>
      </c>
      <c r="F56" s="52">
        <v>14049</v>
      </c>
      <c r="G56" s="52">
        <v>123</v>
      </c>
      <c r="H56" s="32">
        <f t="shared" si="0"/>
        <v>9.1897770527460579E-2</v>
      </c>
      <c r="I56" s="31">
        <f t="shared" si="1"/>
        <v>1352</v>
      </c>
    </row>
    <row r="57" spans="1:9" x14ac:dyDescent="0.3">
      <c r="A57" s="51" t="s">
        <v>59</v>
      </c>
      <c r="B57" s="52">
        <v>2946</v>
      </c>
      <c r="C57" s="52">
        <v>498</v>
      </c>
      <c r="D57" s="52">
        <v>367</v>
      </c>
      <c r="E57" s="52">
        <v>29460</v>
      </c>
      <c r="F57" s="52">
        <v>28527</v>
      </c>
      <c r="G57" s="52">
        <v>60</v>
      </c>
      <c r="H57" s="32">
        <f t="shared" si="0"/>
        <v>0.12936184657162253</v>
      </c>
      <c r="I57" s="31">
        <f t="shared" si="1"/>
        <v>3811</v>
      </c>
    </row>
    <row r="58" spans="1:9" x14ac:dyDescent="0.3">
      <c r="A58" s="51" t="s">
        <v>27</v>
      </c>
      <c r="B58" s="52">
        <v>2825</v>
      </c>
      <c r="C58" s="52">
        <v>535</v>
      </c>
      <c r="D58" s="52">
        <v>295</v>
      </c>
      <c r="E58" s="52">
        <v>45200</v>
      </c>
      <c r="F58" s="52">
        <v>44739</v>
      </c>
      <c r="G58" s="52">
        <v>169</v>
      </c>
      <c r="H58" s="32">
        <f t="shared" si="0"/>
        <v>8.0862831858407078E-2</v>
      </c>
      <c r="I58" s="31">
        <f t="shared" si="1"/>
        <v>3655</v>
      </c>
    </row>
    <row r="59" spans="1:9" x14ac:dyDescent="0.3">
      <c r="A59" s="51" t="s">
        <v>27</v>
      </c>
      <c r="B59" s="52">
        <v>103</v>
      </c>
      <c r="C59" s="52">
        <v>770</v>
      </c>
      <c r="D59" s="52">
        <v>19</v>
      </c>
      <c r="E59" s="52">
        <v>1030</v>
      </c>
      <c r="F59" s="52">
        <v>410</v>
      </c>
      <c r="G59" s="52">
        <v>262</v>
      </c>
      <c r="H59" s="32">
        <f t="shared" si="0"/>
        <v>0.86601941747572819</v>
      </c>
      <c r="I59" s="31">
        <f t="shared" si="1"/>
        <v>892</v>
      </c>
    </row>
    <row r="60" spans="1:9" x14ac:dyDescent="0.3">
      <c r="A60" s="51" t="s">
        <v>34</v>
      </c>
      <c r="B60" s="52">
        <v>2180</v>
      </c>
      <c r="C60" s="52">
        <v>263</v>
      </c>
      <c r="D60" s="52">
        <v>387</v>
      </c>
      <c r="E60" s="52">
        <v>30520</v>
      </c>
      <c r="F60" s="52">
        <v>30059</v>
      </c>
      <c r="G60" s="52">
        <v>174</v>
      </c>
      <c r="H60" s="32">
        <f t="shared" si="0"/>
        <v>9.2726081258191345E-2</v>
      </c>
      <c r="I60" s="31">
        <f t="shared" si="1"/>
        <v>2830</v>
      </c>
    </row>
    <row r="61" spans="1:9" x14ac:dyDescent="0.3">
      <c r="A61" s="51" t="s">
        <v>34</v>
      </c>
      <c r="B61" s="52">
        <v>904</v>
      </c>
      <c r="C61" s="52">
        <v>973</v>
      </c>
      <c r="D61" s="52">
        <v>63</v>
      </c>
      <c r="E61" s="52">
        <v>11752</v>
      </c>
      <c r="F61" s="52">
        <v>11580</v>
      </c>
      <c r="G61" s="52">
        <v>84</v>
      </c>
      <c r="H61" s="32">
        <f t="shared" si="0"/>
        <v>0.1650782845473111</v>
      </c>
      <c r="I61" s="31">
        <f t="shared" si="1"/>
        <v>1940</v>
      </c>
    </row>
    <row r="62" spans="1:9" x14ac:dyDescent="0.3">
      <c r="A62" s="51" t="s">
        <v>27</v>
      </c>
      <c r="B62" s="52">
        <v>4886</v>
      </c>
      <c r="C62" s="52">
        <v>983</v>
      </c>
      <c r="D62" s="52">
        <v>409</v>
      </c>
      <c r="E62" s="52">
        <v>43974</v>
      </c>
      <c r="F62" s="52">
        <v>43239</v>
      </c>
      <c r="G62" s="52">
        <v>65</v>
      </c>
      <c r="H62" s="32">
        <f t="shared" si="0"/>
        <v>0.14276618001546368</v>
      </c>
      <c r="I62" s="31">
        <f t="shared" si="1"/>
        <v>6278</v>
      </c>
    </row>
    <row r="63" spans="1:9" x14ac:dyDescent="0.3">
      <c r="A63" s="51" t="s">
        <v>27</v>
      </c>
      <c r="B63" s="52">
        <v>53</v>
      </c>
      <c r="C63" s="52">
        <v>81</v>
      </c>
      <c r="D63" s="52">
        <v>379</v>
      </c>
      <c r="E63" s="52">
        <v>954</v>
      </c>
      <c r="F63" s="52">
        <v>7</v>
      </c>
      <c r="G63" s="52">
        <v>148</v>
      </c>
      <c r="H63" s="32">
        <f t="shared" si="0"/>
        <v>0.53773584905660377</v>
      </c>
      <c r="I63" s="31">
        <f t="shared" si="1"/>
        <v>513</v>
      </c>
    </row>
    <row r="64" spans="1:9" x14ac:dyDescent="0.3">
      <c r="A64" s="51" t="s">
        <v>59</v>
      </c>
      <c r="B64" s="52">
        <v>4507</v>
      </c>
      <c r="C64" s="52">
        <v>217</v>
      </c>
      <c r="D64" s="52">
        <v>13</v>
      </c>
      <c r="E64" s="52">
        <v>90140</v>
      </c>
      <c r="F64" s="52">
        <v>89591</v>
      </c>
      <c r="G64" s="52">
        <v>125</v>
      </c>
      <c r="H64" s="32">
        <f t="shared" si="0"/>
        <v>5.2551586421122697E-2</v>
      </c>
      <c r="I64" s="31">
        <f t="shared" si="1"/>
        <v>4737</v>
      </c>
    </row>
    <row r="65" spans="1:9" x14ac:dyDescent="0.3">
      <c r="A65" s="51" t="s">
        <v>59</v>
      </c>
      <c r="B65" s="52">
        <v>2878</v>
      </c>
      <c r="C65" s="52">
        <v>248</v>
      </c>
      <c r="D65" s="52">
        <v>416</v>
      </c>
      <c r="E65" s="52">
        <v>43170</v>
      </c>
      <c r="F65" s="52">
        <v>42667</v>
      </c>
      <c r="G65" s="52">
        <v>75</v>
      </c>
      <c r="H65" s="32">
        <f t="shared" si="0"/>
        <v>8.2047718322909427E-2</v>
      </c>
      <c r="I65" s="31">
        <f t="shared" si="1"/>
        <v>3542</v>
      </c>
    </row>
    <row r="66" spans="1:9" x14ac:dyDescent="0.3">
      <c r="A66" s="51" t="s">
        <v>34</v>
      </c>
      <c r="B66" s="52">
        <v>1881</v>
      </c>
      <c r="C66" s="52">
        <v>501</v>
      </c>
      <c r="D66" s="52">
        <v>99</v>
      </c>
      <c r="E66" s="52">
        <v>20691</v>
      </c>
      <c r="F66" s="52">
        <v>19987</v>
      </c>
      <c r="G66" s="52">
        <v>289</v>
      </c>
      <c r="H66" s="32">
        <f t="shared" ref="H66:H129" si="2">(B66+C66+D66)/E66</f>
        <v>0.11990720603160794</v>
      </c>
      <c r="I66" s="31">
        <f t="shared" ref="I66:I129" si="3">B66+C66+D66</f>
        <v>2481</v>
      </c>
    </row>
    <row r="67" spans="1:9" x14ac:dyDescent="0.3">
      <c r="A67" s="51" t="s">
        <v>34</v>
      </c>
      <c r="B67" s="52">
        <v>432</v>
      </c>
      <c r="C67" s="52">
        <v>171</v>
      </c>
      <c r="D67" s="52">
        <v>280</v>
      </c>
      <c r="E67" s="52">
        <v>3024</v>
      </c>
      <c r="F67" s="52">
        <v>2285</v>
      </c>
      <c r="G67" s="52">
        <v>184</v>
      </c>
      <c r="H67" s="32">
        <f t="shared" si="2"/>
        <v>0.29199735449735448</v>
      </c>
      <c r="I67" s="31">
        <f t="shared" si="3"/>
        <v>883</v>
      </c>
    </row>
    <row r="68" spans="1:9" x14ac:dyDescent="0.3">
      <c r="A68" s="51" t="s">
        <v>34</v>
      </c>
      <c r="B68" s="52">
        <v>4712</v>
      </c>
      <c r="C68" s="52">
        <v>568</v>
      </c>
      <c r="D68" s="52">
        <v>127</v>
      </c>
      <c r="E68" s="52">
        <v>84816</v>
      </c>
      <c r="F68" s="52">
        <v>84691</v>
      </c>
      <c r="G68" s="52">
        <v>100</v>
      </c>
      <c r="H68" s="32">
        <f t="shared" si="2"/>
        <v>6.3749764195434822E-2</v>
      </c>
      <c r="I68" s="31">
        <f t="shared" si="3"/>
        <v>5407</v>
      </c>
    </row>
    <row r="69" spans="1:9" x14ac:dyDescent="0.3">
      <c r="A69" s="51" t="s">
        <v>34</v>
      </c>
      <c r="B69" s="52">
        <v>2610</v>
      </c>
      <c r="C69" s="52">
        <v>126</v>
      </c>
      <c r="D69" s="52">
        <v>288</v>
      </c>
      <c r="E69" s="52">
        <v>15660</v>
      </c>
      <c r="F69" s="52">
        <v>15145</v>
      </c>
      <c r="G69" s="52">
        <v>73</v>
      </c>
      <c r="H69" s="32">
        <f t="shared" si="2"/>
        <v>0.19310344827586207</v>
      </c>
      <c r="I69" s="31">
        <f t="shared" si="3"/>
        <v>3024</v>
      </c>
    </row>
    <row r="70" spans="1:9" x14ac:dyDescent="0.3">
      <c r="A70" s="51" t="s">
        <v>59</v>
      </c>
      <c r="B70" s="52">
        <v>1292</v>
      </c>
      <c r="C70" s="52">
        <v>626</v>
      </c>
      <c r="D70" s="52">
        <v>496</v>
      </c>
      <c r="E70" s="52">
        <v>25840</v>
      </c>
      <c r="F70" s="52">
        <v>24916</v>
      </c>
      <c r="G70" s="52">
        <v>149</v>
      </c>
      <c r="H70" s="32">
        <f t="shared" si="2"/>
        <v>9.3421052631578946E-2</v>
      </c>
      <c r="I70" s="31">
        <f t="shared" si="3"/>
        <v>2414</v>
      </c>
    </row>
    <row r="71" spans="1:9" x14ac:dyDescent="0.3">
      <c r="A71" s="51" t="s">
        <v>27</v>
      </c>
      <c r="B71" s="52">
        <v>199</v>
      </c>
      <c r="C71" s="52">
        <v>772</v>
      </c>
      <c r="D71" s="52">
        <v>400</v>
      </c>
      <c r="E71" s="52">
        <v>3582</v>
      </c>
      <c r="F71" s="52">
        <v>2988</v>
      </c>
      <c r="G71" s="52">
        <v>43</v>
      </c>
      <c r="H71" s="32">
        <f t="shared" si="2"/>
        <v>0.38274706867671693</v>
      </c>
      <c r="I71" s="31">
        <f t="shared" si="3"/>
        <v>1371</v>
      </c>
    </row>
    <row r="72" spans="1:9" x14ac:dyDescent="0.3">
      <c r="A72" s="51" t="s">
        <v>27</v>
      </c>
      <c r="B72" s="52">
        <v>2551</v>
      </c>
      <c r="C72" s="52">
        <v>915</v>
      </c>
      <c r="D72" s="52">
        <v>205</v>
      </c>
      <c r="E72" s="52">
        <v>30612</v>
      </c>
      <c r="F72" s="52">
        <v>30360</v>
      </c>
      <c r="G72" s="52">
        <v>227</v>
      </c>
      <c r="H72" s="32">
        <f t="shared" si="2"/>
        <v>0.1199202926956749</v>
      </c>
      <c r="I72" s="31">
        <f t="shared" si="3"/>
        <v>3671</v>
      </c>
    </row>
    <row r="73" spans="1:9" x14ac:dyDescent="0.3">
      <c r="A73" s="51" t="s">
        <v>34</v>
      </c>
      <c r="B73" s="52">
        <v>296</v>
      </c>
      <c r="C73" s="52">
        <v>60</v>
      </c>
      <c r="D73" s="52">
        <v>141</v>
      </c>
      <c r="E73" s="52">
        <v>5624</v>
      </c>
      <c r="F73" s="52">
        <v>5239</v>
      </c>
      <c r="G73" s="52">
        <v>88</v>
      </c>
      <c r="H73" s="32">
        <f t="shared" si="2"/>
        <v>8.837126600284495E-2</v>
      </c>
      <c r="I73" s="31">
        <f t="shared" si="3"/>
        <v>497</v>
      </c>
    </row>
    <row r="74" spans="1:9" x14ac:dyDescent="0.3">
      <c r="A74" s="51" t="s">
        <v>59</v>
      </c>
      <c r="B74" s="52">
        <v>4126</v>
      </c>
      <c r="C74" s="52">
        <v>426</v>
      </c>
      <c r="D74" s="52">
        <v>486</v>
      </c>
      <c r="E74" s="52">
        <v>78394</v>
      </c>
      <c r="F74" s="52">
        <v>77798</v>
      </c>
      <c r="G74" s="52">
        <v>88</v>
      </c>
      <c r="H74" s="32">
        <f t="shared" si="2"/>
        <v>6.4265122330790625E-2</v>
      </c>
      <c r="I74" s="31">
        <f t="shared" si="3"/>
        <v>5038</v>
      </c>
    </row>
    <row r="75" spans="1:9" x14ac:dyDescent="0.3">
      <c r="A75" s="51" t="s">
        <v>27</v>
      </c>
      <c r="B75" s="52">
        <v>1855</v>
      </c>
      <c r="C75" s="52">
        <v>200</v>
      </c>
      <c r="D75" s="52">
        <v>174</v>
      </c>
      <c r="E75" s="52">
        <v>16695</v>
      </c>
      <c r="F75" s="52">
        <v>16330</v>
      </c>
      <c r="G75" s="52">
        <v>123</v>
      </c>
      <c r="H75" s="32">
        <f t="shared" si="2"/>
        <v>0.13351302785265048</v>
      </c>
      <c r="I75" s="31">
        <f t="shared" si="3"/>
        <v>2229</v>
      </c>
    </row>
    <row r="76" spans="1:9" x14ac:dyDescent="0.3">
      <c r="A76" s="51" t="s">
        <v>27</v>
      </c>
      <c r="B76" s="52">
        <v>1674</v>
      </c>
      <c r="C76" s="52">
        <v>929</v>
      </c>
      <c r="D76" s="52">
        <v>37</v>
      </c>
      <c r="E76" s="52">
        <v>21762</v>
      </c>
      <c r="F76" s="52">
        <v>20998</v>
      </c>
      <c r="G76" s="52">
        <v>255</v>
      </c>
      <c r="H76" s="32">
        <f t="shared" si="2"/>
        <v>0.12131237937689551</v>
      </c>
      <c r="I76" s="31">
        <f t="shared" si="3"/>
        <v>2640</v>
      </c>
    </row>
    <row r="77" spans="1:9" x14ac:dyDescent="0.3">
      <c r="A77" s="51" t="s">
        <v>27</v>
      </c>
      <c r="B77" s="52">
        <v>1121</v>
      </c>
      <c r="C77" s="52">
        <v>135</v>
      </c>
      <c r="D77" s="52">
        <v>18</v>
      </c>
      <c r="E77" s="52">
        <v>15694</v>
      </c>
      <c r="F77" s="52">
        <v>14957</v>
      </c>
      <c r="G77" s="52">
        <v>99</v>
      </c>
      <c r="H77" s="32">
        <f t="shared" si="2"/>
        <v>8.1177520071364848E-2</v>
      </c>
      <c r="I77" s="31">
        <f t="shared" si="3"/>
        <v>1274</v>
      </c>
    </row>
    <row r="78" spans="1:9" x14ac:dyDescent="0.3">
      <c r="A78" s="51" t="s">
        <v>27</v>
      </c>
      <c r="B78" s="52">
        <v>1249</v>
      </c>
      <c r="C78" s="52">
        <v>116</v>
      </c>
      <c r="D78" s="52">
        <v>420</v>
      </c>
      <c r="E78" s="52">
        <v>8743</v>
      </c>
      <c r="F78" s="52">
        <v>8538</v>
      </c>
      <c r="G78" s="52">
        <v>63</v>
      </c>
      <c r="H78" s="32">
        <f t="shared" si="2"/>
        <v>0.20416333066453163</v>
      </c>
      <c r="I78" s="31">
        <f t="shared" si="3"/>
        <v>1785</v>
      </c>
    </row>
    <row r="79" spans="1:9" x14ac:dyDescent="0.3">
      <c r="A79" s="51" t="s">
        <v>59</v>
      </c>
      <c r="B79" s="52">
        <v>954</v>
      </c>
      <c r="C79" s="52">
        <v>324</v>
      </c>
      <c r="D79" s="52">
        <v>288</v>
      </c>
      <c r="E79" s="52">
        <v>19080</v>
      </c>
      <c r="F79" s="52">
        <v>18859</v>
      </c>
      <c r="G79" s="52">
        <v>21</v>
      </c>
      <c r="H79" s="32">
        <f t="shared" si="2"/>
        <v>8.2075471698113203E-2</v>
      </c>
      <c r="I79" s="31">
        <f t="shared" si="3"/>
        <v>1566</v>
      </c>
    </row>
    <row r="80" spans="1:9" x14ac:dyDescent="0.3">
      <c r="A80" s="51" t="s">
        <v>34</v>
      </c>
      <c r="B80" s="52">
        <v>3068</v>
      </c>
      <c r="C80" s="52">
        <v>137</v>
      </c>
      <c r="D80" s="52">
        <v>329</v>
      </c>
      <c r="E80" s="52">
        <v>39884</v>
      </c>
      <c r="F80" s="52">
        <v>39404</v>
      </c>
      <c r="G80" s="52">
        <v>266</v>
      </c>
      <c r="H80" s="32">
        <f t="shared" si="2"/>
        <v>8.860696018453515E-2</v>
      </c>
      <c r="I80" s="31">
        <f t="shared" si="3"/>
        <v>3534</v>
      </c>
    </row>
    <row r="81" spans="1:9" x14ac:dyDescent="0.3">
      <c r="A81" s="51" t="s">
        <v>59</v>
      </c>
      <c r="B81" s="52">
        <v>2103</v>
      </c>
      <c r="C81" s="52">
        <v>892</v>
      </c>
      <c r="D81" s="52">
        <v>103</v>
      </c>
      <c r="E81" s="52">
        <v>39957</v>
      </c>
      <c r="F81" s="52">
        <v>39466</v>
      </c>
      <c r="G81" s="52">
        <v>28</v>
      </c>
      <c r="H81" s="32">
        <f t="shared" si="2"/>
        <v>7.7533348349475686E-2</v>
      </c>
      <c r="I81" s="31">
        <f t="shared" si="3"/>
        <v>3098</v>
      </c>
    </row>
    <row r="82" spans="1:9" x14ac:dyDescent="0.3">
      <c r="A82" s="51" t="s">
        <v>27</v>
      </c>
      <c r="B82" s="52">
        <v>1816</v>
      </c>
      <c r="C82" s="52">
        <v>29</v>
      </c>
      <c r="D82" s="52">
        <v>41</v>
      </c>
      <c r="E82" s="52">
        <v>19976</v>
      </c>
      <c r="F82" s="52">
        <v>19262</v>
      </c>
      <c r="G82" s="52">
        <v>283</v>
      </c>
      <c r="H82" s="32">
        <f t="shared" si="2"/>
        <v>9.4413295955146179E-2</v>
      </c>
      <c r="I82" s="31">
        <f t="shared" si="3"/>
        <v>1886</v>
      </c>
    </row>
    <row r="83" spans="1:9" x14ac:dyDescent="0.3">
      <c r="A83" s="51" t="s">
        <v>59</v>
      </c>
      <c r="B83" s="52">
        <v>725</v>
      </c>
      <c r="C83" s="52">
        <v>88</v>
      </c>
      <c r="D83" s="52">
        <v>428</v>
      </c>
      <c r="E83" s="52">
        <v>14500</v>
      </c>
      <c r="F83" s="52">
        <v>13637</v>
      </c>
      <c r="G83" s="52">
        <v>200</v>
      </c>
      <c r="H83" s="32">
        <f t="shared" si="2"/>
        <v>8.558620689655172E-2</v>
      </c>
      <c r="I83" s="31">
        <f t="shared" si="3"/>
        <v>1241</v>
      </c>
    </row>
    <row r="84" spans="1:9" x14ac:dyDescent="0.3">
      <c r="A84" s="51" t="s">
        <v>34</v>
      </c>
      <c r="B84" s="52">
        <v>1094</v>
      </c>
      <c r="C84" s="52">
        <v>472</v>
      </c>
      <c r="D84" s="52">
        <v>21</v>
      </c>
      <c r="E84" s="52">
        <v>9846</v>
      </c>
      <c r="F84" s="52">
        <v>9609</v>
      </c>
      <c r="G84" s="52">
        <v>112</v>
      </c>
      <c r="H84" s="32">
        <f t="shared" si="2"/>
        <v>0.16118220597196831</v>
      </c>
      <c r="I84" s="31">
        <f t="shared" si="3"/>
        <v>1587</v>
      </c>
    </row>
    <row r="85" spans="1:9" x14ac:dyDescent="0.3">
      <c r="A85" s="51" t="s">
        <v>59</v>
      </c>
      <c r="B85" s="52">
        <v>1841</v>
      </c>
      <c r="C85" s="52">
        <v>851</v>
      </c>
      <c r="D85" s="52">
        <v>342</v>
      </c>
      <c r="E85" s="52">
        <v>34979</v>
      </c>
      <c r="F85" s="52">
        <v>34154</v>
      </c>
      <c r="G85" s="52">
        <v>255</v>
      </c>
      <c r="H85" s="32">
        <f t="shared" si="2"/>
        <v>8.6737756939878216E-2</v>
      </c>
      <c r="I85" s="31">
        <f t="shared" si="3"/>
        <v>3034</v>
      </c>
    </row>
    <row r="86" spans="1:9" x14ac:dyDescent="0.3">
      <c r="A86" s="51" t="s">
        <v>59</v>
      </c>
      <c r="B86" s="52">
        <v>4177</v>
      </c>
      <c r="C86" s="52">
        <v>569</v>
      </c>
      <c r="D86" s="52">
        <v>55</v>
      </c>
      <c r="E86" s="52">
        <v>25062</v>
      </c>
      <c r="F86" s="52">
        <v>24847</v>
      </c>
      <c r="G86" s="52">
        <v>230</v>
      </c>
      <c r="H86" s="32">
        <f t="shared" si="2"/>
        <v>0.19156491900087783</v>
      </c>
      <c r="I86" s="31">
        <f t="shared" si="3"/>
        <v>4801</v>
      </c>
    </row>
    <row r="87" spans="1:9" x14ac:dyDescent="0.3">
      <c r="A87" s="51" t="s">
        <v>34</v>
      </c>
      <c r="B87" s="52">
        <v>3428</v>
      </c>
      <c r="C87" s="52">
        <v>305</v>
      </c>
      <c r="D87" s="52">
        <v>85</v>
      </c>
      <c r="E87" s="52">
        <v>58276</v>
      </c>
      <c r="F87" s="52">
        <v>58052</v>
      </c>
      <c r="G87" s="52">
        <v>242</v>
      </c>
      <c r="H87" s="32">
        <f t="shared" si="2"/>
        <v>6.5515821264328367E-2</v>
      </c>
      <c r="I87" s="31">
        <f t="shared" si="3"/>
        <v>3818</v>
      </c>
    </row>
    <row r="88" spans="1:9" x14ac:dyDescent="0.3">
      <c r="A88" s="51" t="s">
        <v>59</v>
      </c>
      <c r="B88" s="52">
        <v>1436</v>
      </c>
      <c r="C88" s="52">
        <v>765</v>
      </c>
      <c r="D88" s="52">
        <v>496</v>
      </c>
      <c r="E88" s="52">
        <v>12924</v>
      </c>
      <c r="F88" s="52">
        <v>12701</v>
      </c>
      <c r="G88" s="52">
        <v>197</v>
      </c>
      <c r="H88" s="32">
        <f t="shared" si="2"/>
        <v>0.20868152274837512</v>
      </c>
      <c r="I88" s="31">
        <f t="shared" si="3"/>
        <v>2697</v>
      </c>
    </row>
    <row r="89" spans="1:9" x14ac:dyDescent="0.3">
      <c r="A89" s="51" t="s">
        <v>27</v>
      </c>
      <c r="B89" s="52">
        <v>302</v>
      </c>
      <c r="C89" s="52">
        <v>47</v>
      </c>
      <c r="D89" s="52">
        <v>430</v>
      </c>
      <c r="E89" s="52">
        <v>5738</v>
      </c>
      <c r="F89" s="52">
        <v>4890</v>
      </c>
      <c r="G89" s="52">
        <v>25</v>
      </c>
      <c r="H89" s="32">
        <f t="shared" si="2"/>
        <v>0.13576158940397351</v>
      </c>
      <c r="I89" s="31">
        <f t="shared" si="3"/>
        <v>779</v>
      </c>
    </row>
    <row r="90" spans="1:9" x14ac:dyDescent="0.3">
      <c r="A90" s="51" t="s">
        <v>34</v>
      </c>
      <c r="B90" s="52">
        <v>2214</v>
      </c>
      <c r="C90" s="52">
        <v>249</v>
      </c>
      <c r="D90" s="52">
        <v>152</v>
      </c>
      <c r="E90" s="52">
        <v>15498</v>
      </c>
      <c r="F90" s="52">
        <v>14800</v>
      </c>
      <c r="G90" s="52">
        <v>180</v>
      </c>
      <c r="H90" s="32">
        <f t="shared" si="2"/>
        <v>0.16873144921925409</v>
      </c>
      <c r="I90" s="31">
        <f t="shared" si="3"/>
        <v>2615</v>
      </c>
    </row>
    <row r="91" spans="1:9" x14ac:dyDescent="0.3">
      <c r="A91" s="51" t="s">
        <v>27</v>
      </c>
      <c r="B91" s="52">
        <v>3861</v>
      </c>
      <c r="C91" s="52">
        <v>960</v>
      </c>
      <c r="D91" s="52">
        <v>101</v>
      </c>
      <c r="E91" s="52">
        <v>69498</v>
      </c>
      <c r="F91" s="52">
        <v>68817</v>
      </c>
      <c r="G91" s="52">
        <v>297</v>
      </c>
      <c r="H91" s="32">
        <f t="shared" si="2"/>
        <v>7.0822181933293038E-2</v>
      </c>
      <c r="I91" s="31">
        <f t="shared" si="3"/>
        <v>4922</v>
      </c>
    </row>
    <row r="92" spans="1:9" x14ac:dyDescent="0.3">
      <c r="A92" s="51" t="s">
        <v>34</v>
      </c>
      <c r="B92" s="52">
        <v>1263</v>
      </c>
      <c r="C92" s="52">
        <v>397</v>
      </c>
      <c r="D92" s="52">
        <v>357</v>
      </c>
      <c r="E92" s="52">
        <v>25260</v>
      </c>
      <c r="F92" s="52">
        <v>24615</v>
      </c>
      <c r="G92" s="52">
        <v>137</v>
      </c>
      <c r="H92" s="32">
        <f t="shared" si="2"/>
        <v>7.984956452889945E-2</v>
      </c>
      <c r="I92" s="31">
        <f t="shared" si="3"/>
        <v>2017</v>
      </c>
    </row>
    <row r="93" spans="1:9" x14ac:dyDescent="0.3">
      <c r="A93" s="51" t="s">
        <v>59</v>
      </c>
      <c r="B93" s="52">
        <v>3801</v>
      </c>
      <c r="C93" s="52">
        <v>967</v>
      </c>
      <c r="D93" s="52">
        <v>401</v>
      </c>
      <c r="E93" s="52">
        <v>38010</v>
      </c>
      <c r="F93" s="52">
        <v>37625</v>
      </c>
      <c r="G93" s="52">
        <v>236</v>
      </c>
      <c r="H93" s="32">
        <f t="shared" si="2"/>
        <v>0.13599052880820836</v>
      </c>
      <c r="I93" s="31">
        <f t="shared" si="3"/>
        <v>5169</v>
      </c>
    </row>
    <row r="94" spans="1:9" x14ac:dyDescent="0.3">
      <c r="A94" s="51" t="s">
        <v>34</v>
      </c>
      <c r="B94" s="52">
        <v>1431</v>
      </c>
      <c r="C94" s="52">
        <v>951</v>
      </c>
      <c r="D94" s="52">
        <v>26</v>
      </c>
      <c r="E94" s="52">
        <v>8586</v>
      </c>
      <c r="F94" s="52">
        <v>8396</v>
      </c>
      <c r="G94" s="52">
        <v>150</v>
      </c>
      <c r="H94" s="32">
        <f t="shared" si="2"/>
        <v>0.28045655718611695</v>
      </c>
      <c r="I94" s="31">
        <f t="shared" si="3"/>
        <v>2408</v>
      </c>
    </row>
    <row r="95" spans="1:9" x14ac:dyDescent="0.3">
      <c r="A95" s="51" t="s">
        <v>59</v>
      </c>
      <c r="B95" s="52">
        <v>2647</v>
      </c>
      <c r="C95" s="52">
        <v>304</v>
      </c>
      <c r="D95" s="52">
        <v>170</v>
      </c>
      <c r="E95" s="52">
        <v>18529</v>
      </c>
      <c r="F95" s="52">
        <v>17841</v>
      </c>
      <c r="G95" s="52">
        <v>46</v>
      </c>
      <c r="H95" s="32">
        <f t="shared" si="2"/>
        <v>0.16843866371633656</v>
      </c>
      <c r="I95" s="31">
        <f t="shared" si="3"/>
        <v>3121</v>
      </c>
    </row>
    <row r="96" spans="1:9" x14ac:dyDescent="0.3">
      <c r="A96" s="51" t="s">
        <v>59</v>
      </c>
      <c r="B96" s="52">
        <v>3182</v>
      </c>
      <c r="C96" s="52">
        <v>559</v>
      </c>
      <c r="D96" s="52">
        <v>160</v>
      </c>
      <c r="E96" s="52">
        <v>57276</v>
      </c>
      <c r="F96" s="52">
        <v>56890</v>
      </c>
      <c r="G96" s="52">
        <v>163</v>
      </c>
      <c r="H96" s="32">
        <f t="shared" si="2"/>
        <v>6.8108806480899509E-2</v>
      </c>
      <c r="I96" s="31">
        <f t="shared" si="3"/>
        <v>3901</v>
      </c>
    </row>
    <row r="97" spans="1:9" x14ac:dyDescent="0.3">
      <c r="A97" s="51" t="s">
        <v>59</v>
      </c>
      <c r="B97" s="52">
        <v>1238</v>
      </c>
      <c r="C97" s="52">
        <v>366</v>
      </c>
      <c r="D97" s="52">
        <v>444</v>
      </c>
      <c r="E97" s="52">
        <v>19808</v>
      </c>
      <c r="F97" s="52">
        <v>19334</v>
      </c>
      <c r="G97" s="52">
        <v>123</v>
      </c>
      <c r="H97" s="32">
        <f t="shared" si="2"/>
        <v>0.10339256865912763</v>
      </c>
      <c r="I97" s="31">
        <f t="shared" si="3"/>
        <v>2048</v>
      </c>
    </row>
    <row r="98" spans="1:9" x14ac:dyDescent="0.3">
      <c r="A98" s="51" t="s">
        <v>27</v>
      </c>
      <c r="B98" s="52">
        <v>4739</v>
      </c>
      <c r="C98" s="52">
        <v>527</v>
      </c>
      <c r="D98" s="52">
        <v>135</v>
      </c>
      <c r="E98" s="52">
        <v>61607</v>
      </c>
      <c r="F98" s="52">
        <v>61333</v>
      </c>
      <c r="G98" s="52">
        <v>36</v>
      </c>
      <c r="H98" s="32">
        <f t="shared" si="2"/>
        <v>8.7668609086629767E-2</v>
      </c>
      <c r="I98" s="31">
        <f t="shared" si="3"/>
        <v>5401</v>
      </c>
    </row>
    <row r="99" spans="1:9" x14ac:dyDescent="0.3">
      <c r="A99" s="51" t="s">
        <v>59</v>
      </c>
      <c r="B99" s="52">
        <v>1575</v>
      </c>
      <c r="C99" s="52">
        <v>771</v>
      </c>
      <c r="D99" s="52">
        <v>486</v>
      </c>
      <c r="E99" s="52">
        <v>25200</v>
      </c>
      <c r="F99" s="52">
        <v>24826</v>
      </c>
      <c r="G99" s="52">
        <v>17</v>
      </c>
      <c r="H99" s="32">
        <f t="shared" si="2"/>
        <v>0.11238095238095239</v>
      </c>
      <c r="I99" s="31">
        <f t="shared" si="3"/>
        <v>2832</v>
      </c>
    </row>
    <row r="100" spans="1:9" x14ac:dyDescent="0.3">
      <c r="A100" s="51" t="s">
        <v>59</v>
      </c>
      <c r="B100" s="52">
        <v>4171</v>
      </c>
      <c r="C100" s="52">
        <v>548</v>
      </c>
      <c r="D100" s="52">
        <v>86</v>
      </c>
      <c r="E100" s="52">
        <v>66736</v>
      </c>
      <c r="F100" s="52">
        <v>66634</v>
      </c>
      <c r="G100" s="52">
        <v>173</v>
      </c>
      <c r="H100" s="32">
        <f t="shared" si="2"/>
        <v>7.2000119875329657E-2</v>
      </c>
      <c r="I100" s="31">
        <f t="shared" si="3"/>
        <v>4805</v>
      </c>
    </row>
    <row r="101" spans="1:9" x14ac:dyDescent="0.3">
      <c r="A101" s="51" t="s">
        <v>34</v>
      </c>
      <c r="B101" s="52">
        <v>1766</v>
      </c>
      <c r="C101" s="52">
        <v>92</v>
      </c>
      <c r="D101" s="52">
        <v>424</v>
      </c>
      <c r="E101" s="52">
        <v>24724</v>
      </c>
      <c r="F101" s="52">
        <v>24333</v>
      </c>
      <c r="G101" s="52">
        <v>52</v>
      </c>
      <c r="H101" s="32">
        <f t="shared" si="2"/>
        <v>9.2298980747451867E-2</v>
      </c>
      <c r="I101" s="31">
        <f t="shared" si="3"/>
        <v>2282</v>
      </c>
    </row>
    <row r="102" spans="1:9" x14ac:dyDescent="0.3">
      <c r="A102" s="51" t="s">
        <v>59</v>
      </c>
      <c r="B102" s="52">
        <v>4450</v>
      </c>
      <c r="C102" s="52">
        <v>983</v>
      </c>
      <c r="D102" s="52">
        <v>143</v>
      </c>
      <c r="E102" s="52">
        <v>75650</v>
      </c>
      <c r="F102" s="52">
        <v>75008</v>
      </c>
      <c r="G102" s="52">
        <v>12</v>
      </c>
      <c r="H102" s="32">
        <f t="shared" si="2"/>
        <v>7.3707865168539333E-2</v>
      </c>
      <c r="I102" s="31">
        <f t="shared" si="3"/>
        <v>5576</v>
      </c>
    </row>
    <row r="103" spans="1:9" x14ac:dyDescent="0.3">
      <c r="A103" s="51" t="s">
        <v>34</v>
      </c>
      <c r="B103" s="52">
        <v>1000</v>
      </c>
      <c r="C103" s="52">
        <v>978</v>
      </c>
      <c r="D103" s="52">
        <v>162</v>
      </c>
      <c r="E103" s="52">
        <v>6000</v>
      </c>
      <c r="F103" s="52">
        <v>5221</v>
      </c>
      <c r="G103" s="52">
        <v>223</v>
      </c>
      <c r="H103" s="32">
        <f t="shared" si="2"/>
        <v>0.35666666666666669</v>
      </c>
      <c r="I103" s="31">
        <f t="shared" si="3"/>
        <v>2140</v>
      </c>
    </row>
    <row r="104" spans="1:9" x14ac:dyDescent="0.3">
      <c r="A104" s="51" t="s">
        <v>34</v>
      </c>
      <c r="B104" s="52">
        <v>3689</v>
      </c>
      <c r="C104" s="52">
        <v>48</v>
      </c>
      <c r="D104" s="52">
        <v>306</v>
      </c>
      <c r="E104" s="52">
        <v>40579</v>
      </c>
      <c r="F104" s="52">
        <v>39588</v>
      </c>
      <c r="G104" s="52">
        <v>212</v>
      </c>
      <c r="H104" s="32">
        <f t="shared" si="2"/>
        <v>9.9632815002833983E-2</v>
      </c>
      <c r="I104" s="31">
        <f t="shared" si="3"/>
        <v>4043</v>
      </c>
    </row>
    <row r="105" spans="1:9" x14ac:dyDescent="0.3">
      <c r="A105" s="51" t="s">
        <v>27</v>
      </c>
      <c r="B105" s="52">
        <v>3655</v>
      </c>
      <c r="C105" s="52">
        <v>568</v>
      </c>
      <c r="D105" s="52">
        <v>286</v>
      </c>
      <c r="E105" s="52">
        <v>32895</v>
      </c>
      <c r="F105" s="52">
        <v>32015</v>
      </c>
      <c r="G105" s="52">
        <v>199</v>
      </c>
      <c r="H105" s="32">
        <f t="shared" si="2"/>
        <v>0.13707250341997265</v>
      </c>
      <c r="I105" s="31">
        <f t="shared" si="3"/>
        <v>4509</v>
      </c>
    </row>
    <row r="106" spans="1:9" x14ac:dyDescent="0.3">
      <c r="A106" s="51" t="s">
        <v>59</v>
      </c>
      <c r="B106" s="52">
        <v>498</v>
      </c>
      <c r="C106" s="52">
        <v>38</v>
      </c>
      <c r="D106" s="52">
        <v>42</v>
      </c>
      <c r="E106" s="52">
        <v>4482</v>
      </c>
      <c r="F106" s="52">
        <v>3647</v>
      </c>
      <c r="G106" s="52">
        <v>32</v>
      </c>
      <c r="H106" s="32">
        <f t="shared" si="2"/>
        <v>0.12896028558679162</v>
      </c>
      <c r="I106" s="31">
        <f t="shared" si="3"/>
        <v>578</v>
      </c>
    </row>
    <row r="107" spans="1:9" x14ac:dyDescent="0.3">
      <c r="A107" s="51" t="s">
        <v>27</v>
      </c>
      <c r="B107" s="52">
        <v>4619</v>
      </c>
      <c r="C107" s="52">
        <v>821</v>
      </c>
      <c r="D107" s="52">
        <v>499</v>
      </c>
      <c r="E107" s="52">
        <v>69285</v>
      </c>
      <c r="F107" s="52">
        <v>69141</v>
      </c>
      <c r="G107" s="52">
        <v>298</v>
      </c>
      <c r="H107" s="32">
        <f t="shared" si="2"/>
        <v>8.5718409468138843E-2</v>
      </c>
      <c r="I107" s="31">
        <f t="shared" si="3"/>
        <v>5939</v>
      </c>
    </row>
    <row r="108" spans="1:9" x14ac:dyDescent="0.3">
      <c r="A108" s="51" t="s">
        <v>27</v>
      </c>
      <c r="B108" s="52">
        <v>4832</v>
      </c>
      <c r="C108" s="52">
        <v>893</v>
      </c>
      <c r="D108" s="52">
        <v>10</v>
      </c>
      <c r="E108" s="52">
        <v>91808</v>
      </c>
      <c r="F108" s="52">
        <v>91296</v>
      </c>
      <c r="G108" s="52">
        <v>182</v>
      </c>
      <c r="H108" s="32">
        <f t="shared" si="2"/>
        <v>6.2467323109097243E-2</v>
      </c>
      <c r="I108" s="31">
        <f t="shared" si="3"/>
        <v>5735</v>
      </c>
    </row>
    <row r="109" spans="1:9" x14ac:dyDescent="0.3">
      <c r="A109" s="51" t="s">
        <v>27</v>
      </c>
      <c r="B109" s="52">
        <v>4050</v>
      </c>
      <c r="C109" s="52">
        <v>871</v>
      </c>
      <c r="D109" s="52">
        <v>347</v>
      </c>
      <c r="E109" s="52">
        <v>52650</v>
      </c>
      <c r="F109" s="52">
        <v>51755</v>
      </c>
      <c r="G109" s="52">
        <v>209</v>
      </c>
      <c r="H109" s="32">
        <f t="shared" si="2"/>
        <v>0.10005698005698006</v>
      </c>
      <c r="I109" s="31">
        <f t="shared" si="3"/>
        <v>5268</v>
      </c>
    </row>
    <row r="110" spans="1:9" x14ac:dyDescent="0.3">
      <c r="A110" s="51" t="s">
        <v>59</v>
      </c>
      <c r="B110" s="52">
        <v>3649</v>
      </c>
      <c r="C110" s="52">
        <v>215</v>
      </c>
      <c r="D110" s="52">
        <v>413</v>
      </c>
      <c r="E110" s="52">
        <v>25543</v>
      </c>
      <c r="F110" s="52">
        <v>24963</v>
      </c>
      <c r="G110" s="52">
        <v>167</v>
      </c>
      <c r="H110" s="32">
        <f t="shared" si="2"/>
        <v>0.16744313510550835</v>
      </c>
      <c r="I110" s="31">
        <f t="shared" si="3"/>
        <v>4277</v>
      </c>
    </row>
    <row r="111" spans="1:9" x14ac:dyDescent="0.3">
      <c r="A111" s="51" t="s">
        <v>34</v>
      </c>
      <c r="B111" s="52">
        <v>3523</v>
      </c>
      <c r="C111" s="52">
        <v>753</v>
      </c>
      <c r="D111" s="52">
        <v>482</v>
      </c>
      <c r="E111" s="52">
        <v>38753</v>
      </c>
      <c r="F111" s="52">
        <v>38579</v>
      </c>
      <c r="G111" s="52">
        <v>270</v>
      </c>
      <c r="H111" s="32">
        <f t="shared" si="2"/>
        <v>0.12277759141227776</v>
      </c>
      <c r="I111" s="31">
        <f t="shared" si="3"/>
        <v>4758</v>
      </c>
    </row>
    <row r="112" spans="1:9" x14ac:dyDescent="0.3">
      <c r="A112" s="51" t="s">
        <v>27</v>
      </c>
      <c r="B112" s="52">
        <v>2719</v>
      </c>
      <c r="C112" s="52">
        <v>17</v>
      </c>
      <c r="D112" s="52">
        <v>285</v>
      </c>
      <c r="E112" s="52">
        <v>40785</v>
      </c>
      <c r="F112" s="52">
        <v>40281</v>
      </c>
      <c r="G112" s="52">
        <v>40</v>
      </c>
      <c r="H112" s="32">
        <f t="shared" si="2"/>
        <v>7.4071349760941527E-2</v>
      </c>
      <c r="I112" s="31">
        <f t="shared" si="3"/>
        <v>3021</v>
      </c>
    </row>
    <row r="113" spans="1:9" x14ac:dyDescent="0.3">
      <c r="A113" s="51" t="s">
        <v>59</v>
      </c>
      <c r="B113" s="52">
        <v>1957</v>
      </c>
      <c r="C113" s="52">
        <v>877</v>
      </c>
      <c r="D113" s="52">
        <v>238</v>
      </c>
      <c r="E113" s="52">
        <v>17613</v>
      </c>
      <c r="F113" s="52">
        <v>16865</v>
      </c>
      <c r="G113" s="52">
        <v>297</v>
      </c>
      <c r="H113" s="32">
        <f t="shared" si="2"/>
        <v>0.17441662408448305</v>
      </c>
      <c r="I113" s="31">
        <f t="shared" si="3"/>
        <v>3072</v>
      </c>
    </row>
    <row r="114" spans="1:9" x14ac:dyDescent="0.3">
      <c r="A114" s="51" t="s">
        <v>34</v>
      </c>
      <c r="B114" s="52">
        <v>4419</v>
      </c>
      <c r="C114" s="52">
        <v>236</v>
      </c>
      <c r="D114" s="52">
        <v>369</v>
      </c>
      <c r="E114" s="52">
        <v>44190</v>
      </c>
      <c r="F114" s="52">
        <v>43582</v>
      </c>
      <c r="G114" s="52">
        <v>10</v>
      </c>
      <c r="H114" s="32">
        <f t="shared" si="2"/>
        <v>0.11369088028965829</v>
      </c>
      <c r="I114" s="31">
        <f t="shared" si="3"/>
        <v>5024</v>
      </c>
    </row>
    <row r="115" spans="1:9" x14ac:dyDescent="0.3">
      <c r="A115" s="51" t="s">
        <v>59</v>
      </c>
      <c r="B115" s="52">
        <v>4000</v>
      </c>
      <c r="C115" s="52">
        <v>689</v>
      </c>
      <c r="D115" s="52">
        <v>488</v>
      </c>
      <c r="E115" s="52">
        <v>40000</v>
      </c>
      <c r="F115" s="52">
        <v>39569</v>
      </c>
      <c r="G115" s="52">
        <v>44</v>
      </c>
      <c r="H115" s="32">
        <f t="shared" si="2"/>
        <v>0.12942500000000001</v>
      </c>
      <c r="I115" s="31">
        <f t="shared" si="3"/>
        <v>5177</v>
      </c>
    </row>
    <row r="116" spans="1:9" x14ac:dyDescent="0.3">
      <c r="A116" s="51" t="s">
        <v>27</v>
      </c>
      <c r="B116" s="52">
        <v>2493</v>
      </c>
      <c r="C116" s="52">
        <v>97</v>
      </c>
      <c r="D116" s="52">
        <v>44</v>
      </c>
      <c r="E116" s="52">
        <v>42381</v>
      </c>
      <c r="F116" s="52">
        <v>41991</v>
      </c>
      <c r="G116" s="52">
        <v>242</v>
      </c>
      <c r="H116" s="32">
        <f t="shared" si="2"/>
        <v>6.2150491965739366E-2</v>
      </c>
      <c r="I116" s="31">
        <f t="shared" si="3"/>
        <v>2634</v>
      </c>
    </row>
    <row r="117" spans="1:9" x14ac:dyDescent="0.3">
      <c r="A117" s="51" t="s">
        <v>27</v>
      </c>
      <c r="B117" s="52">
        <v>3704</v>
      </c>
      <c r="C117" s="52">
        <v>186</v>
      </c>
      <c r="D117" s="52">
        <v>458</v>
      </c>
      <c r="E117" s="52">
        <v>25928</v>
      </c>
      <c r="F117" s="52">
        <v>25081</v>
      </c>
      <c r="G117" s="52">
        <v>131</v>
      </c>
      <c r="H117" s="32">
        <f t="shared" si="2"/>
        <v>0.16769515581610614</v>
      </c>
      <c r="I117" s="31">
        <f t="shared" si="3"/>
        <v>4348</v>
      </c>
    </row>
    <row r="118" spans="1:9" x14ac:dyDescent="0.3">
      <c r="A118" s="51" t="s">
        <v>34</v>
      </c>
      <c r="B118" s="52">
        <v>1606</v>
      </c>
      <c r="C118" s="52">
        <v>451</v>
      </c>
      <c r="D118" s="52">
        <v>405</v>
      </c>
      <c r="E118" s="52">
        <v>20878</v>
      </c>
      <c r="F118" s="52">
        <v>20190</v>
      </c>
      <c r="G118" s="52">
        <v>219</v>
      </c>
      <c r="H118" s="32">
        <f t="shared" si="2"/>
        <v>0.11792317271769326</v>
      </c>
      <c r="I118" s="31">
        <f t="shared" si="3"/>
        <v>2462</v>
      </c>
    </row>
    <row r="119" spans="1:9" x14ac:dyDescent="0.3">
      <c r="A119" s="51" t="s">
        <v>59</v>
      </c>
      <c r="B119" s="52">
        <v>4551</v>
      </c>
      <c r="C119" s="52">
        <v>714</v>
      </c>
      <c r="D119" s="52">
        <v>207</v>
      </c>
      <c r="E119" s="52">
        <v>68265</v>
      </c>
      <c r="F119" s="52">
        <v>67754</v>
      </c>
      <c r="G119" s="52">
        <v>57</v>
      </c>
      <c r="H119" s="32">
        <f t="shared" si="2"/>
        <v>8.0158206987475278E-2</v>
      </c>
      <c r="I119" s="31">
        <f t="shared" si="3"/>
        <v>5472</v>
      </c>
    </row>
    <row r="120" spans="1:9" x14ac:dyDescent="0.3">
      <c r="A120" s="51" t="s">
        <v>59</v>
      </c>
      <c r="B120" s="52">
        <v>1970</v>
      </c>
      <c r="C120" s="52">
        <v>675</v>
      </c>
      <c r="D120" s="52">
        <v>478</v>
      </c>
      <c r="E120" s="52">
        <v>9850</v>
      </c>
      <c r="F120" s="52">
        <v>8924</v>
      </c>
      <c r="G120" s="52">
        <v>117</v>
      </c>
      <c r="H120" s="32">
        <f t="shared" si="2"/>
        <v>0.31705583756345179</v>
      </c>
      <c r="I120" s="31">
        <f t="shared" si="3"/>
        <v>3123</v>
      </c>
    </row>
    <row r="121" spans="1:9" x14ac:dyDescent="0.3">
      <c r="A121" s="51" t="s">
        <v>34</v>
      </c>
      <c r="B121" s="52">
        <v>780</v>
      </c>
      <c r="C121" s="52">
        <v>928</v>
      </c>
      <c r="D121" s="52">
        <v>301</v>
      </c>
      <c r="E121" s="52">
        <v>8580</v>
      </c>
      <c r="F121" s="52">
        <v>8081</v>
      </c>
      <c r="G121" s="52">
        <v>91</v>
      </c>
      <c r="H121" s="32">
        <f t="shared" si="2"/>
        <v>0.23414918414918415</v>
      </c>
      <c r="I121" s="31">
        <f t="shared" si="3"/>
        <v>2009</v>
      </c>
    </row>
    <row r="122" spans="1:9" x14ac:dyDescent="0.3">
      <c r="A122" s="51" t="s">
        <v>59</v>
      </c>
      <c r="B122" s="52">
        <v>498</v>
      </c>
      <c r="C122" s="52">
        <v>701</v>
      </c>
      <c r="D122" s="52">
        <v>412</v>
      </c>
      <c r="E122" s="52">
        <v>4980</v>
      </c>
      <c r="F122" s="52">
        <v>4185</v>
      </c>
      <c r="G122" s="52">
        <v>185</v>
      </c>
      <c r="H122" s="32">
        <f t="shared" si="2"/>
        <v>0.32349397590361445</v>
      </c>
      <c r="I122" s="31">
        <f t="shared" si="3"/>
        <v>1611</v>
      </c>
    </row>
    <row r="123" spans="1:9" x14ac:dyDescent="0.3">
      <c r="A123" s="51" t="s">
        <v>34</v>
      </c>
      <c r="B123" s="52">
        <v>3432</v>
      </c>
      <c r="C123" s="52">
        <v>869</v>
      </c>
      <c r="D123" s="52">
        <v>123</v>
      </c>
      <c r="E123" s="52">
        <v>54912</v>
      </c>
      <c r="F123" s="52">
        <v>53916</v>
      </c>
      <c r="G123" s="52">
        <v>264</v>
      </c>
      <c r="H123" s="32">
        <f t="shared" si="2"/>
        <v>8.0565268065268064E-2</v>
      </c>
      <c r="I123" s="31">
        <f t="shared" si="3"/>
        <v>4424</v>
      </c>
    </row>
    <row r="124" spans="1:9" x14ac:dyDescent="0.3">
      <c r="A124" s="51" t="s">
        <v>34</v>
      </c>
      <c r="B124" s="52">
        <v>4363</v>
      </c>
      <c r="C124" s="52">
        <v>649</v>
      </c>
      <c r="D124" s="52">
        <v>140</v>
      </c>
      <c r="E124" s="52">
        <v>21815</v>
      </c>
      <c r="F124" s="52">
        <v>21481</v>
      </c>
      <c r="G124" s="52">
        <v>157</v>
      </c>
      <c r="H124" s="32">
        <f t="shared" si="2"/>
        <v>0.23616777446710979</v>
      </c>
      <c r="I124" s="31">
        <f t="shared" si="3"/>
        <v>5152</v>
      </c>
    </row>
    <row r="125" spans="1:9" x14ac:dyDescent="0.3">
      <c r="A125" s="51" t="s">
        <v>34</v>
      </c>
      <c r="B125" s="52">
        <v>736</v>
      </c>
      <c r="C125" s="52">
        <v>771</v>
      </c>
      <c r="D125" s="52">
        <v>225</v>
      </c>
      <c r="E125" s="52">
        <v>5152</v>
      </c>
      <c r="F125" s="52">
        <v>4706</v>
      </c>
      <c r="G125" s="52">
        <v>19</v>
      </c>
      <c r="H125" s="32">
        <f t="shared" si="2"/>
        <v>0.33618012422360249</v>
      </c>
      <c r="I125" s="31">
        <f t="shared" si="3"/>
        <v>1732</v>
      </c>
    </row>
    <row r="126" spans="1:9" x14ac:dyDescent="0.3">
      <c r="A126" s="51" t="s">
        <v>27</v>
      </c>
      <c r="B126" s="52">
        <v>3811</v>
      </c>
      <c r="C126" s="52">
        <v>866</v>
      </c>
      <c r="D126" s="52">
        <v>216</v>
      </c>
      <c r="E126" s="52">
        <v>34299</v>
      </c>
      <c r="F126" s="52">
        <v>34088</v>
      </c>
      <c r="G126" s="52">
        <v>233</v>
      </c>
      <c r="H126" s="32">
        <f t="shared" si="2"/>
        <v>0.14265722032712325</v>
      </c>
      <c r="I126" s="31">
        <f t="shared" si="3"/>
        <v>4893</v>
      </c>
    </row>
    <row r="127" spans="1:9" x14ac:dyDescent="0.3">
      <c r="A127" s="51" t="s">
        <v>59</v>
      </c>
      <c r="B127" s="52">
        <v>4158</v>
      </c>
      <c r="C127" s="52">
        <v>167</v>
      </c>
      <c r="D127" s="52">
        <v>241</v>
      </c>
      <c r="E127" s="52">
        <v>45738</v>
      </c>
      <c r="F127" s="52">
        <v>45183</v>
      </c>
      <c r="G127" s="52">
        <v>142</v>
      </c>
      <c r="H127" s="32">
        <f t="shared" si="2"/>
        <v>9.9829463465827106E-2</v>
      </c>
      <c r="I127" s="31">
        <f t="shared" si="3"/>
        <v>4566</v>
      </c>
    </row>
    <row r="128" spans="1:9" x14ac:dyDescent="0.3">
      <c r="A128" s="51" t="s">
        <v>59</v>
      </c>
      <c r="B128" s="52">
        <v>3452</v>
      </c>
      <c r="C128" s="52">
        <v>652</v>
      </c>
      <c r="D128" s="52">
        <v>442</v>
      </c>
      <c r="E128" s="52">
        <v>65588</v>
      </c>
      <c r="F128" s="52">
        <v>65049</v>
      </c>
      <c r="G128" s="52">
        <v>158</v>
      </c>
      <c r="H128" s="32">
        <f t="shared" si="2"/>
        <v>6.9311459413307311E-2</v>
      </c>
      <c r="I128" s="31">
        <f t="shared" si="3"/>
        <v>4546</v>
      </c>
    </row>
    <row r="129" spans="1:9" x14ac:dyDescent="0.3">
      <c r="A129" s="51" t="s">
        <v>59</v>
      </c>
      <c r="B129" s="52">
        <v>3092</v>
      </c>
      <c r="C129" s="52">
        <v>106</v>
      </c>
      <c r="D129" s="52">
        <v>291</v>
      </c>
      <c r="E129" s="52">
        <v>27828</v>
      </c>
      <c r="F129" s="52">
        <v>27217</v>
      </c>
      <c r="G129" s="52">
        <v>102</v>
      </c>
      <c r="H129" s="32">
        <f t="shared" si="2"/>
        <v>0.12537731780940059</v>
      </c>
      <c r="I129" s="31">
        <f t="shared" si="3"/>
        <v>3489</v>
      </c>
    </row>
    <row r="130" spans="1:9" x14ac:dyDescent="0.3">
      <c r="A130" s="51" t="s">
        <v>27</v>
      </c>
      <c r="B130" s="52">
        <v>2147</v>
      </c>
      <c r="C130" s="52">
        <v>430</v>
      </c>
      <c r="D130" s="52">
        <v>393</v>
      </c>
      <c r="E130" s="52">
        <v>17176</v>
      </c>
      <c r="F130" s="52">
        <v>16483</v>
      </c>
      <c r="G130" s="52">
        <v>170</v>
      </c>
      <c r="H130" s="32">
        <f t="shared" ref="H130:H193" si="4">(B130+C130+D130)/E130</f>
        <v>0.17291569632044715</v>
      </c>
      <c r="I130" s="31">
        <f t="shared" ref="I130:I193" si="5">B130+C130+D130</f>
        <v>2970</v>
      </c>
    </row>
    <row r="131" spans="1:9" x14ac:dyDescent="0.3">
      <c r="A131" s="51" t="s">
        <v>34</v>
      </c>
      <c r="B131" s="52">
        <v>2936</v>
      </c>
      <c r="C131" s="52">
        <v>439</v>
      </c>
      <c r="D131" s="52">
        <v>44</v>
      </c>
      <c r="E131" s="52">
        <v>38168</v>
      </c>
      <c r="F131" s="52">
        <v>37571</v>
      </c>
      <c r="G131" s="52">
        <v>22</v>
      </c>
      <c r="H131" s="32">
        <f t="shared" si="4"/>
        <v>8.9577656675749323E-2</v>
      </c>
      <c r="I131" s="31">
        <f t="shared" si="5"/>
        <v>3419</v>
      </c>
    </row>
    <row r="132" spans="1:9" x14ac:dyDescent="0.3">
      <c r="A132" s="51" t="s">
        <v>59</v>
      </c>
      <c r="B132" s="52">
        <v>4840</v>
      </c>
      <c r="C132" s="52">
        <v>658</v>
      </c>
      <c r="D132" s="52">
        <v>211</v>
      </c>
      <c r="E132" s="52">
        <v>43560</v>
      </c>
      <c r="F132" s="52">
        <v>43225</v>
      </c>
      <c r="G132" s="52">
        <v>57</v>
      </c>
      <c r="H132" s="32">
        <f t="shared" si="4"/>
        <v>0.13106060606060607</v>
      </c>
      <c r="I132" s="31">
        <f t="shared" si="5"/>
        <v>5709</v>
      </c>
    </row>
    <row r="133" spans="1:9" x14ac:dyDescent="0.3">
      <c r="A133" s="51" t="s">
        <v>59</v>
      </c>
      <c r="B133" s="52">
        <v>1947</v>
      </c>
      <c r="C133" s="52">
        <v>842</v>
      </c>
      <c r="D133" s="52">
        <v>101</v>
      </c>
      <c r="E133" s="52">
        <v>21417</v>
      </c>
      <c r="F133" s="52">
        <v>20967</v>
      </c>
      <c r="G133" s="52">
        <v>186</v>
      </c>
      <c r="H133" s="32">
        <f t="shared" si="4"/>
        <v>0.13493953401503478</v>
      </c>
      <c r="I133" s="31">
        <f t="shared" si="5"/>
        <v>2890</v>
      </c>
    </row>
    <row r="134" spans="1:9" x14ac:dyDescent="0.3">
      <c r="A134" s="51" t="s">
        <v>27</v>
      </c>
      <c r="B134" s="52">
        <v>2072</v>
      </c>
      <c r="C134" s="52">
        <v>532</v>
      </c>
      <c r="D134" s="52">
        <v>71</v>
      </c>
      <c r="E134" s="52">
        <v>37296</v>
      </c>
      <c r="F134" s="52">
        <v>36467</v>
      </c>
      <c r="G134" s="52">
        <v>25</v>
      </c>
      <c r="H134" s="32">
        <f t="shared" si="4"/>
        <v>7.172350922350923E-2</v>
      </c>
      <c r="I134" s="31">
        <f t="shared" si="5"/>
        <v>2675</v>
      </c>
    </row>
    <row r="135" spans="1:9" x14ac:dyDescent="0.3">
      <c r="A135" s="51" t="s">
        <v>27</v>
      </c>
      <c r="B135" s="52">
        <v>3731</v>
      </c>
      <c r="C135" s="52">
        <v>115</v>
      </c>
      <c r="D135" s="52">
        <v>135</v>
      </c>
      <c r="E135" s="52">
        <v>55965</v>
      </c>
      <c r="F135" s="52">
        <v>55436</v>
      </c>
      <c r="G135" s="52">
        <v>103</v>
      </c>
      <c r="H135" s="32">
        <f t="shared" si="4"/>
        <v>7.1133744304476013E-2</v>
      </c>
      <c r="I135" s="31">
        <f t="shared" si="5"/>
        <v>3981</v>
      </c>
    </row>
    <row r="136" spans="1:9" x14ac:dyDescent="0.3">
      <c r="A136" s="51" t="s">
        <v>59</v>
      </c>
      <c r="B136" s="52">
        <v>4213</v>
      </c>
      <c r="C136" s="52">
        <v>253</v>
      </c>
      <c r="D136" s="52">
        <v>434</v>
      </c>
      <c r="E136" s="52">
        <v>75834</v>
      </c>
      <c r="F136" s="52">
        <v>75437</v>
      </c>
      <c r="G136" s="52">
        <v>272</v>
      </c>
      <c r="H136" s="32">
        <f t="shared" si="4"/>
        <v>6.461481657304112E-2</v>
      </c>
      <c r="I136" s="31">
        <f t="shared" si="5"/>
        <v>4900</v>
      </c>
    </row>
    <row r="137" spans="1:9" x14ac:dyDescent="0.3">
      <c r="A137" s="51" t="s">
        <v>34</v>
      </c>
      <c r="B137" s="52">
        <v>3134</v>
      </c>
      <c r="C137" s="52">
        <v>888</v>
      </c>
      <c r="D137" s="52">
        <v>444</v>
      </c>
      <c r="E137" s="52">
        <v>21938</v>
      </c>
      <c r="F137" s="52">
        <v>21337</v>
      </c>
      <c r="G137" s="52">
        <v>130</v>
      </c>
      <c r="H137" s="32">
        <f t="shared" si="4"/>
        <v>0.20357370772176134</v>
      </c>
      <c r="I137" s="31">
        <f t="shared" si="5"/>
        <v>4466</v>
      </c>
    </row>
    <row r="138" spans="1:9" x14ac:dyDescent="0.3">
      <c r="A138" s="51" t="s">
        <v>59</v>
      </c>
      <c r="B138" s="52">
        <v>3008</v>
      </c>
      <c r="C138" s="52">
        <v>94</v>
      </c>
      <c r="D138" s="52">
        <v>37</v>
      </c>
      <c r="E138" s="52">
        <v>15040</v>
      </c>
      <c r="F138" s="52">
        <v>14639</v>
      </c>
      <c r="G138" s="52">
        <v>277</v>
      </c>
      <c r="H138" s="32">
        <f t="shared" si="4"/>
        <v>0.20871010638297871</v>
      </c>
      <c r="I138" s="31">
        <f t="shared" si="5"/>
        <v>3139</v>
      </c>
    </row>
    <row r="139" spans="1:9" x14ac:dyDescent="0.3">
      <c r="A139" s="51" t="s">
        <v>59</v>
      </c>
      <c r="B139" s="52">
        <v>305</v>
      </c>
      <c r="C139" s="52">
        <v>187</v>
      </c>
      <c r="D139" s="52">
        <v>243</v>
      </c>
      <c r="E139" s="52">
        <v>4575</v>
      </c>
      <c r="F139" s="52">
        <v>3704</v>
      </c>
      <c r="G139" s="52">
        <v>234</v>
      </c>
      <c r="H139" s="32">
        <f t="shared" si="4"/>
        <v>0.16065573770491803</v>
      </c>
      <c r="I139" s="31">
        <f t="shared" si="5"/>
        <v>735</v>
      </c>
    </row>
    <row r="140" spans="1:9" x14ac:dyDescent="0.3">
      <c r="A140" s="51" t="s">
        <v>34</v>
      </c>
      <c r="B140" s="52">
        <v>2746</v>
      </c>
      <c r="C140" s="52">
        <v>156</v>
      </c>
      <c r="D140" s="52">
        <v>203</v>
      </c>
      <c r="E140" s="52">
        <v>32952</v>
      </c>
      <c r="F140" s="52">
        <v>32147</v>
      </c>
      <c r="G140" s="52">
        <v>147</v>
      </c>
      <c r="H140" s="32">
        <f t="shared" si="4"/>
        <v>9.422796795338674E-2</v>
      </c>
      <c r="I140" s="31">
        <f t="shared" si="5"/>
        <v>3105</v>
      </c>
    </row>
    <row r="141" spans="1:9" x14ac:dyDescent="0.3">
      <c r="A141" s="51" t="s">
        <v>34</v>
      </c>
      <c r="B141" s="52">
        <v>2291</v>
      </c>
      <c r="C141" s="52">
        <v>78</v>
      </c>
      <c r="D141" s="52">
        <v>485</v>
      </c>
      <c r="E141" s="52">
        <v>18328</v>
      </c>
      <c r="F141" s="52">
        <v>18101</v>
      </c>
      <c r="G141" s="52">
        <v>10</v>
      </c>
      <c r="H141" s="32">
        <f t="shared" si="4"/>
        <v>0.15571802706241816</v>
      </c>
      <c r="I141" s="31">
        <f t="shared" si="5"/>
        <v>2854</v>
      </c>
    </row>
    <row r="142" spans="1:9" x14ac:dyDescent="0.3">
      <c r="A142" s="51" t="s">
        <v>59</v>
      </c>
      <c r="B142" s="52">
        <v>3170</v>
      </c>
      <c r="C142" s="52">
        <v>857</v>
      </c>
      <c r="D142" s="52">
        <v>379</v>
      </c>
      <c r="E142" s="52">
        <v>19020</v>
      </c>
      <c r="F142" s="52">
        <v>18559</v>
      </c>
      <c r="G142" s="52">
        <v>240</v>
      </c>
      <c r="H142" s="32">
        <f t="shared" si="4"/>
        <v>0.2316508937960042</v>
      </c>
      <c r="I142" s="31">
        <f t="shared" si="5"/>
        <v>4406</v>
      </c>
    </row>
    <row r="143" spans="1:9" x14ac:dyDescent="0.3">
      <c r="A143" s="51" t="s">
        <v>59</v>
      </c>
      <c r="B143" s="52">
        <v>2070</v>
      </c>
      <c r="C143" s="52">
        <v>275</v>
      </c>
      <c r="D143" s="52">
        <v>386</v>
      </c>
      <c r="E143" s="52">
        <v>39330</v>
      </c>
      <c r="F143" s="52">
        <v>38627</v>
      </c>
      <c r="G143" s="52">
        <v>114</v>
      </c>
      <c r="H143" s="32">
        <f t="shared" si="4"/>
        <v>6.9438087973557078E-2</v>
      </c>
      <c r="I143" s="31">
        <f t="shared" si="5"/>
        <v>2731</v>
      </c>
    </row>
    <row r="144" spans="1:9" x14ac:dyDescent="0.3">
      <c r="A144" s="51" t="s">
        <v>27</v>
      </c>
      <c r="B144" s="52">
        <v>80</v>
      </c>
      <c r="C144" s="52">
        <v>362</v>
      </c>
      <c r="D144" s="52">
        <v>80</v>
      </c>
      <c r="E144" s="52">
        <v>1040</v>
      </c>
      <c r="F144" s="52">
        <v>349</v>
      </c>
      <c r="G144" s="52">
        <v>117</v>
      </c>
      <c r="H144" s="32">
        <f t="shared" si="4"/>
        <v>0.50192307692307692</v>
      </c>
      <c r="I144" s="31">
        <f t="shared" si="5"/>
        <v>522</v>
      </c>
    </row>
    <row r="145" spans="1:9" x14ac:dyDescent="0.3">
      <c r="A145" s="51" t="s">
        <v>34</v>
      </c>
      <c r="B145" s="52">
        <v>4929</v>
      </c>
      <c r="C145" s="52">
        <v>749</v>
      </c>
      <c r="D145" s="52">
        <v>452</v>
      </c>
      <c r="E145" s="52">
        <v>93651</v>
      </c>
      <c r="F145" s="52">
        <v>92810</v>
      </c>
      <c r="G145" s="52">
        <v>66</v>
      </c>
      <c r="H145" s="32">
        <f t="shared" si="4"/>
        <v>6.5455787978772245E-2</v>
      </c>
      <c r="I145" s="31">
        <f t="shared" si="5"/>
        <v>6130</v>
      </c>
    </row>
    <row r="146" spans="1:9" x14ac:dyDescent="0.3">
      <c r="A146" s="51" t="s">
        <v>27</v>
      </c>
      <c r="B146" s="52">
        <v>1878</v>
      </c>
      <c r="C146" s="52">
        <v>62</v>
      </c>
      <c r="D146" s="52">
        <v>179</v>
      </c>
      <c r="E146" s="52">
        <v>37560</v>
      </c>
      <c r="F146" s="52">
        <v>36874</v>
      </c>
      <c r="G146" s="52">
        <v>142</v>
      </c>
      <c r="H146" s="32">
        <f t="shared" si="4"/>
        <v>5.6416400425985093E-2</v>
      </c>
      <c r="I146" s="31">
        <f t="shared" si="5"/>
        <v>2119</v>
      </c>
    </row>
    <row r="147" spans="1:9" x14ac:dyDescent="0.3">
      <c r="A147" s="51" t="s">
        <v>34</v>
      </c>
      <c r="B147" s="52">
        <v>3065</v>
      </c>
      <c r="C147" s="52">
        <v>772</v>
      </c>
      <c r="D147" s="52">
        <v>142</v>
      </c>
      <c r="E147" s="52">
        <v>18390</v>
      </c>
      <c r="F147" s="52">
        <v>17875</v>
      </c>
      <c r="G147" s="52">
        <v>200</v>
      </c>
      <c r="H147" s="32">
        <f t="shared" si="4"/>
        <v>0.21636759108210984</v>
      </c>
      <c r="I147" s="31">
        <f t="shared" si="5"/>
        <v>3979</v>
      </c>
    </row>
    <row r="148" spans="1:9" x14ac:dyDescent="0.3">
      <c r="A148" s="51" t="s">
        <v>27</v>
      </c>
      <c r="B148" s="52">
        <v>3256</v>
      </c>
      <c r="C148" s="52">
        <v>459</v>
      </c>
      <c r="D148" s="52">
        <v>266</v>
      </c>
      <c r="E148" s="52">
        <v>26048</v>
      </c>
      <c r="F148" s="52">
        <v>25529</v>
      </c>
      <c r="G148" s="52">
        <v>143</v>
      </c>
      <c r="H148" s="32">
        <f t="shared" si="4"/>
        <v>0.15283323095823095</v>
      </c>
      <c r="I148" s="31">
        <f t="shared" si="5"/>
        <v>3981</v>
      </c>
    </row>
    <row r="149" spans="1:9" x14ac:dyDescent="0.3">
      <c r="A149" s="51" t="s">
        <v>34</v>
      </c>
      <c r="B149" s="52">
        <v>4133</v>
      </c>
      <c r="C149" s="52">
        <v>466</v>
      </c>
      <c r="D149" s="52">
        <v>327</v>
      </c>
      <c r="E149" s="52">
        <v>24798</v>
      </c>
      <c r="F149" s="52">
        <v>24620</v>
      </c>
      <c r="G149" s="52">
        <v>176</v>
      </c>
      <c r="H149" s="32">
        <f t="shared" si="4"/>
        <v>0.19864505202032423</v>
      </c>
      <c r="I149" s="31">
        <f t="shared" si="5"/>
        <v>4926</v>
      </c>
    </row>
    <row r="150" spans="1:9" x14ac:dyDescent="0.3">
      <c r="A150" s="51" t="s">
        <v>34</v>
      </c>
      <c r="B150" s="52">
        <v>1702</v>
      </c>
      <c r="C150" s="52">
        <v>750</v>
      </c>
      <c r="D150" s="52">
        <v>179</v>
      </c>
      <c r="E150" s="52">
        <v>34040</v>
      </c>
      <c r="F150" s="52">
        <v>33174</v>
      </c>
      <c r="G150" s="52">
        <v>76</v>
      </c>
      <c r="H150" s="32">
        <f t="shared" si="4"/>
        <v>7.7291421856639245E-2</v>
      </c>
      <c r="I150" s="31">
        <f t="shared" si="5"/>
        <v>2631</v>
      </c>
    </row>
    <row r="151" spans="1:9" x14ac:dyDescent="0.3">
      <c r="A151" s="51" t="s">
        <v>27</v>
      </c>
      <c r="B151" s="52">
        <v>4295</v>
      </c>
      <c r="C151" s="52">
        <v>853</v>
      </c>
      <c r="D151" s="52">
        <v>325</v>
      </c>
      <c r="E151" s="52">
        <v>85900</v>
      </c>
      <c r="F151" s="52">
        <v>85788</v>
      </c>
      <c r="G151" s="52">
        <v>290</v>
      </c>
      <c r="H151" s="32">
        <f t="shared" si="4"/>
        <v>6.3713620488940623E-2</v>
      </c>
      <c r="I151" s="31">
        <f t="shared" si="5"/>
        <v>5473</v>
      </c>
    </row>
    <row r="152" spans="1:9" x14ac:dyDescent="0.3">
      <c r="A152" s="51" t="s">
        <v>34</v>
      </c>
      <c r="B152" s="52">
        <v>3559</v>
      </c>
      <c r="C152" s="52">
        <v>59</v>
      </c>
      <c r="D152" s="52">
        <v>289</v>
      </c>
      <c r="E152" s="52">
        <v>35590</v>
      </c>
      <c r="F152" s="52">
        <v>35105</v>
      </c>
      <c r="G152" s="52">
        <v>122</v>
      </c>
      <c r="H152" s="32">
        <f t="shared" si="4"/>
        <v>0.10977802753582468</v>
      </c>
      <c r="I152" s="31">
        <f t="shared" si="5"/>
        <v>3907</v>
      </c>
    </row>
    <row r="153" spans="1:9" x14ac:dyDescent="0.3">
      <c r="A153" s="51" t="s">
        <v>34</v>
      </c>
      <c r="B153" s="52">
        <v>4804</v>
      </c>
      <c r="C153" s="52">
        <v>550</v>
      </c>
      <c r="D153" s="52">
        <v>270</v>
      </c>
      <c r="E153" s="52">
        <v>28824</v>
      </c>
      <c r="F153" s="52">
        <v>28370</v>
      </c>
      <c r="G153" s="52">
        <v>47</v>
      </c>
      <c r="H153" s="32">
        <f t="shared" si="4"/>
        <v>0.19511518179295032</v>
      </c>
      <c r="I153" s="31">
        <f t="shared" si="5"/>
        <v>5624</v>
      </c>
    </row>
    <row r="154" spans="1:9" x14ac:dyDescent="0.3">
      <c r="A154" s="51" t="s">
        <v>27</v>
      </c>
      <c r="B154" s="52">
        <v>754</v>
      </c>
      <c r="C154" s="52">
        <v>197</v>
      </c>
      <c r="D154" s="52">
        <v>257</v>
      </c>
      <c r="E154" s="52">
        <v>6786</v>
      </c>
      <c r="F154" s="52">
        <v>6221</v>
      </c>
      <c r="G154" s="52">
        <v>212</v>
      </c>
      <c r="H154" s="32">
        <f t="shared" si="4"/>
        <v>0.17801355732390214</v>
      </c>
      <c r="I154" s="31">
        <f t="shared" si="5"/>
        <v>1208</v>
      </c>
    </row>
    <row r="155" spans="1:9" x14ac:dyDescent="0.3">
      <c r="A155" s="51" t="s">
        <v>59</v>
      </c>
      <c r="B155" s="52">
        <v>985</v>
      </c>
      <c r="C155" s="52">
        <v>932</v>
      </c>
      <c r="D155" s="52">
        <v>287</v>
      </c>
      <c r="E155" s="52">
        <v>6895</v>
      </c>
      <c r="F155" s="52">
        <v>6757</v>
      </c>
      <c r="G155" s="52">
        <v>64</v>
      </c>
      <c r="H155" s="32">
        <f t="shared" si="4"/>
        <v>0.31965192168237855</v>
      </c>
      <c r="I155" s="31">
        <f t="shared" si="5"/>
        <v>2204</v>
      </c>
    </row>
    <row r="156" spans="1:9" x14ac:dyDescent="0.3">
      <c r="A156" s="51" t="s">
        <v>59</v>
      </c>
      <c r="B156" s="52">
        <v>2283</v>
      </c>
      <c r="C156" s="52">
        <v>210</v>
      </c>
      <c r="D156" s="52">
        <v>130</v>
      </c>
      <c r="E156" s="52">
        <v>22830</v>
      </c>
      <c r="F156" s="52">
        <v>22617</v>
      </c>
      <c r="G156" s="52">
        <v>143</v>
      </c>
      <c r="H156" s="32">
        <f t="shared" si="4"/>
        <v>0.11489268506351293</v>
      </c>
      <c r="I156" s="31">
        <f t="shared" si="5"/>
        <v>2623</v>
      </c>
    </row>
    <row r="157" spans="1:9" x14ac:dyDescent="0.3">
      <c r="A157" s="51" t="s">
        <v>59</v>
      </c>
      <c r="B157" s="52">
        <v>3352</v>
      </c>
      <c r="C157" s="52">
        <v>941</v>
      </c>
      <c r="D157" s="52">
        <v>482</v>
      </c>
      <c r="E157" s="52">
        <v>43576</v>
      </c>
      <c r="F157" s="52">
        <v>43338</v>
      </c>
      <c r="G157" s="52">
        <v>240</v>
      </c>
      <c r="H157" s="32">
        <f t="shared" si="4"/>
        <v>0.1095786671562328</v>
      </c>
      <c r="I157" s="31">
        <f t="shared" si="5"/>
        <v>4775</v>
      </c>
    </row>
    <row r="158" spans="1:9" x14ac:dyDescent="0.3">
      <c r="A158" s="51" t="s">
        <v>59</v>
      </c>
      <c r="B158" s="52">
        <v>4775</v>
      </c>
      <c r="C158" s="52">
        <v>173</v>
      </c>
      <c r="D158" s="52">
        <v>206</v>
      </c>
      <c r="E158" s="52">
        <v>47750</v>
      </c>
      <c r="F158" s="52">
        <v>47544</v>
      </c>
      <c r="G158" s="52">
        <v>187</v>
      </c>
      <c r="H158" s="32">
        <f t="shared" si="4"/>
        <v>0.10793717277486911</v>
      </c>
      <c r="I158" s="31">
        <f t="shared" si="5"/>
        <v>5154</v>
      </c>
    </row>
    <row r="159" spans="1:9" x14ac:dyDescent="0.3">
      <c r="A159" s="51" t="s">
        <v>27</v>
      </c>
      <c r="B159" s="52">
        <v>1762</v>
      </c>
      <c r="C159" s="52">
        <v>405</v>
      </c>
      <c r="D159" s="52">
        <v>423</v>
      </c>
      <c r="E159" s="52">
        <v>22906</v>
      </c>
      <c r="F159" s="52">
        <v>21925</v>
      </c>
      <c r="G159" s="52">
        <v>25</v>
      </c>
      <c r="H159" s="32">
        <f t="shared" si="4"/>
        <v>0.11307081114118571</v>
      </c>
      <c r="I159" s="31">
        <f t="shared" si="5"/>
        <v>2590</v>
      </c>
    </row>
    <row r="160" spans="1:9" x14ac:dyDescent="0.3">
      <c r="A160" s="51" t="s">
        <v>59</v>
      </c>
      <c r="B160" s="52">
        <v>2120</v>
      </c>
      <c r="C160" s="52">
        <v>158</v>
      </c>
      <c r="D160" s="52">
        <v>488</v>
      </c>
      <c r="E160" s="52">
        <v>12720</v>
      </c>
      <c r="F160" s="52">
        <v>12085</v>
      </c>
      <c r="G160" s="52">
        <v>17</v>
      </c>
      <c r="H160" s="32">
        <f t="shared" si="4"/>
        <v>0.21745283018867925</v>
      </c>
      <c r="I160" s="31">
        <f t="shared" si="5"/>
        <v>2766</v>
      </c>
    </row>
    <row r="161" spans="1:9" x14ac:dyDescent="0.3">
      <c r="A161" s="51" t="s">
        <v>27</v>
      </c>
      <c r="B161" s="52">
        <v>1082</v>
      </c>
      <c r="C161" s="52">
        <v>209</v>
      </c>
      <c r="D161" s="52">
        <v>484</v>
      </c>
      <c r="E161" s="52">
        <v>19476</v>
      </c>
      <c r="F161" s="52">
        <v>18654</v>
      </c>
      <c r="G161" s="52">
        <v>20</v>
      </c>
      <c r="H161" s="32">
        <f t="shared" si="4"/>
        <v>9.1137810638734856E-2</v>
      </c>
      <c r="I161" s="31">
        <f t="shared" si="5"/>
        <v>1775</v>
      </c>
    </row>
    <row r="162" spans="1:9" x14ac:dyDescent="0.3">
      <c r="A162" s="51" t="s">
        <v>27</v>
      </c>
      <c r="B162" s="52">
        <v>4671</v>
      </c>
      <c r="C162" s="52">
        <v>876</v>
      </c>
      <c r="D162" s="52">
        <v>366</v>
      </c>
      <c r="E162" s="52">
        <v>51381</v>
      </c>
      <c r="F162" s="52">
        <v>50565</v>
      </c>
      <c r="G162" s="52">
        <v>245</v>
      </c>
      <c r="H162" s="32">
        <f t="shared" si="4"/>
        <v>0.11508145034156594</v>
      </c>
      <c r="I162" s="31">
        <f t="shared" si="5"/>
        <v>5913</v>
      </c>
    </row>
    <row r="163" spans="1:9" x14ac:dyDescent="0.3">
      <c r="A163" s="51" t="s">
        <v>59</v>
      </c>
      <c r="B163" s="52">
        <v>3430</v>
      </c>
      <c r="C163" s="52">
        <v>566</v>
      </c>
      <c r="D163" s="52">
        <v>164</v>
      </c>
      <c r="E163" s="52">
        <v>48020</v>
      </c>
      <c r="F163" s="52">
        <v>47305</v>
      </c>
      <c r="G163" s="52">
        <v>120</v>
      </c>
      <c r="H163" s="32">
        <f t="shared" si="4"/>
        <v>8.6630570595585168E-2</v>
      </c>
      <c r="I163" s="31">
        <f t="shared" si="5"/>
        <v>4160</v>
      </c>
    </row>
    <row r="164" spans="1:9" x14ac:dyDescent="0.3">
      <c r="A164" s="51" t="s">
        <v>27</v>
      </c>
      <c r="B164" s="52">
        <v>4501</v>
      </c>
      <c r="C164" s="52">
        <v>375</v>
      </c>
      <c r="D164" s="52">
        <v>323</v>
      </c>
      <c r="E164" s="52">
        <v>22505</v>
      </c>
      <c r="F164" s="52">
        <v>21836</v>
      </c>
      <c r="G164" s="52">
        <v>132</v>
      </c>
      <c r="H164" s="32">
        <f t="shared" si="4"/>
        <v>0.23101532992668297</v>
      </c>
      <c r="I164" s="31">
        <f t="shared" si="5"/>
        <v>5199</v>
      </c>
    </row>
    <row r="165" spans="1:9" x14ac:dyDescent="0.3">
      <c r="A165" s="51" t="s">
        <v>27</v>
      </c>
      <c r="B165" s="52">
        <v>4934</v>
      </c>
      <c r="C165" s="52">
        <v>971</v>
      </c>
      <c r="D165" s="52">
        <v>156</v>
      </c>
      <c r="E165" s="52">
        <v>39472</v>
      </c>
      <c r="F165" s="52">
        <v>39025</v>
      </c>
      <c r="G165" s="52">
        <v>169</v>
      </c>
      <c r="H165" s="32">
        <f t="shared" si="4"/>
        <v>0.15355188488042157</v>
      </c>
      <c r="I165" s="31">
        <f t="shared" si="5"/>
        <v>6061</v>
      </c>
    </row>
    <row r="166" spans="1:9" x14ac:dyDescent="0.3">
      <c r="A166" s="51" t="s">
        <v>27</v>
      </c>
      <c r="B166" s="52">
        <v>3239</v>
      </c>
      <c r="C166" s="52">
        <v>43</v>
      </c>
      <c r="D166" s="52">
        <v>211</v>
      </c>
      <c r="E166" s="52">
        <v>22673</v>
      </c>
      <c r="F166" s="52">
        <v>22171</v>
      </c>
      <c r="G166" s="52">
        <v>230</v>
      </c>
      <c r="H166" s="32">
        <f t="shared" si="4"/>
        <v>0.15405989502933004</v>
      </c>
      <c r="I166" s="31">
        <f t="shared" si="5"/>
        <v>3493</v>
      </c>
    </row>
    <row r="167" spans="1:9" x14ac:dyDescent="0.3">
      <c r="A167" s="51" t="s">
        <v>59</v>
      </c>
      <c r="B167" s="52">
        <v>1076</v>
      </c>
      <c r="C167" s="52">
        <v>313</v>
      </c>
      <c r="D167" s="52">
        <v>306</v>
      </c>
      <c r="E167" s="52">
        <v>11836</v>
      </c>
      <c r="F167" s="52">
        <v>11596</v>
      </c>
      <c r="G167" s="52">
        <v>104</v>
      </c>
      <c r="H167" s="32">
        <f t="shared" si="4"/>
        <v>0.14320716458262928</v>
      </c>
      <c r="I167" s="31">
        <f t="shared" si="5"/>
        <v>1695</v>
      </c>
    </row>
    <row r="168" spans="1:9" x14ac:dyDescent="0.3">
      <c r="A168" s="51" t="s">
        <v>59</v>
      </c>
      <c r="B168" s="52">
        <v>4771</v>
      </c>
      <c r="C168" s="52">
        <v>818</v>
      </c>
      <c r="D168" s="52">
        <v>56</v>
      </c>
      <c r="E168" s="52">
        <v>57252</v>
      </c>
      <c r="F168" s="52">
        <v>56378</v>
      </c>
      <c r="G168" s="52">
        <v>150</v>
      </c>
      <c r="H168" s="32">
        <f t="shared" si="4"/>
        <v>9.859917557465242E-2</v>
      </c>
      <c r="I168" s="31">
        <f t="shared" si="5"/>
        <v>5645</v>
      </c>
    </row>
    <row r="169" spans="1:9" x14ac:dyDescent="0.3">
      <c r="A169" s="51" t="s">
        <v>34</v>
      </c>
      <c r="B169" s="52">
        <v>2418</v>
      </c>
      <c r="C169" s="52">
        <v>754</v>
      </c>
      <c r="D169" s="52">
        <v>54</v>
      </c>
      <c r="E169" s="52">
        <v>43524</v>
      </c>
      <c r="F169" s="52">
        <v>42743</v>
      </c>
      <c r="G169" s="52">
        <v>182</v>
      </c>
      <c r="H169" s="32">
        <f t="shared" si="4"/>
        <v>7.412002573292896E-2</v>
      </c>
      <c r="I169" s="31">
        <f t="shared" si="5"/>
        <v>3226</v>
      </c>
    </row>
    <row r="170" spans="1:9" x14ac:dyDescent="0.3">
      <c r="A170" s="51" t="s">
        <v>34</v>
      </c>
      <c r="B170" s="52">
        <v>3809</v>
      </c>
      <c r="C170" s="52">
        <v>273</v>
      </c>
      <c r="D170" s="52">
        <v>200</v>
      </c>
      <c r="E170" s="52">
        <v>34281</v>
      </c>
      <c r="F170" s="52">
        <v>33534</v>
      </c>
      <c r="G170" s="52">
        <v>83</v>
      </c>
      <c r="H170" s="32">
        <f t="shared" si="4"/>
        <v>0.12490884163239112</v>
      </c>
      <c r="I170" s="31">
        <f t="shared" si="5"/>
        <v>4282</v>
      </c>
    </row>
    <row r="171" spans="1:9" x14ac:dyDescent="0.3">
      <c r="A171" s="51" t="s">
        <v>27</v>
      </c>
      <c r="B171" s="52">
        <v>3577</v>
      </c>
      <c r="C171" s="52">
        <v>596</v>
      </c>
      <c r="D171" s="52">
        <v>493</v>
      </c>
      <c r="E171" s="52">
        <v>67963</v>
      </c>
      <c r="F171" s="52">
        <v>67839</v>
      </c>
      <c r="G171" s="52">
        <v>53</v>
      </c>
      <c r="H171" s="32">
        <f t="shared" si="4"/>
        <v>6.8655003457763777E-2</v>
      </c>
      <c r="I171" s="31">
        <f t="shared" si="5"/>
        <v>4666</v>
      </c>
    </row>
    <row r="172" spans="1:9" x14ac:dyDescent="0.3">
      <c r="A172" s="51" t="s">
        <v>59</v>
      </c>
      <c r="B172" s="52">
        <v>1018</v>
      </c>
      <c r="C172" s="52">
        <v>447</v>
      </c>
      <c r="D172" s="52">
        <v>332</v>
      </c>
      <c r="E172" s="52">
        <v>18324</v>
      </c>
      <c r="F172" s="52">
        <v>18164</v>
      </c>
      <c r="G172" s="52">
        <v>38</v>
      </c>
      <c r="H172" s="32">
        <f t="shared" si="4"/>
        <v>9.8068107400130972E-2</v>
      </c>
      <c r="I172" s="31">
        <f t="shared" si="5"/>
        <v>1797</v>
      </c>
    </row>
    <row r="173" spans="1:9" x14ac:dyDescent="0.3">
      <c r="A173" s="51" t="s">
        <v>34</v>
      </c>
      <c r="B173" s="52">
        <v>3073</v>
      </c>
      <c r="C173" s="52">
        <v>553</v>
      </c>
      <c r="D173" s="52">
        <v>174</v>
      </c>
      <c r="E173" s="52">
        <v>52241</v>
      </c>
      <c r="F173" s="52">
        <v>51605</v>
      </c>
      <c r="G173" s="52">
        <v>246</v>
      </c>
      <c r="H173" s="32">
        <f t="shared" si="4"/>
        <v>7.2739802071170159E-2</v>
      </c>
      <c r="I173" s="31">
        <f t="shared" si="5"/>
        <v>3800</v>
      </c>
    </row>
    <row r="174" spans="1:9" x14ac:dyDescent="0.3">
      <c r="A174" s="51" t="s">
        <v>59</v>
      </c>
      <c r="B174" s="52">
        <v>1330</v>
      </c>
      <c r="C174" s="52">
        <v>925</v>
      </c>
      <c r="D174" s="52">
        <v>35</v>
      </c>
      <c r="E174" s="52">
        <v>15960</v>
      </c>
      <c r="F174" s="52">
        <v>15379</v>
      </c>
      <c r="G174" s="52">
        <v>229</v>
      </c>
      <c r="H174" s="32">
        <f t="shared" si="4"/>
        <v>0.14348370927318296</v>
      </c>
      <c r="I174" s="31">
        <f t="shared" si="5"/>
        <v>2290</v>
      </c>
    </row>
    <row r="175" spans="1:9" x14ac:dyDescent="0.3">
      <c r="A175" s="51" t="s">
        <v>34</v>
      </c>
      <c r="B175" s="52">
        <v>3828</v>
      </c>
      <c r="C175" s="52">
        <v>148</v>
      </c>
      <c r="D175" s="52">
        <v>253</v>
      </c>
      <c r="E175" s="52">
        <v>30624</v>
      </c>
      <c r="F175" s="52">
        <v>30229</v>
      </c>
      <c r="G175" s="52">
        <v>235</v>
      </c>
      <c r="H175" s="32">
        <f t="shared" si="4"/>
        <v>0.13809430512016718</v>
      </c>
      <c r="I175" s="31">
        <f t="shared" si="5"/>
        <v>4229</v>
      </c>
    </row>
    <row r="176" spans="1:9" x14ac:dyDescent="0.3">
      <c r="A176" s="51" t="s">
        <v>59</v>
      </c>
      <c r="B176" s="52">
        <v>142</v>
      </c>
      <c r="C176" s="52">
        <v>784</v>
      </c>
      <c r="D176" s="52">
        <v>183</v>
      </c>
      <c r="E176" s="52">
        <v>1704</v>
      </c>
      <c r="F176" s="52">
        <v>995</v>
      </c>
      <c r="G176" s="52">
        <v>154</v>
      </c>
      <c r="H176" s="32">
        <f t="shared" si="4"/>
        <v>0.6508215962441315</v>
      </c>
      <c r="I176" s="31">
        <f t="shared" si="5"/>
        <v>1109</v>
      </c>
    </row>
    <row r="177" spans="1:9" x14ac:dyDescent="0.3">
      <c r="A177" s="51" t="s">
        <v>27</v>
      </c>
      <c r="B177" s="52">
        <v>3798</v>
      </c>
      <c r="C177" s="52">
        <v>31</v>
      </c>
      <c r="D177" s="52">
        <v>279</v>
      </c>
      <c r="E177" s="52">
        <v>75960</v>
      </c>
      <c r="F177" s="52">
        <v>75813</v>
      </c>
      <c r="G177" s="52">
        <v>266</v>
      </c>
      <c r="H177" s="32">
        <f t="shared" si="4"/>
        <v>5.4081095313322801E-2</v>
      </c>
      <c r="I177" s="31">
        <f t="shared" si="5"/>
        <v>4108</v>
      </c>
    </row>
    <row r="178" spans="1:9" x14ac:dyDescent="0.3">
      <c r="A178" s="51" t="s">
        <v>27</v>
      </c>
      <c r="B178" s="52">
        <v>3099</v>
      </c>
      <c r="C178" s="52">
        <v>694</v>
      </c>
      <c r="D178" s="52">
        <v>171</v>
      </c>
      <c r="E178" s="52">
        <v>43386</v>
      </c>
      <c r="F178" s="52">
        <v>42921</v>
      </c>
      <c r="G178" s="52">
        <v>52</v>
      </c>
      <c r="H178" s="32">
        <f t="shared" si="4"/>
        <v>9.1365878393951966E-2</v>
      </c>
      <c r="I178" s="31">
        <f t="shared" si="5"/>
        <v>3964</v>
      </c>
    </row>
    <row r="179" spans="1:9" x14ac:dyDescent="0.3">
      <c r="A179" s="51" t="s">
        <v>27</v>
      </c>
      <c r="B179" s="52">
        <v>129</v>
      </c>
      <c r="C179" s="52">
        <v>643</v>
      </c>
      <c r="D179" s="52">
        <v>136</v>
      </c>
      <c r="E179" s="52">
        <v>1290</v>
      </c>
      <c r="F179" s="52">
        <v>839</v>
      </c>
      <c r="G179" s="52">
        <v>238</v>
      </c>
      <c r="H179" s="32">
        <f t="shared" si="4"/>
        <v>0.70387596899224802</v>
      </c>
      <c r="I179" s="31">
        <f t="shared" si="5"/>
        <v>908</v>
      </c>
    </row>
    <row r="180" spans="1:9" x14ac:dyDescent="0.3">
      <c r="A180" s="51" t="s">
        <v>27</v>
      </c>
      <c r="B180" s="52">
        <v>3796</v>
      </c>
      <c r="C180" s="52">
        <v>667</v>
      </c>
      <c r="D180" s="52">
        <v>395</v>
      </c>
      <c r="E180" s="52">
        <v>64532</v>
      </c>
      <c r="F180" s="52">
        <v>63550</v>
      </c>
      <c r="G180" s="52">
        <v>292</v>
      </c>
      <c r="H180" s="32">
        <f t="shared" si="4"/>
        <v>7.5280481001673588E-2</v>
      </c>
      <c r="I180" s="31">
        <f t="shared" si="5"/>
        <v>4858</v>
      </c>
    </row>
    <row r="181" spans="1:9" x14ac:dyDescent="0.3">
      <c r="A181" s="51" t="s">
        <v>27</v>
      </c>
      <c r="B181" s="52">
        <v>3711</v>
      </c>
      <c r="C181" s="52">
        <v>352</v>
      </c>
      <c r="D181" s="52">
        <v>290</v>
      </c>
      <c r="E181" s="52">
        <v>48243</v>
      </c>
      <c r="F181" s="52">
        <v>47579</v>
      </c>
      <c r="G181" s="52">
        <v>11</v>
      </c>
      <c r="H181" s="32">
        <f t="shared" si="4"/>
        <v>9.023070704558174E-2</v>
      </c>
      <c r="I181" s="31">
        <f t="shared" si="5"/>
        <v>4353</v>
      </c>
    </row>
    <row r="182" spans="1:9" x14ac:dyDescent="0.3">
      <c r="A182" s="51" t="s">
        <v>34</v>
      </c>
      <c r="B182" s="52">
        <v>606</v>
      </c>
      <c r="C182" s="52">
        <v>789</v>
      </c>
      <c r="D182" s="52">
        <v>470</v>
      </c>
      <c r="E182" s="52">
        <v>7878</v>
      </c>
      <c r="F182" s="52">
        <v>7389</v>
      </c>
      <c r="G182" s="52">
        <v>239</v>
      </c>
      <c r="H182" s="32">
        <f t="shared" si="4"/>
        <v>0.23673521198273673</v>
      </c>
      <c r="I182" s="31">
        <f t="shared" si="5"/>
        <v>1865</v>
      </c>
    </row>
    <row r="183" spans="1:9" x14ac:dyDescent="0.3">
      <c r="A183" s="51" t="s">
        <v>27</v>
      </c>
      <c r="B183" s="52">
        <v>4689</v>
      </c>
      <c r="C183" s="52">
        <v>134</v>
      </c>
      <c r="D183" s="52">
        <v>403</v>
      </c>
      <c r="E183" s="52">
        <v>51579</v>
      </c>
      <c r="F183" s="52">
        <v>50924</v>
      </c>
      <c r="G183" s="52">
        <v>173</v>
      </c>
      <c r="H183" s="32">
        <f t="shared" si="4"/>
        <v>0.10132030477519921</v>
      </c>
      <c r="I183" s="31">
        <f t="shared" si="5"/>
        <v>5226</v>
      </c>
    </row>
    <row r="184" spans="1:9" x14ac:dyDescent="0.3">
      <c r="A184" s="51" t="s">
        <v>59</v>
      </c>
      <c r="B184" s="52">
        <v>360</v>
      </c>
      <c r="C184" s="52">
        <v>590</v>
      </c>
      <c r="D184" s="52">
        <v>393</v>
      </c>
      <c r="E184" s="52">
        <v>4680</v>
      </c>
      <c r="F184" s="52">
        <v>4322</v>
      </c>
      <c r="G184" s="52">
        <v>208</v>
      </c>
      <c r="H184" s="32">
        <f t="shared" si="4"/>
        <v>0.28696581196581195</v>
      </c>
      <c r="I184" s="31">
        <f t="shared" si="5"/>
        <v>1343</v>
      </c>
    </row>
    <row r="185" spans="1:9" x14ac:dyDescent="0.3">
      <c r="A185" s="51" t="s">
        <v>34</v>
      </c>
      <c r="B185" s="52">
        <v>3215</v>
      </c>
      <c r="C185" s="52">
        <v>960</v>
      </c>
      <c r="D185" s="52">
        <v>202</v>
      </c>
      <c r="E185" s="52">
        <v>32150</v>
      </c>
      <c r="F185" s="52">
        <v>31404</v>
      </c>
      <c r="G185" s="52">
        <v>251</v>
      </c>
      <c r="H185" s="32">
        <f t="shared" si="4"/>
        <v>0.13614307931570763</v>
      </c>
      <c r="I185" s="31">
        <f t="shared" si="5"/>
        <v>4377</v>
      </c>
    </row>
    <row r="186" spans="1:9" x14ac:dyDescent="0.3">
      <c r="A186" s="51" t="s">
        <v>34</v>
      </c>
      <c r="B186" s="52">
        <v>4523</v>
      </c>
      <c r="C186" s="52">
        <v>61</v>
      </c>
      <c r="D186" s="52">
        <v>157</v>
      </c>
      <c r="E186" s="52">
        <v>49753</v>
      </c>
      <c r="F186" s="52">
        <v>49329</v>
      </c>
      <c r="G186" s="52">
        <v>71</v>
      </c>
      <c r="H186" s="32">
        <f t="shared" si="4"/>
        <v>9.5290736237010829E-2</v>
      </c>
      <c r="I186" s="31">
        <f t="shared" si="5"/>
        <v>4741</v>
      </c>
    </row>
    <row r="187" spans="1:9" x14ac:dyDescent="0.3">
      <c r="A187" s="51" t="s">
        <v>34</v>
      </c>
      <c r="B187" s="52">
        <v>4292</v>
      </c>
      <c r="C187" s="52">
        <v>51</v>
      </c>
      <c r="D187" s="52">
        <v>392</v>
      </c>
      <c r="E187" s="52">
        <v>55796</v>
      </c>
      <c r="F187" s="52">
        <v>54826</v>
      </c>
      <c r="G187" s="52">
        <v>264</v>
      </c>
      <c r="H187" s="32">
        <f t="shared" si="4"/>
        <v>8.4862714173059003E-2</v>
      </c>
      <c r="I187" s="31">
        <f t="shared" si="5"/>
        <v>4735</v>
      </c>
    </row>
    <row r="188" spans="1:9" x14ac:dyDescent="0.3">
      <c r="A188" s="51" t="s">
        <v>34</v>
      </c>
      <c r="B188" s="52">
        <v>1644</v>
      </c>
      <c r="C188" s="52">
        <v>546</v>
      </c>
      <c r="D188" s="52">
        <v>150</v>
      </c>
      <c r="E188" s="52">
        <v>27948</v>
      </c>
      <c r="F188" s="52">
        <v>27184</v>
      </c>
      <c r="G188" s="52">
        <v>300</v>
      </c>
      <c r="H188" s="32">
        <f t="shared" si="4"/>
        <v>8.3726921425504502E-2</v>
      </c>
      <c r="I188" s="31">
        <f t="shared" si="5"/>
        <v>2340</v>
      </c>
    </row>
    <row r="189" spans="1:9" x14ac:dyDescent="0.3">
      <c r="A189" s="51" t="s">
        <v>59</v>
      </c>
      <c r="B189" s="52">
        <v>2728</v>
      </c>
      <c r="C189" s="52">
        <v>533</v>
      </c>
      <c r="D189" s="52">
        <v>215</v>
      </c>
      <c r="E189" s="52">
        <v>40920</v>
      </c>
      <c r="F189" s="52">
        <v>40816</v>
      </c>
      <c r="G189" s="52">
        <v>137</v>
      </c>
      <c r="H189" s="32">
        <f t="shared" si="4"/>
        <v>8.4946236559139784E-2</v>
      </c>
      <c r="I189" s="31">
        <f t="shared" si="5"/>
        <v>3476</v>
      </c>
    </row>
    <row r="190" spans="1:9" x14ac:dyDescent="0.3">
      <c r="A190" s="51" t="s">
        <v>27</v>
      </c>
      <c r="B190" s="52">
        <v>3360</v>
      </c>
      <c r="C190" s="52">
        <v>525</v>
      </c>
      <c r="D190" s="52">
        <v>500</v>
      </c>
      <c r="E190" s="52">
        <v>60480</v>
      </c>
      <c r="F190" s="52">
        <v>59610</v>
      </c>
      <c r="G190" s="52">
        <v>192</v>
      </c>
      <c r="H190" s="32">
        <f t="shared" si="4"/>
        <v>7.2503306878306875E-2</v>
      </c>
      <c r="I190" s="31">
        <f t="shared" si="5"/>
        <v>4385</v>
      </c>
    </row>
    <row r="191" spans="1:9" x14ac:dyDescent="0.3">
      <c r="A191" s="51" t="s">
        <v>59</v>
      </c>
      <c r="B191" s="52">
        <v>1963</v>
      </c>
      <c r="C191" s="52">
        <v>213</v>
      </c>
      <c r="D191" s="52">
        <v>19</v>
      </c>
      <c r="E191" s="52">
        <v>39260</v>
      </c>
      <c r="F191" s="52">
        <v>38771</v>
      </c>
      <c r="G191" s="52">
        <v>145</v>
      </c>
      <c r="H191" s="32">
        <f t="shared" si="4"/>
        <v>5.5909322465613857E-2</v>
      </c>
      <c r="I191" s="31">
        <f t="shared" si="5"/>
        <v>2195</v>
      </c>
    </row>
    <row r="192" spans="1:9" x14ac:dyDescent="0.3">
      <c r="A192" s="51" t="s">
        <v>59</v>
      </c>
      <c r="B192" s="52">
        <v>4285</v>
      </c>
      <c r="C192" s="52">
        <v>886</v>
      </c>
      <c r="D192" s="52">
        <v>376</v>
      </c>
      <c r="E192" s="52">
        <v>55705</v>
      </c>
      <c r="F192" s="52">
        <v>55556</v>
      </c>
      <c r="G192" s="52">
        <v>51</v>
      </c>
      <c r="H192" s="32">
        <f t="shared" si="4"/>
        <v>9.9578134817341346E-2</v>
      </c>
      <c r="I192" s="31">
        <f t="shared" si="5"/>
        <v>5547</v>
      </c>
    </row>
    <row r="193" spans="1:9" x14ac:dyDescent="0.3">
      <c r="A193" s="51" t="s">
        <v>34</v>
      </c>
      <c r="B193" s="52">
        <v>1176</v>
      </c>
      <c r="C193" s="52">
        <v>464</v>
      </c>
      <c r="D193" s="52">
        <v>394</v>
      </c>
      <c r="E193" s="52">
        <v>14112</v>
      </c>
      <c r="F193" s="52">
        <v>13588</v>
      </c>
      <c r="G193" s="52">
        <v>272</v>
      </c>
      <c r="H193" s="32">
        <f t="shared" si="4"/>
        <v>0.1441326530612245</v>
      </c>
      <c r="I193" s="31">
        <f t="shared" si="5"/>
        <v>2034</v>
      </c>
    </row>
    <row r="194" spans="1:9" x14ac:dyDescent="0.3">
      <c r="A194" s="51" t="s">
        <v>34</v>
      </c>
      <c r="B194" s="52">
        <v>4858</v>
      </c>
      <c r="C194" s="52">
        <v>317</v>
      </c>
      <c r="D194" s="52">
        <v>129</v>
      </c>
      <c r="E194" s="52">
        <v>53438</v>
      </c>
      <c r="F194" s="52">
        <v>52687</v>
      </c>
      <c r="G194" s="52">
        <v>223</v>
      </c>
      <c r="H194" s="32">
        <f t="shared" ref="H194:H257" si="6">(B194+C194+D194)/E194</f>
        <v>9.9255211647142488E-2</v>
      </c>
      <c r="I194" s="31">
        <f t="shared" ref="I194:I257" si="7">B194+C194+D194</f>
        <v>5304</v>
      </c>
    </row>
    <row r="195" spans="1:9" x14ac:dyDescent="0.3">
      <c r="A195" s="51" t="s">
        <v>34</v>
      </c>
      <c r="B195" s="52">
        <v>4350</v>
      </c>
      <c r="C195" s="52">
        <v>771</v>
      </c>
      <c r="D195" s="52">
        <v>7</v>
      </c>
      <c r="E195" s="52">
        <v>60900</v>
      </c>
      <c r="F195" s="52">
        <v>60592</v>
      </c>
      <c r="G195" s="52">
        <v>195</v>
      </c>
      <c r="H195" s="32">
        <f t="shared" si="6"/>
        <v>8.4203612479474554E-2</v>
      </c>
      <c r="I195" s="31">
        <f t="shared" si="7"/>
        <v>5128</v>
      </c>
    </row>
    <row r="196" spans="1:9" x14ac:dyDescent="0.3">
      <c r="A196" s="51" t="s">
        <v>59</v>
      </c>
      <c r="B196" s="52">
        <v>914</v>
      </c>
      <c r="C196" s="52">
        <v>464</v>
      </c>
      <c r="D196" s="52">
        <v>246</v>
      </c>
      <c r="E196" s="52">
        <v>11882</v>
      </c>
      <c r="F196" s="52">
        <v>11500</v>
      </c>
      <c r="G196" s="52">
        <v>282</v>
      </c>
      <c r="H196" s="32">
        <f t="shared" si="6"/>
        <v>0.13667732704931829</v>
      </c>
      <c r="I196" s="31">
        <f t="shared" si="7"/>
        <v>1624</v>
      </c>
    </row>
    <row r="197" spans="1:9" x14ac:dyDescent="0.3">
      <c r="A197" s="51" t="s">
        <v>34</v>
      </c>
      <c r="B197" s="52">
        <v>1813</v>
      </c>
      <c r="C197" s="52">
        <v>623</v>
      </c>
      <c r="D197" s="52">
        <v>72</v>
      </c>
      <c r="E197" s="52">
        <v>19943</v>
      </c>
      <c r="F197" s="52">
        <v>18959</v>
      </c>
      <c r="G197" s="52">
        <v>85</v>
      </c>
      <c r="H197" s="32">
        <f t="shared" si="6"/>
        <v>0.12575841147269717</v>
      </c>
      <c r="I197" s="31">
        <f t="shared" si="7"/>
        <v>2508</v>
      </c>
    </row>
    <row r="198" spans="1:9" x14ac:dyDescent="0.3">
      <c r="A198" s="51" t="s">
        <v>34</v>
      </c>
      <c r="B198" s="52">
        <v>4782</v>
      </c>
      <c r="C198" s="52">
        <v>721</v>
      </c>
      <c r="D198" s="52">
        <v>82</v>
      </c>
      <c r="E198" s="52">
        <v>86076</v>
      </c>
      <c r="F198" s="52">
        <v>85339</v>
      </c>
      <c r="G198" s="52">
        <v>19</v>
      </c>
      <c r="H198" s="32">
        <f t="shared" si="6"/>
        <v>6.4884520656164318E-2</v>
      </c>
      <c r="I198" s="31">
        <f t="shared" si="7"/>
        <v>5585</v>
      </c>
    </row>
    <row r="199" spans="1:9" x14ac:dyDescent="0.3">
      <c r="A199" s="51" t="s">
        <v>27</v>
      </c>
      <c r="B199" s="52">
        <v>1048</v>
      </c>
      <c r="C199" s="52">
        <v>374</v>
      </c>
      <c r="D199" s="52">
        <v>450</v>
      </c>
      <c r="E199" s="52">
        <v>9432</v>
      </c>
      <c r="F199" s="52">
        <v>8882</v>
      </c>
      <c r="G199" s="52">
        <v>158</v>
      </c>
      <c r="H199" s="32">
        <f t="shared" si="6"/>
        <v>0.19847328244274809</v>
      </c>
      <c r="I199" s="31">
        <f t="shared" si="7"/>
        <v>1872</v>
      </c>
    </row>
    <row r="200" spans="1:9" x14ac:dyDescent="0.3">
      <c r="A200" s="51" t="s">
        <v>27</v>
      </c>
      <c r="B200" s="52">
        <v>2509</v>
      </c>
      <c r="C200" s="52">
        <v>324</v>
      </c>
      <c r="D200" s="52">
        <v>171</v>
      </c>
      <c r="E200" s="52">
        <v>35126</v>
      </c>
      <c r="F200" s="52">
        <v>34685</v>
      </c>
      <c r="G200" s="52">
        <v>277</v>
      </c>
      <c r="H200" s="32">
        <f t="shared" si="6"/>
        <v>8.5520696919660646E-2</v>
      </c>
      <c r="I200" s="31">
        <f t="shared" si="7"/>
        <v>3004</v>
      </c>
    </row>
    <row r="201" spans="1:9" x14ac:dyDescent="0.3">
      <c r="A201" s="51" t="s">
        <v>27</v>
      </c>
      <c r="B201" s="52">
        <v>3718</v>
      </c>
      <c r="C201" s="52">
        <v>385</v>
      </c>
      <c r="D201" s="52">
        <v>310</v>
      </c>
      <c r="E201" s="52">
        <v>70642</v>
      </c>
      <c r="F201" s="52">
        <v>69749</v>
      </c>
      <c r="G201" s="52">
        <v>233</v>
      </c>
      <c r="H201" s="32">
        <f t="shared" si="6"/>
        <v>6.246991874522239E-2</v>
      </c>
      <c r="I201" s="31">
        <f t="shared" si="7"/>
        <v>4413</v>
      </c>
    </row>
    <row r="202" spans="1:9" x14ac:dyDescent="0.3">
      <c r="A202" s="51" t="s">
        <v>34</v>
      </c>
      <c r="B202" s="52">
        <v>802</v>
      </c>
      <c r="C202" s="52">
        <v>262</v>
      </c>
      <c r="D202" s="52">
        <v>244</v>
      </c>
      <c r="E202" s="52">
        <v>14436</v>
      </c>
      <c r="F202" s="52">
        <v>14280</v>
      </c>
      <c r="G202" s="52">
        <v>49</v>
      </c>
      <c r="H202" s="32">
        <f t="shared" si="6"/>
        <v>9.0606816292601824E-2</v>
      </c>
      <c r="I202" s="31">
        <f t="shared" si="7"/>
        <v>1308</v>
      </c>
    </row>
    <row r="203" spans="1:9" x14ac:dyDescent="0.3">
      <c r="A203" s="51" t="s">
        <v>34</v>
      </c>
      <c r="B203" s="52">
        <v>1871</v>
      </c>
      <c r="C203" s="52">
        <v>252</v>
      </c>
      <c r="D203" s="52">
        <v>335</v>
      </c>
      <c r="E203" s="52">
        <v>29936</v>
      </c>
      <c r="F203" s="52">
        <v>29576</v>
      </c>
      <c r="G203" s="52">
        <v>288</v>
      </c>
      <c r="H203" s="32">
        <f t="shared" si="6"/>
        <v>8.2108498129342594E-2</v>
      </c>
      <c r="I203" s="31">
        <f t="shared" si="7"/>
        <v>2458</v>
      </c>
    </row>
    <row r="204" spans="1:9" x14ac:dyDescent="0.3">
      <c r="A204" s="51" t="s">
        <v>59</v>
      </c>
      <c r="B204" s="52">
        <v>3773</v>
      </c>
      <c r="C204" s="52">
        <v>299</v>
      </c>
      <c r="D204" s="52">
        <v>38</v>
      </c>
      <c r="E204" s="52">
        <v>71687</v>
      </c>
      <c r="F204" s="52">
        <v>71447</v>
      </c>
      <c r="G204" s="52">
        <v>286</v>
      </c>
      <c r="H204" s="32">
        <f t="shared" si="6"/>
        <v>5.7332570758993957E-2</v>
      </c>
      <c r="I204" s="31">
        <f t="shared" si="7"/>
        <v>4110</v>
      </c>
    </row>
    <row r="205" spans="1:9" x14ac:dyDescent="0.3">
      <c r="A205" s="51" t="s">
        <v>59</v>
      </c>
      <c r="B205" s="52">
        <v>2234</v>
      </c>
      <c r="C205" s="52">
        <v>653</v>
      </c>
      <c r="D205" s="52">
        <v>432</v>
      </c>
      <c r="E205" s="52">
        <v>11170</v>
      </c>
      <c r="F205" s="52">
        <v>10569</v>
      </c>
      <c r="G205" s="52">
        <v>198</v>
      </c>
      <c r="H205" s="32">
        <f t="shared" si="6"/>
        <v>0.29713518352730528</v>
      </c>
      <c r="I205" s="31">
        <f t="shared" si="7"/>
        <v>3319</v>
      </c>
    </row>
    <row r="206" spans="1:9" x14ac:dyDescent="0.3">
      <c r="A206" s="51" t="s">
        <v>27</v>
      </c>
      <c r="B206" s="52">
        <v>3820</v>
      </c>
      <c r="C206" s="52">
        <v>697</v>
      </c>
      <c r="D206" s="52">
        <v>268</v>
      </c>
      <c r="E206" s="52">
        <v>45840</v>
      </c>
      <c r="F206" s="52">
        <v>45631</v>
      </c>
      <c r="G206" s="52">
        <v>171</v>
      </c>
      <c r="H206" s="32">
        <f t="shared" si="6"/>
        <v>0.1043848167539267</v>
      </c>
      <c r="I206" s="31">
        <f t="shared" si="7"/>
        <v>4785</v>
      </c>
    </row>
    <row r="207" spans="1:9" x14ac:dyDescent="0.3">
      <c r="A207" s="51" t="s">
        <v>34</v>
      </c>
      <c r="B207" s="52">
        <v>941</v>
      </c>
      <c r="C207" s="52">
        <v>121</v>
      </c>
      <c r="D207" s="52">
        <v>458</v>
      </c>
      <c r="E207" s="52">
        <v>14115</v>
      </c>
      <c r="F207" s="52">
        <v>13838</v>
      </c>
      <c r="G207" s="52">
        <v>87</v>
      </c>
      <c r="H207" s="32">
        <f t="shared" si="6"/>
        <v>0.10768685795253277</v>
      </c>
      <c r="I207" s="31">
        <f t="shared" si="7"/>
        <v>1520</v>
      </c>
    </row>
    <row r="208" spans="1:9" x14ac:dyDescent="0.3">
      <c r="A208" s="51" t="s">
        <v>27</v>
      </c>
      <c r="B208" s="52">
        <v>4274</v>
      </c>
      <c r="C208" s="52">
        <v>340</v>
      </c>
      <c r="D208" s="52">
        <v>281</v>
      </c>
      <c r="E208" s="52">
        <v>34192</v>
      </c>
      <c r="F208" s="52">
        <v>33446</v>
      </c>
      <c r="G208" s="52">
        <v>129</v>
      </c>
      <c r="H208" s="32">
        <f t="shared" si="6"/>
        <v>0.14316214319138981</v>
      </c>
      <c r="I208" s="31">
        <f t="shared" si="7"/>
        <v>4895</v>
      </c>
    </row>
    <row r="209" spans="1:9" x14ac:dyDescent="0.3">
      <c r="A209" s="51" t="s">
        <v>27</v>
      </c>
      <c r="B209" s="52">
        <v>2949</v>
      </c>
      <c r="C209" s="52">
        <v>476</v>
      </c>
      <c r="D209" s="52">
        <v>403</v>
      </c>
      <c r="E209" s="52">
        <v>44235</v>
      </c>
      <c r="F209" s="52">
        <v>43705</v>
      </c>
      <c r="G209" s="52">
        <v>135</v>
      </c>
      <c r="H209" s="32">
        <f t="shared" si="6"/>
        <v>8.6537809426924378E-2</v>
      </c>
      <c r="I209" s="31">
        <f t="shared" si="7"/>
        <v>3828</v>
      </c>
    </row>
    <row r="210" spans="1:9" x14ac:dyDescent="0.3">
      <c r="A210" s="51" t="s">
        <v>59</v>
      </c>
      <c r="B210" s="52">
        <v>3160</v>
      </c>
      <c r="C210" s="52">
        <v>204</v>
      </c>
      <c r="D210" s="52">
        <v>297</v>
      </c>
      <c r="E210" s="52">
        <v>44240</v>
      </c>
      <c r="F210" s="52">
        <v>43666</v>
      </c>
      <c r="G210" s="52">
        <v>49</v>
      </c>
      <c r="H210" s="32">
        <f t="shared" si="6"/>
        <v>8.2753164556962022E-2</v>
      </c>
      <c r="I210" s="31">
        <f t="shared" si="7"/>
        <v>3661</v>
      </c>
    </row>
    <row r="211" spans="1:9" x14ac:dyDescent="0.3">
      <c r="A211" s="51" t="s">
        <v>59</v>
      </c>
      <c r="B211" s="52">
        <v>257</v>
      </c>
      <c r="C211" s="52">
        <v>966</v>
      </c>
      <c r="D211" s="52">
        <v>398</v>
      </c>
      <c r="E211" s="52">
        <v>3341</v>
      </c>
      <c r="F211" s="52">
        <v>2753</v>
      </c>
      <c r="G211" s="52">
        <v>287</v>
      </c>
      <c r="H211" s="32">
        <f t="shared" si="6"/>
        <v>0.48518407662376534</v>
      </c>
      <c r="I211" s="31">
        <f t="shared" si="7"/>
        <v>1621</v>
      </c>
    </row>
    <row r="212" spans="1:9" x14ac:dyDescent="0.3">
      <c r="A212" s="51" t="s">
        <v>59</v>
      </c>
      <c r="B212" s="52">
        <v>2120</v>
      </c>
      <c r="C212" s="52">
        <v>38</v>
      </c>
      <c r="D212" s="52">
        <v>212</v>
      </c>
      <c r="E212" s="52">
        <v>12720</v>
      </c>
      <c r="F212" s="52">
        <v>12564</v>
      </c>
      <c r="G212" s="52">
        <v>21</v>
      </c>
      <c r="H212" s="32">
        <f t="shared" si="6"/>
        <v>0.18632075471698112</v>
      </c>
      <c r="I212" s="31">
        <f t="shared" si="7"/>
        <v>2370</v>
      </c>
    </row>
    <row r="213" spans="1:9" x14ac:dyDescent="0.3">
      <c r="A213" s="51" t="s">
        <v>27</v>
      </c>
      <c r="B213" s="52">
        <v>3874</v>
      </c>
      <c r="C213" s="52">
        <v>884</v>
      </c>
      <c r="D213" s="52">
        <v>19</v>
      </c>
      <c r="E213" s="52">
        <v>38740</v>
      </c>
      <c r="F213" s="52">
        <v>38552</v>
      </c>
      <c r="G213" s="52">
        <v>219</v>
      </c>
      <c r="H213" s="32">
        <f t="shared" si="6"/>
        <v>0.123309241094476</v>
      </c>
      <c r="I213" s="31">
        <f t="shared" si="7"/>
        <v>4777</v>
      </c>
    </row>
    <row r="214" spans="1:9" x14ac:dyDescent="0.3">
      <c r="A214" s="51" t="s">
        <v>34</v>
      </c>
      <c r="B214" s="52">
        <v>2696</v>
      </c>
      <c r="C214" s="52">
        <v>628</v>
      </c>
      <c r="D214" s="52">
        <v>443</v>
      </c>
      <c r="E214" s="52">
        <v>45832</v>
      </c>
      <c r="F214" s="52">
        <v>45632</v>
      </c>
      <c r="G214" s="52">
        <v>248</v>
      </c>
      <c r="H214" s="32">
        <f t="shared" si="6"/>
        <v>8.21914819340199E-2</v>
      </c>
      <c r="I214" s="31">
        <f t="shared" si="7"/>
        <v>3767</v>
      </c>
    </row>
    <row r="215" spans="1:9" x14ac:dyDescent="0.3">
      <c r="A215" s="51" t="s">
        <v>59</v>
      </c>
      <c r="B215" s="52">
        <v>521</v>
      </c>
      <c r="C215" s="52">
        <v>746</v>
      </c>
      <c r="D215" s="52">
        <v>315</v>
      </c>
      <c r="E215" s="52">
        <v>4168</v>
      </c>
      <c r="F215" s="52">
        <v>3399</v>
      </c>
      <c r="G215" s="52">
        <v>282</v>
      </c>
      <c r="H215" s="32">
        <f t="shared" si="6"/>
        <v>0.37955854126679461</v>
      </c>
      <c r="I215" s="31">
        <f t="shared" si="7"/>
        <v>1582</v>
      </c>
    </row>
    <row r="216" spans="1:9" x14ac:dyDescent="0.3">
      <c r="A216" s="51" t="s">
        <v>34</v>
      </c>
      <c r="B216" s="52">
        <v>4872</v>
      </c>
      <c r="C216" s="52">
        <v>925</v>
      </c>
      <c r="D216" s="52">
        <v>176</v>
      </c>
      <c r="E216" s="52">
        <v>82824</v>
      </c>
      <c r="F216" s="52">
        <v>82543</v>
      </c>
      <c r="G216" s="52">
        <v>89</v>
      </c>
      <c r="H216" s="32">
        <f t="shared" si="6"/>
        <v>7.2116777745580993E-2</v>
      </c>
      <c r="I216" s="31">
        <f t="shared" si="7"/>
        <v>5973</v>
      </c>
    </row>
    <row r="217" spans="1:9" x14ac:dyDescent="0.3">
      <c r="A217" s="51" t="s">
        <v>34</v>
      </c>
      <c r="B217" s="52">
        <v>1509</v>
      </c>
      <c r="C217" s="52">
        <v>88</v>
      </c>
      <c r="D217" s="52">
        <v>163</v>
      </c>
      <c r="E217" s="52">
        <v>30180</v>
      </c>
      <c r="F217" s="52">
        <v>29689</v>
      </c>
      <c r="G217" s="52">
        <v>119</v>
      </c>
      <c r="H217" s="32">
        <f t="shared" si="6"/>
        <v>5.8316766070245198E-2</v>
      </c>
      <c r="I217" s="31">
        <f t="shared" si="7"/>
        <v>1760</v>
      </c>
    </row>
    <row r="218" spans="1:9" x14ac:dyDescent="0.3">
      <c r="A218" s="51" t="s">
        <v>27</v>
      </c>
      <c r="B218" s="52">
        <v>4606</v>
      </c>
      <c r="C218" s="52">
        <v>931</v>
      </c>
      <c r="D218" s="52">
        <v>230</v>
      </c>
      <c r="E218" s="52">
        <v>92120</v>
      </c>
      <c r="F218" s="52">
        <v>91440</v>
      </c>
      <c r="G218" s="52">
        <v>56</v>
      </c>
      <c r="H218" s="32">
        <f t="shared" si="6"/>
        <v>6.2603126356925748E-2</v>
      </c>
      <c r="I218" s="31">
        <f t="shared" si="7"/>
        <v>5767</v>
      </c>
    </row>
    <row r="219" spans="1:9" x14ac:dyDescent="0.3">
      <c r="A219" s="51" t="s">
        <v>27</v>
      </c>
      <c r="B219" s="52">
        <v>1869</v>
      </c>
      <c r="C219" s="52">
        <v>453</v>
      </c>
      <c r="D219" s="52">
        <v>490</v>
      </c>
      <c r="E219" s="52">
        <v>14952</v>
      </c>
      <c r="F219" s="52">
        <v>14309</v>
      </c>
      <c r="G219" s="52">
        <v>275</v>
      </c>
      <c r="H219" s="32">
        <f t="shared" si="6"/>
        <v>0.18806848582129482</v>
      </c>
      <c r="I219" s="31">
        <f t="shared" si="7"/>
        <v>2812</v>
      </c>
    </row>
    <row r="220" spans="1:9" x14ac:dyDescent="0.3">
      <c r="A220" s="51" t="s">
        <v>27</v>
      </c>
      <c r="B220" s="52">
        <v>1188</v>
      </c>
      <c r="C220" s="52">
        <v>470</v>
      </c>
      <c r="D220" s="52">
        <v>174</v>
      </c>
      <c r="E220" s="52">
        <v>7128</v>
      </c>
      <c r="F220" s="52">
        <v>6145</v>
      </c>
      <c r="G220" s="52">
        <v>270</v>
      </c>
      <c r="H220" s="32">
        <f t="shared" si="6"/>
        <v>0.25701459034792368</v>
      </c>
      <c r="I220" s="31">
        <f t="shared" si="7"/>
        <v>1832</v>
      </c>
    </row>
    <row r="221" spans="1:9" x14ac:dyDescent="0.3">
      <c r="A221" s="51" t="s">
        <v>34</v>
      </c>
      <c r="B221" s="52">
        <v>84</v>
      </c>
      <c r="C221" s="52">
        <v>897</v>
      </c>
      <c r="D221" s="52">
        <v>85</v>
      </c>
      <c r="E221" s="52">
        <v>588</v>
      </c>
      <c r="F221" s="52">
        <v>8</v>
      </c>
      <c r="G221" s="52">
        <v>12</v>
      </c>
      <c r="H221" s="32">
        <f t="shared" si="6"/>
        <v>1.8129251700680271</v>
      </c>
      <c r="I221" s="31">
        <f t="shared" si="7"/>
        <v>1066</v>
      </c>
    </row>
    <row r="222" spans="1:9" x14ac:dyDescent="0.3">
      <c r="A222" s="51" t="s">
        <v>27</v>
      </c>
      <c r="B222" s="52">
        <v>4453</v>
      </c>
      <c r="C222" s="52">
        <v>111</v>
      </c>
      <c r="D222" s="52">
        <v>420</v>
      </c>
      <c r="E222" s="52">
        <v>31171</v>
      </c>
      <c r="F222" s="52">
        <v>30565</v>
      </c>
      <c r="G222" s="52">
        <v>23</v>
      </c>
      <c r="H222" s="32">
        <f t="shared" si="6"/>
        <v>0.15989220750056141</v>
      </c>
      <c r="I222" s="31">
        <f t="shared" si="7"/>
        <v>4984</v>
      </c>
    </row>
    <row r="223" spans="1:9" x14ac:dyDescent="0.3">
      <c r="A223" s="51" t="s">
        <v>59</v>
      </c>
      <c r="B223" s="52">
        <v>1814</v>
      </c>
      <c r="C223" s="52">
        <v>653</v>
      </c>
      <c r="D223" s="52">
        <v>363</v>
      </c>
      <c r="E223" s="52">
        <v>25396</v>
      </c>
      <c r="F223" s="52">
        <v>25286</v>
      </c>
      <c r="G223" s="52">
        <v>39</v>
      </c>
      <c r="H223" s="32">
        <f t="shared" si="6"/>
        <v>0.11143487163332809</v>
      </c>
      <c r="I223" s="31">
        <f t="shared" si="7"/>
        <v>2830</v>
      </c>
    </row>
    <row r="224" spans="1:9" x14ac:dyDescent="0.3">
      <c r="A224" s="51" t="s">
        <v>27</v>
      </c>
      <c r="B224" s="52">
        <v>3338</v>
      </c>
      <c r="C224" s="52">
        <v>277</v>
      </c>
      <c r="D224" s="52">
        <v>118</v>
      </c>
      <c r="E224" s="52">
        <v>60084</v>
      </c>
      <c r="F224" s="52">
        <v>59842</v>
      </c>
      <c r="G224" s="52">
        <v>252</v>
      </c>
      <c r="H224" s="32">
        <f t="shared" si="6"/>
        <v>6.2129685107516146E-2</v>
      </c>
      <c r="I224" s="31">
        <f t="shared" si="7"/>
        <v>3733</v>
      </c>
    </row>
    <row r="225" spans="1:9" x14ac:dyDescent="0.3">
      <c r="A225" s="51" t="s">
        <v>27</v>
      </c>
      <c r="B225" s="52">
        <v>602</v>
      </c>
      <c r="C225" s="52">
        <v>594</v>
      </c>
      <c r="D225" s="52">
        <v>156</v>
      </c>
      <c r="E225" s="52">
        <v>4214</v>
      </c>
      <c r="F225" s="52">
        <v>3363</v>
      </c>
      <c r="G225" s="52">
        <v>164</v>
      </c>
      <c r="H225" s="32">
        <f t="shared" si="6"/>
        <v>0.32083531086853345</v>
      </c>
      <c r="I225" s="31">
        <f t="shared" si="7"/>
        <v>1352</v>
      </c>
    </row>
    <row r="226" spans="1:9" x14ac:dyDescent="0.3">
      <c r="A226" s="51" t="s">
        <v>34</v>
      </c>
      <c r="B226" s="52">
        <v>4672</v>
      </c>
      <c r="C226" s="52">
        <v>325</v>
      </c>
      <c r="D226" s="52">
        <v>32</v>
      </c>
      <c r="E226" s="52">
        <v>88768</v>
      </c>
      <c r="F226" s="52">
        <v>87833</v>
      </c>
      <c r="G226" s="52">
        <v>118</v>
      </c>
      <c r="H226" s="32">
        <f t="shared" si="6"/>
        <v>5.6653298485940883E-2</v>
      </c>
      <c r="I226" s="31">
        <f t="shared" si="7"/>
        <v>5029</v>
      </c>
    </row>
    <row r="227" spans="1:9" x14ac:dyDescent="0.3">
      <c r="A227" s="51" t="s">
        <v>27</v>
      </c>
      <c r="B227" s="52">
        <v>1741</v>
      </c>
      <c r="C227" s="52">
        <v>164</v>
      </c>
      <c r="D227" s="52">
        <v>318</v>
      </c>
      <c r="E227" s="52">
        <v>8705</v>
      </c>
      <c r="F227" s="52">
        <v>8272</v>
      </c>
      <c r="G227" s="52">
        <v>121</v>
      </c>
      <c r="H227" s="32">
        <f t="shared" si="6"/>
        <v>0.25537047673750718</v>
      </c>
      <c r="I227" s="31">
        <f t="shared" si="7"/>
        <v>2223</v>
      </c>
    </row>
    <row r="228" spans="1:9" x14ac:dyDescent="0.3">
      <c r="A228" s="51" t="s">
        <v>59</v>
      </c>
      <c r="B228" s="52">
        <v>246</v>
      </c>
      <c r="C228" s="52">
        <v>149</v>
      </c>
      <c r="D228" s="52">
        <v>130</v>
      </c>
      <c r="E228" s="52">
        <v>4674</v>
      </c>
      <c r="F228" s="52">
        <v>4390</v>
      </c>
      <c r="G228" s="52">
        <v>217</v>
      </c>
      <c r="H228" s="32">
        <f t="shared" si="6"/>
        <v>0.11232349165596919</v>
      </c>
      <c r="I228" s="31">
        <f t="shared" si="7"/>
        <v>525</v>
      </c>
    </row>
    <row r="229" spans="1:9" x14ac:dyDescent="0.3">
      <c r="A229" s="51" t="s">
        <v>34</v>
      </c>
      <c r="B229" s="52">
        <v>4808</v>
      </c>
      <c r="C229" s="52">
        <v>772</v>
      </c>
      <c r="D229" s="52">
        <v>320</v>
      </c>
      <c r="E229" s="52">
        <v>72120</v>
      </c>
      <c r="F229" s="52">
        <v>71696</v>
      </c>
      <c r="G229" s="52">
        <v>195</v>
      </c>
      <c r="H229" s="32">
        <f t="shared" si="6"/>
        <v>8.1808097615085965E-2</v>
      </c>
      <c r="I229" s="31">
        <f t="shared" si="7"/>
        <v>5900</v>
      </c>
    </row>
    <row r="230" spans="1:9" x14ac:dyDescent="0.3">
      <c r="A230" s="51" t="s">
        <v>27</v>
      </c>
      <c r="B230" s="52">
        <v>4799</v>
      </c>
      <c r="C230" s="52">
        <v>694</v>
      </c>
      <c r="D230" s="52">
        <v>289</v>
      </c>
      <c r="E230" s="52">
        <v>43191</v>
      </c>
      <c r="F230" s="52">
        <v>42228</v>
      </c>
      <c r="G230" s="52">
        <v>118</v>
      </c>
      <c r="H230" s="32">
        <f t="shared" si="6"/>
        <v>0.13387048227640017</v>
      </c>
      <c r="I230" s="31">
        <f t="shared" si="7"/>
        <v>5782</v>
      </c>
    </row>
    <row r="231" spans="1:9" x14ac:dyDescent="0.3">
      <c r="A231" s="51" t="s">
        <v>34</v>
      </c>
      <c r="B231" s="52">
        <v>3663</v>
      </c>
      <c r="C231" s="52">
        <v>17</v>
      </c>
      <c r="D231" s="52">
        <v>295</v>
      </c>
      <c r="E231" s="52">
        <v>51282</v>
      </c>
      <c r="F231" s="52">
        <v>50567</v>
      </c>
      <c r="G231" s="52">
        <v>84</v>
      </c>
      <c r="H231" s="32">
        <f t="shared" si="6"/>
        <v>7.7512577512577507E-2</v>
      </c>
      <c r="I231" s="31">
        <f t="shared" si="7"/>
        <v>3975</v>
      </c>
    </row>
    <row r="232" spans="1:9" x14ac:dyDescent="0.3">
      <c r="A232" s="51" t="s">
        <v>59</v>
      </c>
      <c r="B232" s="52">
        <v>1430</v>
      </c>
      <c r="C232" s="52">
        <v>376</v>
      </c>
      <c r="D232" s="52">
        <v>33</v>
      </c>
      <c r="E232" s="52">
        <v>21450</v>
      </c>
      <c r="F232" s="52">
        <v>20509</v>
      </c>
      <c r="G232" s="52">
        <v>251</v>
      </c>
      <c r="H232" s="32">
        <f t="shared" si="6"/>
        <v>8.5734265734265735E-2</v>
      </c>
      <c r="I232" s="31">
        <f t="shared" si="7"/>
        <v>1839</v>
      </c>
    </row>
    <row r="233" spans="1:9" x14ac:dyDescent="0.3">
      <c r="A233" s="51" t="s">
        <v>34</v>
      </c>
      <c r="B233" s="52">
        <v>249</v>
      </c>
      <c r="C233" s="52">
        <v>592</v>
      </c>
      <c r="D233" s="52">
        <v>230</v>
      </c>
      <c r="E233" s="52">
        <v>1494</v>
      </c>
      <c r="F233" s="52">
        <v>1044</v>
      </c>
      <c r="G233" s="52">
        <v>201</v>
      </c>
      <c r="H233" s="32">
        <f t="shared" si="6"/>
        <v>0.7168674698795181</v>
      </c>
      <c r="I233" s="31">
        <f t="shared" si="7"/>
        <v>1071</v>
      </c>
    </row>
    <row r="234" spans="1:9" x14ac:dyDescent="0.3">
      <c r="A234" s="51" t="s">
        <v>59</v>
      </c>
      <c r="B234" s="52">
        <v>2382</v>
      </c>
      <c r="C234" s="52">
        <v>265</v>
      </c>
      <c r="D234" s="52">
        <v>134</v>
      </c>
      <c r="E234" s="52">
        <v>38112</v>
      </c>
      <c r="F234" s="52">
        <v>37437</v>
      </c>
      <c r="G234" s="52">
        <v>249</v>
      </c>
      <c r="H234" s="32">
        <f t="shared" si="6"/>
        <v>7.2969143576826198E-2</v>
      </c>
      <c r="I234" s="31">
        <f t="shared" si="7"/>
        <v>2781</v>
      </c>
    </row>
    <row r="235" spans="1:9" x14ac:dyDescent="0.3">
      <c r="A235" s="51" t="s">
        <v>27</v>
      </c>
      <c r="B235" s="52">
        <v>1272</v>
      </c>
      <c r="C235" s="52">
        <v>465</v>
      </c>
      <c r="D235" s="52">
        <v>99</v>
      </c>
      <c r="E235" s="52">
        <v>24168</v>
      </c>
      <c r="F235" s="52">
        <v>23719</v>
      </c>
      <c r="G235" s="52">
        <v>42</v>
      </c>
      <c r="H235" s="32">
        <f t="shared" si="6"/>
        <v>7.5968222442899705E-2</v>
      </c>
      <c r="I235" s="31">
        <f t="shared" si="7"/>
        <v>1836</v>
      </c>
    </row>
    <row r="236" spans="1:9" x14ac:dyDescent="0.3">
      <c r="A236" s="51" t="s">
        <v>27</v>
      </c>
      <c r="B236" s="52">
        <v>3196</v>
      </c>
      <c r="C236" s="52">
        <v>941</v>
      </c>
      <c r="D236" s="52">
        <v>376</v>
      </c>
      <c r="E236" s="52">
        <v>35156</v>
      </c>
      <c r="F236" s="52">
        <v>34444</v>
      </c>
      <c r="G236" s="52">
        <v>241</v>
      </c>
      <c r="H236" s="32">
        <f t="shared" si="6"/>
        <v>0.1283706906360223</v>
      </c>
      <c r="I236" s="31">
        <f t="shared" si="7"/>
        <v>4513</v>
      </c>
    </row>
    <row r="237" spans="1:9" x14ac:dyDescent="0.3">
      <c r="A237" s="51" t="s">
        <v>59</v>
      </c>
      <c r="B237" s="52">
        <v>1257</v>
      </c>
      <c r="C237" s="52">
        <v>19</v>
      </c>
      <c r="D237" s="52">
        <v>351</v>
      </c>
      <c r="E237" s="52">
        <v>12570</v>
      </c>
      <c r="F237" s="52">
        <v>11660</v>
      </c>
      <c r="G237" s="52">
        <v>194</v>
      </c>
      <c r="H237" s="32">
        <f t="shared" si="6"/>
        <v>0.12943516308671441</v>
      </c>
      <c r="I237" s="31">
        <f t="shared" si="7"/>
        <v>1627</v>
      </c>
    </row>
    <row r="238" spans="1:9" x14ac:dyDescent="0.3">
      <c r="A238" s="51" t="s">
        <v>59</v>
      </c>
      <c r="B238" s="52">
        <v>3770</v>
      </c>
      <c r="C238" s="52">
        <v>917</v>
      </c>
      <c r="D238" s="52">
        <v>129</v>
      </c>
      <c r="E238" s="52">
        <v>71630</v>
      </c>
      <c r="F238" s="52">
        <v>71322</v>
      </c>
      <c r="G238" s="52">
        <v>76</v>
      </c>
      <c r="H238" s="32">
        <f t="shared" si="6"/>
        <v>6.7234398994834563E-2</v>
      </c>
      <c r="I238" s="31">
        <f t="shared" si="7"/>
        <v>4816</v>
      </c>
    </row>
    <row r="239" spans="1:9" x14ac:dyDescent="0.3">
      <c r="A239" s="51" t="s">
        <v>59</v>
      </c>
      <c r="B239" s="52">
        <v>4725</v>
      </c>
      <c r="C239" s="52">
        <v>400</v>
      </c>
      <c r="D239" s="52">
        <v>362</v>
      </c>
      <c r="E239" s="52">
        <v>75600</v>
      </c>
      <c r="F239" s="52">
        <v>74927</v>
      </c>
      <c r="G239" s="52">
        <v>43</v>
      </c>
      <c r="H239" s="32">
        <f t="shared" si="6"/>
        <v>7.2579365079365077E-2</v>
      </c>
      <c r="I239" s="31">
        <f t="shared" si="7"/>
        <v>5487</v>
      </c>
    </row>
    <row r="240" spans="1:9" x14ac:dyDescent="0.3">
      <c r="A240" s="51" t="s">
        <v>59</v>
      </c>
      <c r="B240" s="52">
        <v>4188</v>
      </c>
      <c r="C240" s="52">
        <v>942</v>
      </c>
      <c r="D240" s="52">
        <v>118</v>
      </c>
      <c r="E240" s="52">
        <v>20940</v>
      </c>
      <c r="F240" s="52">
        <v>20471</v>
      </c>
      <c r="G240" s="52">
        <v>102</v>
      </c>
      <c r="H240" s="32">
        <f t="shared" si="6"/>
        <v>0.25062082139446035</v>
      </c>
      <c r="I240" s="31">
        <f t="shared" si="7"/>
        <v>5248</v>
      </c>
    </row>
    <row r="241" spans="1:9" x14ac:dyDescent="0.3">
      <c r="A241" s="51" t="s">
        <v>34</v>
      </c>
      <c r="B241" s="52">
        <v>929</v>
      </c>
      <c r="C241" s="52">
        <v>192</v>
      </c>
      <c r="D241" s="52">
        <v>322</v>
      </c>
      <c r="E241" s="52">
        <v>16722</v>
      </c>
      <c r="F241" s="52">
        <v>15996</v>
      </c>
      <c r="G241" s="52">
        <v>145</v>
      </c>
      <c r="H241" s="32">
        <f t="shared" si="6"/>
        <v>8.6293505561535699E-2</v>
      </c>
      <c r="I241" s="31">
        <f t="shared" si="7"/>
        <v>1443</v>
      </c>
    </row>
    <row r="242" spans="1:9" x14ac:dyDescent="0.3">
      <c r="A242" s="51" t="s">
        <v>27</v>
      </c>
      <c r="B242" s="52">
        <v>4321</v>
      </c>
      <c r="C242" s="52">
        <v>874</v>
      </c>
      <c r="D242" s="52">
        <v>172</v>
      </c>
      <c r="E242" s="52">
        <v>30247</v>
      </c>
      <c r="F242" s="52">
        <v>29254</v>
      </c>
      <c r="G242" s="52">
        <v>122</v>
      </c>
      <c r="H242" s="32">
        <f t="shared" si="6"/>
        <v>0.17743908486792079</v>
      </c>
      <c r="I242" s="31">
        <f t="shared" si="7"/>
        <v>5367</v>
      </c>
    </row>
    <row r="243" spans="1:9" x14ac:dyDescent="0.3">
      <c r="A243" s="51" t="s">
        <v>34</v>
      </c>
      <c r="B243" s="52">
        <v>4767</v>
      </c>
      <c r="C243" s="52">
        <v>190</v>
      </c>
      <c r="D243" s="52">
        <v>340</v>
      </c>
      <c r="E243" s="52">
        <v>28602</v>
      </c>
      <c r="F243" s="52">
        <v>28044</v>
      </c>
      <c r="G243" s="52">
        <v>210</v>
      </c>
      <c r="H243" s="32">
        <f t="shared" si="6"/>
        <v>0.18519683938186141</v>
      </c>
      <c r="I243" s="31">
        <f t="shared" si="7"/>
        <v>5297</v>
      </c>
    </row>
    <row r="244" spans="1:9" x14ac:dyDescent="0.3">
      <c r="A244" s="51" t="s">
        <v>59</v>
      </c>
      <c r="B244" s="52">
        <v>3592</v>
      </c>
      <c r="C244" s="52">
        <v>911</v>
      </c>
      <c r="D244" s="52">
        <v>375</v>
      </c>
      <c r="E244" s="52">
        <v>50288</v>
      </c>
      <c r="F244" s="52">
        <v>49490</v>
      </c>
      <c r="G244" s="52">
        <v>32</v>
      </c>
      <c r="H244" s="32">
        <f t="shared" si="6"/>
        <v>9.7001272669424113E-2</v>
      </c>
      <c r="I244" s="31">
        <f t="shared" si="7"/>
        <v>4878</v>
      </c>
    </row>
    <row r="245" spans="1:9" x14ac:dyDescent="0.3">
      <c r="A245" s="51" t="s">
        <v>59</v>
      </c>
      <c r="B245" s="52">
        <v>4661</v>
      </c>
      <c r="C245" s="52">
        <v>935</v>
      </c>
      <c r="D245" s="52">
        <v>433</v>
      </c>
      <c r="E245" s="52">
        <v>23305</v>
      </c>
      <c r="F245" s="52">
        <v>22583</v>
      </c>
      <c r="G245" s="52">
        <v>63</v>
      </c>
      <c r="H245" s="32">
        <f t="shared" si="6"/>
        <v>0.25869984981763572</v>
      </c>
      <c r="I245" s="31">
        <f t="shared" si="7"/>
        <v>6029</v>
      </c>
    </row>
    <row r="246" spans="1:9" x14ac:dyDescent="0.3">
      <c r="A246" s="51" t="s">
        <v>34</v>
      </c>
      <c r="B246" s="52">
        <v>4134</v>
      </c>
      <c r="C246" s="52">
        <v>824</v>
      </c>
      <c r="D246" s="52">
        <v>99</v>
      </c>
      <c r="E246" s="52">
        <v>41340</v>
      </c>
      <c r="F246" s="52">
        <v>41050</v>
      </c>
      <c r="G246" s="52">
        <v>177</v>
      </c>
      <c r="H246" s="32">
        <f t="shared" si="6"/>
        <v>0.12232704402515723</v>
      </c>
      <c r="I246" s="31">
        <f t="shared" si="7"/>
        <v>5057</v>
      </c>
    </row>
    <row r="247" spans="1:9" x14ac:dyDescent="0.3">
      <c r="A247" s="51" t="s">
        <v>59</v>
      </c>
      <c r="B247" s="52">
        <v>400</v>
      </c>
      <c r="C247" s="52">
        <v>680</v>
      </c>
      <c r="D247" s="52">
        <v>434</v>
      </c>
      <c r="E247" s="52">
        <v>6400</v>
      </c>
      <c r="F247" s="52">
        <v>5472</v>
      </c>
      <c r="G247" s="52">
        <v>160</v>
      </c>
      <c r="H247" s="32">
        <f t="shared" si="6"/>
        <v>0.23656250000000001</v>
      </c>
      <c r="I247" s="31">
        <f t="shared" si="7"/>
        <v>1514</v>
      </c>
    </row>
    <row r="248" spans="1:9" x14ac:dyDescent="0.3">
      <c r="A248" s="51" t="s">
        <v>59</v>
      </c>
      <c r="B248" s="52">
        <v>3960</v>
      </c>
      <c r="C248" s="52">
        <v>266</v>
      </c>
      <c r="D248" s="52">
        <v>8</v>
      </c>
      <c r="E248" s="52">
        <v>35640</v>
      </c>
      <c r="F248" s="52">
        <v>34850</v>
      </c>
      <c r="G248" s="52">
        <v>208</v>
      </c>
      <c r="H248" s="32">
        <f t="shared" si="6"/>
        <v>0.11879910213243547</v>
      </c>
      <c r="I248" s="31">
        <f t="shared" si="7"/>
        <v>4234</v>
      </c>
    </row>
    <row r="249" spans="1:9" x14ac:dyDescent="0.3">
      <c r="A249" s="51" t="s">
        <v>34</v>
      </c>
      <c r="B249" s="52">
        <v>886</v>
      </c>
      <c r="C249" s="52">
        <v>126</v>
      </c>
      <c r="D249" s="52">
        <v>153</v>
      </c>
      <c r="E249" s="52">
        <v>4430</v>
      </c>
      <c r="F249" s="52">
        <v>4037</v>
      </c>
      <c r="G249" s="52">
        <v>212</v>
      </c>
      <c r="H249" s="32">
        <f t="shared" si="6"/>
        <v>0.26297968397291194</v>
      </c>
      <c r="I249" s="31">
        <f t="shared" si="7"/>
        <v>1165</v>
      </c>
    </row>
    <row r="250" spans="1:9" x14ac:dyDescent="0.3">
      <c r="A250" s="51" t="s">
        <v>34</v>
      </c>
      <c r="B250" s="52">
        <v>827</v>
      </c>
      <c r="C250" s="52">
        <v>77</v>
      </c>
      <c r="D250" s="52">
        <v>402</v>
      </c>
      <c r="E250" s="52">
        <v>14886</v>
      </c>
      <c r="F250" s="52">
        <v>14129</v>
      </c>
      <c r="G250" s="52">
        <v>254</v>
      </c>
      <c r="H250" s="32">
        <f t="shared" si="6"/>
        <v>8.7733440816874911E-2</v>
      </c>
      <c r="I250" s="31">
        <f t="shared" si="7"/>
        <v>1306</v>
      </c>
    </row>
    <row r="251" spans="1:9" x14ac:dyDescent="0.3">
      <c r="A251" s="51" t="s">
        <v>59</v>
      </c>
      <c r="B251" s="52">
        <v>3813</v>
      </c>
      <c r="C251" s="52">
        <v>935</v>
      </c>
      <c r="D251" s="52">
        <v>274</v>
      </c>
      <c r="E251" s="52">
        <v>68634</v>
      </c>
      <c r="F251" s="52">
        <v>68488</v>
      </c>
      <c r="G251" s="52">
        <v>251</v>
      </c>
      <c r="H251" s="32">
        <f t="shared" si="6"/>
        <v>7.3170731707317069E-2</v>
      </c>
      <c r="I251" s="31">
        <f t="shared" si="7"/>
        <v>5022</v>
      </c>
    </row>
    <row r="252" spans="1:9" x14ac:dyDescent="0.3">
      <c r="A252" s="51" t="s">
        <v>59</v>
      </c>
      <c r="B252" s="52">
        <v>1377</v>
      </c>
      <c r="C252" s="52">
        <v>796</v>
      </c>
      <c r="D252" s="52">
        <v>387</v>
      </c>
      <c r="E252" s="52">
        <v>22032</v>
      </c>
      <c r="F252" s="52">
        <v>21869</v>
      </c>
      <c r="G252" s="52">
        <v>189</v>
      </c>
      <c r="H252" s="32">
        <f t="shared" si="6"/>
        <v>0.11619462599854757</v>
      </c>
      <c r="I252" s="31">
        <f t="shared" si="7"/>
        <v>2560</v>
      </c>
    </row>
    <row r="253" spans="1:9" x14ac:dyDescent="0.3">
      <c r="A253" s="51" t="s">
        <v>59</v>
      </c>
      <c r="B253" s="52">
        <v>2089</v>
      </c>
      <c r="C253" s="52">
        <v>476</v>
      </c>
      <c r="D253" s="52">
        <v>69</v>
      </c>
      <c r="E253" s="52">
        <v>16712</v>
      </c>
      <c r="F253" s="52">
        <v>16309</v>
      </c>
      <c r="G253" s="52">
        <v>64</v>
      </c>
      <c r="H253" s="32">
        <f t="shared" si="6"/>
        <v>0.15761129727142173</v>
      </c>
      <c r="I253" s="31">
        <f t="shared" si="7"/>
        <v>2634</v>
      </c>
    </row>
    <row r="254" spans="1:9" x14ac:dyDescent="0.3">
      <c r="A254" s="51" t="s">
        <v>34</v>
      </c>
      <c r="B254" s="52">
        <v>3791</v>
      </c>
      <c r="C254" s="52">
        <v>593</v>
      </c>
      <c r="D254" s="52">
        <v>228</v>
      </c>
      <c r="E254" s="52">
        <v>53074</v>
      </c>
      <c r="F254" s="52">
        <v>52613</v>
      </c>
      <c r="G254" s="52">
        <v>205</v>
      </c>
      <c r="H254" s="32">
        <f t="shared" si="6"/>
        <v>8.6897539284772202E-2</v>
      </c>
      <c r="I254" s="31">
        <f t="shared" si="7"/>
        <v>4612</v>
      </c>
    </row>
    <row r="255" spans="1:9" x14ac:dyDescent="0.3">
      <c r="A255" s="51" t="s">
        <v>59</v>
      </c>
      <c r="B255" s="52">
        <v>2692</v>
      </c>
      <c r="C255" s="52">
        <v>115</v>
      </c>
      <c r="D255" s="52">
        <v>64</v>
      </c>
      <c r="E255" s="52">
        <v>21536</v>
      </c>
      <c r="F255" s="52">
        <v>21120</v>
      </c>
      <c r="G255" s="52">
        <v>224</v>
      </c>
      <c r="H255" s="32">
        <f t="shared" si="6"/>
        <v>0.13331166419019316</v>
      </c>
      <c r="I255" s="31">
        <f t="shared" si="7"/>
        <v>2871</v>
      </c>
    </row>
    <row r="256" spans="1:9" x14ac:dyDescent="0.3">
      <c r="A256" s="51" t="s">
        <v>59</v>
      </c>
      <c r="B256" s="52">
        <v>3767</v>
      </c>
      <c r="C256" s="52">
        <v>514</v>
      </c>
      <c r="D256" s="52">
        <v>238</v>
      </c>
      <c r="E256" s="52">
        <v>37670</v>
      </c>
      <c r="F256" s="52">
        <v>36807</v>
      </c>
      <c r="G256" s="52">
        <v>226</v>
      </c>
      <c r="H256" s="32">
        <f t="shared" si="6"/>
        <v>0.11996283514733209</v>
      </c>
      <c r="I256" s="31">
        <f t="shared" si="7"/>
        <v>4519</v>
      </c>
    </row>
    <row r="257" spans="1:9" x14ac:dyDescent="0.3">
      <c r="A257" s="51" t="s">
        <v>34</v>
      </c>
      <c r="B257" s="52">
        <v>2143</v>
      </c>
      <c r="C257" s="52">
        <v>12</v>
      </c>
      <c r="D257" s="52">
        <v>204</v>
      </c>
      <c r="E257" s="52">
        <v>40717</v>
      </c>
      <c r="F257" s="52">
        <v>40125</v>
      </c>
      <c r="G257" s="52">
        <v>248</v>
      </c>
      <c r="H257" s="32">
        <f t="shared" si="6"/>
        <v>5.7936488444630008E-2</v>
      </c>
      <c r="I257" s="31">
        <f t="shared" si="7"/>
        <v>2359</v>
      </c>
    </row>
    <row r="258" spans="1:9" x14ac:dyDescent="0.3">
      <c r="A258" s="51" t="s">
        <v>34</v>
      </c>
      <c r="B258" s="52">
        <v>3090</v>
      </c>
      <c r="C258" s="52">
        <v>697</v>
      </c>
      <c r="D258" s="52">
        <v>164</v>
      </c>
      <c r="E258" s="52">
        <v>49440</v>
      </c>
      <c r="F258" s="52">
        <v>48524</v>
      </c>
      <c r="G258" s="52">
        <v>25</v>
      </c>
      <c r="H258" s="32">
        <f t="shared" ref="H258:H321" si="8">(B258+C258+D258)/E258</f>
        <v>7.9915048543689318E-2</v>
      </c>
      <c r="I258" s="31">
        <f t="shared" ref="I258:I321" si="9">B258+C258+D258</f>
        <v>3951</v>
      </c>
    </row>
    <row r="259" spans="1:9" x14ac:dyDescent="0.3">
      <c r="A259" s="51" t="s">
        <v>34</v>
      </c>
      <c r="B259" s="52">
        <v>3601</v>
      </c>
      <c r="C259" s="52">
        <v>695</v>
      </c>
      <c r="D259" s="52">
        <v>75</v>
      </c>
      <c r="E259" s="52">
        <v>21606</v>
      </c>
      <c r="F259" s="52">
        <v>21454</v>
      </c>
      <c r="G259" s="52">
        <v>172</v>
      </c>
      <c r="H259" s="32">
        <f t="shared" si="8"/>
        <v>0.2023049153013052</v>
      </c>
      <c r="I259" s="31">
        <f t="shared" si="9"/>
        <v>4371</v>
      </c>
    </row>
    <row r="260" spans="1:9" x14ac:dyDescent="0.3">
      <c r="A260" s="51" t="s">
        <v>27</v>
      </c>
      <c r="B260" s="52">
        <v>562</v>
      </c>
      <c r="C260" s="52">
        <v>158</v>
      </c>
      <c r="D260" s="52">
        <v>149</v>
      </c>
      <c r="E260" s="52">
        <v>3372</v>
      </c>
      <c r="F260" s="52">
        <v>2940</v>
      </c>
      <c r="G260" s="52">
        <v>93</v>
      </c>
      <c r="H260" s="32">
        <f t="shared" si="8"/>
        <v>0.25771055753262156</v>
      </c>
      <c r="I260" s="31">
        <f t="shared" si="9"/>
        <v>869</v>
      </c>
    </row>
    <row r="261" spans="1:9" x14ac:dyDescent="0.3">
      <c r="A261" s="51" t="s">
        <v>27</v>
      </c>
      <c r="B261" s="52">
        <v>4332</v>
      </c>
      <c r="C261" s="52">
        <v>771</v>
      </c>
      <c r="D261" s="52">
        <v>219</v>
      </c>
      <c r="E261" s="52">
        <v>60648</v>
      </c>
      <c r="F261" s="52">
        <v>60397</v>
      </c>
      <c r="G261" s="52">
        <v>10</v>
      </c>
      <c r="H261" s="32">
        <f t="shared" si="8"/>
        <v>8.7752275425405618E-2</v>
      </c>
      <c r="I261" s="31">
        <f t="shared" si="9"/>
        <v>5322</v>
      </c>
    </row>
    <row r="262" spans="1:9" x14ac:dyDescent="0.3">
      <c r="A262" s="51" t="s">
        <v>34</v>
      </c>
      <c r="B262" s="52">
        <v>4853</v>
      </c>
      <c r="C262" s="52">
        <v>837</v>
      </c>
      <c r="D262" s="52">
        <v>340</v>
      </c>
      <c r="E262" s="52">
        <v>72795</v>
      </c>
      <c r="F262" s="52">
        <v>72237</v>
      </c>
      <c r="G262" s="52">
        <v>170</v>
      </c>
      <c r="H262" s="32">
        <f t="shared" si="8"/>
        <v>8.2835359571399134E-2</v>
      </c>
      <c r="I262" s="31">
        <f t="shared" si="9"/>
        <v>6030</v>
      </c>
    </row>
    <row r="263" spans="1:9" x14ac:dyDescent="0.3">
      <c r="A263" s="51" t="s">
        <v>27</v>
      </c>
      <c r="B263" s="52">
        <v>1206</v>
      </c>
      <c r="C263" s="52">
        <v>238</v>
      </c>
      <c r="D263" s="52">
        <v>36</v>
      </c>
      <c r="E263" s="52">
        <v>9648</v>
      </c>
      <c r="F263" s="52">
        <v>9417</v>
      </c>
      <c r="G263" s="52">
        <v>237</v>
      </c>
      <c r="H263" s="32">
        <f t="shared" si="8"/>
        <v>0.15339966832504145</v>
      </c>
      <c r="I263" s="31">
        <f t="shared" si="9"/>
        <v>1480</v>
      </c>
    </row>
    <row r="264" spans="1:9" x14ac:dyDescent="0.3">
      <c r="A264" s="51" t="s">
        <v>59</v>
      </c>
      <c r="B264" s="52">
        <v>2603</v>
      </c>
      <c r="C264" s="52">
        <v>690</v>
      </c>
      <c r="D264" s="52">
        <v>205</v>
      </c>
      <c r="E264" s="52">
        <v>13015</v>
      </c>
      <c r="F264" s="52">
        <v>12130</v>
      </c>
      <c r="G264" s="52">
        <v>20</v>
      </c>
      <c r="H264" s="32">
        <f t="shared" si="8"/>
        <v>0.26876680752977333</v>
      </c>
      <c r="I264" s="31">
        <f t="shared" si="9"/>
        <v>3498</v>
      </c>
    </row>
    <row r="265" spans="1:9" x14ac:dyDescent="0.3">
      <c r="A265" s="51" t="s">
        <v>27</v>
      </c>
      <c r="B265" s="52">
        <v>59</v>
      </c>
      <c r="C265" s="52">
        <v>163</v>
      </c>
      <c r="D265" s="52">
        <v>93</v>
      </c>
      <c r="E265" s="52">
        <v>590</v>
      </c>
      <c r="F265" s="52">
        <v>475</v>
      </c>
      <c r="G265" s="52">
        <v>293</v>
      </c>
      <c r="H265" s="32">
        <f t="shared" si="8"/>
        <v>0.53389830508474578</v>
      </c>
      <c r="I265" s="31">
        <f t="shared" si="9"/>
        <v>315</v>
      </c>
    </row>
    <row r="266" spans="1:9" x14ac:dyDescent="0.3">
      <c r="A266" s="51" t="s">
        <v>34</v>
      </c>
      <c r="B266" s="52">
        <v>1877</v>
      </c>
      <c r="C266" s="52">
        <v>745</v>
      </c>
      <c r="D266" s="52">
        <v>225</v>
      </c>
      <c r="E266" s="52">
        <v>11262</v>
      </c>
      <c r="F266" s="52">
        <v>10967</v>
      </c>
      <c r="G266" s="52">
        <v>41</v>
      </c>
      <c r="H266" s="32">
        <f t="shared" si="8"/>
        <v>0.25279701651571657</v>
      </c>
      <c r="I266" s="31">
        <f t="shared" si="9"/>
        <v>2847</v>
      </c>
    </row>
    <row r="267" spans="1:9" x14ac:dyDescent="0.3">
      <c r="A267" s="51" t="s">
        <v>27</v>
      </c>
      <c r="B267" s="52">
        <v>4182</v>
      </c>
      <c r="C267" s="52">
        <v>640</v>
      </c>
      <c r="D267" s="52">
        <v>240</v>
      </c>
      <c r="E267" s="52">
        <v>50184</v>
      </c>
      <c r="F267" s="52">
        <v>49351</v>
      </c>
      <c r="G267" s="52">
        <v>10</v>
      </c>
      <c r="H267" s="32">
        <f t="shared" si="8"/>
        <v>0.10086880280567512</v>
      </c>
      <c r="I267" s="31">
        <f t="shared" si="9"/>
        <v>5062</v>
      </c>
    </row>
    <row r="268" spans="1:9" x14ac:dyDescent="0.3">
      <c r="A268" s="51" t="s">
        <v>59</v>
      </c>
      <c r="B268" s="52">
        <v>4187</v>
      </c>
      <c r="C268" s="52">
        <v>66</v>
      </c>
      <c r="D268" s="52">
        <v>31</v>
      </c>
      <c r="E268" s="52">
        <v>66992</v>
      </c>
      <c r="F268" s="52">
        <v>66614</v>
      </c>
      <c r="G268" s="52">
        <v>62</v>
      </c>
      <c r="H268" s="32">
        <f t="shared" si="8"/>
        <v>6.3947934081681396E-2</v>
      </c>
      <c r="I268" s="31">
        <f t="shared" si="9"/>
        <v>4284</v>
      </c>
    </row>
    <row r="269" spans="1:9" x14ac:dyDescent="0.3">
      <c r="A269" s="51" t="s">
        <v>34</v>
      </c>
      <c r="B269" s="52">
        <v>4579</v>
      </c>
      <c r="C269" s="52">
        <v>125</v>
      </c>
      <c r="D269" s="52">
        <v>300</v>
      </c>
      <c r="E269" s="52">
        <v>59527</v>
      </c>
      <c r="F269" s="52">
        <v>59400</v>
      </c>
      <c r="G269" s="52">
        <v>269</v>
      </c>
      <c r="H269" s="32">
        <f t="shared" si="8"/>
        <v>8.4062694239588759E-2</v>
      </c>
      <c r="I269" s="31">
        <f t="shared" si="9"/>
        <v>5004</v>
      </c>
    </row>
    <row r="270" spans="1:9" x14ac:dyDescent="0.3">
      <c r="A270" s="51" t="s">
        <v>27</v>
      </c>
      <c r="B270" s="52">
        <v>4561</v>
      </c>
      <c r="C270" s="52">
        <v>51</v>
      </c>
      <c r="D270" s="52">
        <v>441</v>
      </c>
      <c r="E270" s="52">
        <v>22805</v>
      </c>
      <c r="F270" s="52">
        <v>21890</v>
      </c>
      <c r="G270" s="52">
        <v>45</v>
      </c>
      <c r="H270" s="32">
        <f t="shared" si="8"/>
        <v>0.22157421618066214</v>
      </c>
      <c r="I270" s="31">
        <f t="shared" si="9"/>
        <v>5053</v>
      </c>
    </row>
    <row r="271" spans="1:9" x14ac:dyDescent="0.3">
      <c r="A271" s="51" t="s">
        <v>27</v>
      </c>
      <c r="B271" s="52">
        <v>3774</v>
      </c>
      <c r="C271" s="52">
        <v>239</v>
      </c>
      <c r="D271" s="52">
        <v>39</v>
      </c>
      <c r="E271" s="52">
        <v>60384</v>
      </c>
      <c r="F271" s="52">
        <v>59490</v>
      </c>
      <c r="G271" s="52">
        <v>241</v>
      </c>
      <c r="H271" s="32">
        <f t="shared" si="8"/>
        <v>6.7103868574456813E-2</v>
      </c>
      <c r="I271" s="31">
        <f t="shared" si="9"/>
        <v>4052</v>
      </c>
    </row>
    <row r="272" spans="1:9" x14ac:dyDescent="0.3">
      <c r="A272" s="51" t="s">
        <v>34</v>
      </c>
      <c r="B272" s="52">
        <v>3575</v>
      </c>
      <c r="C272" s="52">
        <v>749</v>
      </c>
      <c r="D272" s="52">
        <v>111</v>
      </c>
      <c r="E272" s="52">
        <v>21450</v>
      </c>
      <c r="F272" s="52">
        <v>20785</v>
      </c>
      <c r="G272" s="52">
        <v>195</v>
      </c>
      <c r="H272" s="32">
        <f t="shared" si="8"/>
        <v>0.20675990675990677</v>
      </c>
      <c r="I272" s="31">
        <f t="shared" si="9"/>
        <v>4435</v>
      </c>
    </row>
    <row r="273" spans="1:9" x14ac:dyDescent="0.3">
      <c r="A273" s="51" t="s">
        <v>27</v>
      </c>
      <c r="B273" s="52">
        <v>4941</v>
      </c>
      <c r="C273" s="52">
        <v>414</v>
      </c>
      <c r="D273" s="52">
        <v>266</v>
      </c>
      <c r="E273" s="52">
        <v>39528</v>
      </c>
      <c r="F273" s="52">
        <v>39154</v>
      </c>
      <c r="G273" s="52">
        <v>217</v>
      </c>
      <c r="H273" s="32">
        <f t="shared" si="8"/>
        <v>0.14220299534507186</v>
      </c>
      <c r="I273" s="31">
        <f t="shared" si="9"/>
        <v>5621</v>
      </c>
    </row>
    <row r="274" spans="1:9" x14ac:dyDescent="0.3">
      <c r="A274" s="51" t="s">
        <v>34</v>
      </c>
      <c r="B274" s="52">
        <v>3641</v>
      </c>
      <c r="C274" s="52">
        <v>226</v>
      </c>
      <c r="D274" s="52">
        <v>46</v>
      </c>
      <c r="E274" s="52">
        <v>40051</v>
      </c>
      <c r="F274" s="52">
        <v>39319</v>
      </c>
      <c r="G274" s="52">
        <v>296</v>
      </c>
      <c r="H274" s="32">
        <f t="shared" si="8"/>
        <v>9.7700431949264685E-2</v>
      </c>
      <c r="I274" s="31">
        <f t="shared" si="9"/>
        <v>3913</v>
      </c>
    </row>
    <row r="275" spans="1:9" x14ac:dyDescent="0.3">
      <c r="A275" s="51" t="s">
        <v>27</v>
      </c>
      <c r="B275" s="52">
        <v>3535</v>
      </c>
      <c r="C275" s="52">
        <v>494</v>
      </c>
      <c r="D275" s="52">
        <v>152</v>
      </c>
      <c r="E275" s="52">
        <v>53025</v>
      </c>
      <c r="F275" s="52">
        <v>52791</v>
      </c>
      <c r="G275" s="52">
        <v>44</v>
      </c>
      <c r="H275" s="32">
        <f t="shared" si="8"/>
        <v>7.8849599245638849E-2</v>
      </c>
      <c r="I275" s="31">
        <f t="shared" si="9"/>
        <v>4181</v>
      </c>
    </row>
    <row r="276" spans="1:9" x14ac:dyDescent="0.3">
      <c r="A276" s="51" t="s">
        <v>34</v>
      </c>
      <c r="B276" s="52">
        <v>1741</v>
      </c>
      <c r="C276" s="52">
        <v>831</v>
      </c>
      <c r="D276" s="52">
        <v>345</v>
      </c>
      <c r="E276" s="52">
        <v>17410</v>
      </c>
      <c r="F276" s="52">
        <v>16844</v>
      </c>
      <c r="G276" s="52">
        <v>58</v>
      </c>
      <c r="H276" s="32">
        <f t="shared" si="8"/>
        <v>0.16754738655944859</v>
      </c>
      <c r="I276" s="31">
        <f t="shared" si="9"/>
        <v>2917</v>
      </c>
    </row>
    <row r="277" spans="1:9" x14ac:dyDescent="0.3">
      <c r="A277" s="51" t="s">
        <v>27</v>
      </c>
      <c r="B277" s="52">
        <v>1556</v>
      </c>
      <c r="C277" s="52">
        <v>195</v>
      </c>
      <c r="D277" s="52">
        <v>131</v>
      </c>
      <c r="E277" s="52">
        <v>9336</v>
      </c>
      <c r="F277" s="52">
        <v>8875</v>
      </c>
      <c r="G277" s="52">
        <v>137</v>
      </c>
      <c r="H277" s="32">
        <f t="shared" si="8"/>
        <v>0.2015852613538989</v>
      </c>
      <c r="I277" s="31">
        <f t="shared" si="9"/>
        <v>1882</v>
      </c>
    </row>
    <row r="278" spans="1:9" x14ac:dyDescent="0.3">
      <c r="A278" s="51" t="s">
        <v>59</v>
      </c>
      <c r="B278" s="52">
        <v>4236</v>
      </c>
      <c r="C278" s="52">
        <v>711</v>
      </c>
      <c r="D278" s="52">
        <v>298</v>
      </c>
      <c r="E278" s="52">
        <v>21180</v>
      </c>
      <c r="F278" s="52">
        <v>20516</v>
      </c>
      <c r="G278" s="52">
        <v>238</v>
      </c>
      <c r="H278" s="32">
        <f t="shared" si="8"/>
        <v>0.24763928234183191</v>
      </c>
      <c r="I278" s="31">
        <f t="shared" si="9"/>
        <v>5245</v>
      </c>
    </row>
    <row r="279" spans="1:9" x14ac:dyDescent="0.3">
      <c r="A279" s="51" t="s">
        <v>34</v>
      </c>
      <c r="B279" s="52">
        <v>4516</v>
      </c>
      <c r="C279" s="52">
        <v>836</v>
      </c>
      <c r="D279" s="52">
        <v>169</v>
      </c>
      <c r="E279" s="52">
        <v>49676</v>
      </c>
      <c r="F279" s="52">
        <v>49257</v>
      </c>
      <c r="G279" s="52">
        <v>282</v>
      </c>
      <c r="H279" s="32">
        <f t="shared" si="8"/>
        <v>0.11114018842096787</v>
      </c>
      <c r="I279" s="31">
        <f t="shared" si="9"/>
        <v>5521</v>
      </c>
    </row>
    <row r="280" spans="1:9" x14ac:dyDescent="0.3">
      <c r="A280" s="51" t="s">
        <v>27</v>
      </c>
      <c r="B280" s="52">
        <v>4905</v>
      </c>
      <c r="C280" s="52">
        <v>845</v>
      </c>
      <c r="D280" s="52">
        <v>129</v>
      </c>
      <c r="E280" s="52">
        <v>98100</v>
      </c>
      <c r="F280" s="52">
        <v>97772</v>
      </c>
      <c r="G280" s="52">
        <v>279</v>
      </c>
      <c r="H280" s="32">
        <f t="shared" si="8"/>
        <v>5.9928644240570844E-2</v>
      </c>
      <c r="I280" s="31">
        <f t="shared" si="9"/>
        <v>5879</v>
      </c>
    </row>
    <row r="281" spans="1:9" x14ac:dyDescent="0.3">
      <c r="A281" s="51" t="s">
        <v>34</v>
      </c>
      <c r="B281" s="52">
        <v>4275</v>
      </c>
      <c r="C281" s="52">
        <v>680</v>
      </c>
      <c r="D281" s="52">
        <v>385</v>
      </c>
      <c r="E281" s="52">
        <v>64125</v>
      </c>
      <c r="F281" s="52">
        <v>63650</v>
      </c>
      <c r="G281" s="52">
        <v>104</v>
      </c>
      <c r="H281" s="32">
        <f t="shared" si="8"/>
        <v>8.3274853801169585E-2</v>
      </c>
      <c r="I281" s="31">
        <f t="shared" si="9"/>
        <v>5340</v>
      </c>
    </row>
    <row r="282" spans="1:9" x14ac:dyDescent="0.3">
      <c r="A282" s="51" t="s">
        <v>34</v>
      </c>
      <c r="B282" s="52">
        <v>3166</v>
      </c>
      <c r="C282" s="52">
        <v>90</v>
      </c>
      <c r="D282" s="52">
        <v>341</v>
      </c>
      <c r="E282" s="52">
        <v>56988</v>
      </c>
      <c r="F282" s="52">
        <v>56125</v>
      </c>
      <c r="G282" s="52">
        <v>135</v>
      </c>
      <c r="H282" s="32">
        <f t="shared" si="8"/>
        <v>6.3118551273952411E-2</v>
      </c>
      <c r="I282" s="31">
        <f t="shared" si="9"/>
        <v>3597</v>
      </c>
    </row>
    <row r="283" spans="1:9" x14ac:dyDescent="0.3">
      <c r="A283" s="51" t="s">
        <v>59</v>
      </c>
      <c r="B283" s="52">
        <v>1488</v>
      </c>
      <c r="C283" s="52">
        <v>417</v>
      </c>
      <c r="D283" s="52">
        <v>168</v>
      </c>
      <c r="E283" s="52">
        <v>19344</v>
      </c>
      <c r="F283" s="52">
        <v>18395</v>
      </c>
      <c r="G283" s="52">
        <v>30</v>
      </c>
      <c r="H283" s="32">
        <f t="shared" si="8"/>
        <v>0.1071650124069479</v>
      </c>
      <c r="I283" s="31">
        <f t="shared" si="9"/>
        <v>2073</v>
      </c>
    </row>
    <row r="284" spans="1:9" x14ac:dyDescent="0.3">
      <c r="A284" s="51" t="s">
        <v>59</v>
      </c>
      <c r="B284" s="52">
        <v>3367</v>
      </c>
      <c r="C284" s="52">
        <v>302</v>
      </c>
      <c r="D284" s="52">
        <v>57</v>
      </c>
      <c r="E284" s="52">
        <v>63973</v>
      </c>
      <c r="F284" s="52">
        <v>63789</v>
      </c>
      <c r="G284" s="52">
        <v>157</v>
      </c>
      <c r="H284" s="32">
        <f t="shared" si="8"/>
        <v>5.8243321401216137E-2</v>
      </c>
      <c r="I284" s="31">
        <f t="shared" si="9"/>
        <v>3726</v>
      </c>
    </row>
    <row r="285" spans="1:9" x14ac:dyDescent="0.3">
      <c r="A285" s="51" t="s">
        <v>27</v>
      </c>
      <c r="B285" s="52">
        <v>571</v>
      </c>
      <c r="C285" s="52">
        <v>190</v>
      </c>
      <c r="D285" s="52">
        <v>352</v>
      </c>
      <c r="E285" s="52">
        <v>9707</v>
      </c>
      <c r="F285" s="52">
        <v>9418</v>
      </c>
      <c r="G285" s="52">
        <v>231</v>
      </c>
      <c r="H285" s="32">
        <f t="shared" si="8"/>
        <v>0.11465952405480581</v>
      </c>
      <c r="I285" s="31">
        <f t="shared" si="9"/>
        <v>1113</v>
      </c>
    </row>
    <row r="286" spans="1:9" x14ac:dyDescent="0.3">
      <c r="A286" s="51" t="s">
        <v>34</v>
      </c>
      <c r="B286" s="52">
        <v>4021</v>
      </c>
      <c r="C286" s="52">
        <v>794</v>
      </c>
      <c r="D286" s="52">
        <v>77</v>
      </c>
      <c r="E286" s="52">
        <v>36189</v>
      </c>
      <c r="F286" s="52">
        <v>35505</v>
      </c>
      <c r="G286" s="52">
        <v>174</v>
      </c>
      <c r="H286" s="32">
        <f t="shared" si="8"/>
        <v>0.13517919809886983</v>
      </c>
      <c r="I286" s="31">
        <f t="shared" si="9"/>
        <v>4892</v>
      </c>
    </row>
    <row r="287" spans="1:9" x14ac:dyDescent="0.3">
      <c r="A287" s="51" t="s">
        <v>59</v>
      </c>
      <c r="B287" s="52">
        <v>3389</v>
      </c>
      <c r="C287" s="52">
        <v>344</v>
      </c>
      <c r="D287" s="52">
        <v>229</v>
      </c>
      <c r="E287" s="52">
        <v>20334</v>
      </c>
      <c r="F287" s="52">
        <v>19443</v>
      </c>
      <c r="G287" s="52">
        <v>228</v>
      </c>
      <c r="H287" s="32">
        <f t="shared" si="8"/>
        <v>0.19484607062063539</v>
      </c>
      <c r="I287" s="31">
        <f t="shared" si="9"/>
        <v>3962</v>
      </c>
    </row>
    <row r="288" spans="1:9" x14ac:dyDescent="0.3">
      <c r="A288" s="51" t="s">
        <v>34</v>
      </c>
      <c r="B288" s="52">
        <v>1164</v>
      </c>
      <c r="C288" s="52">
        <v>616</v>
      </c>
      <c r="D288" s="52">
        <v>324</v>
      </c>
      <c r="E288" s="52">
        <v>6984</v>
      </c>
      <c r="F288" s="52">
        <v>6636</v>
      </c>
      <c r="G288" s="52">
        <v>82</v>
      </c>
      <c r="H288" s="32">
        <f t="shared" si="8"/>
        <v>0.30126002290950743</v>
      </c>
      <c r="I288" s="31">
        <f t="shared" si="9"/>
        <v>2104</v>
      </c>
    </row>
    <row r="289" spans="1:9" x14ac:dyDescent="0.3">
      <c r="A289" s="51" t="s">
        <v>59</v>
      </c>
      <c r="B289" s="52">
        <v>4780</v>
      </c>
      <c r="C289" s="52">
        <v>691</v>
      </c>
      <c r="D289" s="52">
        <v>380</v>
      </c>
      <c r="E289" s="52">
        <v>86040</v>
      </c>
      <c r="F289" s="52">
        <v>85743</v>
      </c>
      <c r="G289" s="52">
        <v>262</v>
      </c>
      <c r="H289" s="32">
        <f t="shared" si="8"/>
        <v>6.800325430032543E-2</v>
      </c>
      <c r="I289" s="31">
        <f t="shared" si="9"/>
        <v>5851</v>
      </c>
    </row>
    <row r="290" spans="1:9" x14ac:dyDescent="0.3">
      <c r="A290" s="51" t="s">
        <v>59</v>
      </c>
      <c r="B290" s="52">
        <v>2751</v>
      </c>
      <c r="C290" s="52">
        <v>33</v>
      </c>
      <c r="D290" s="52">
        <v>430</v>
      </c>
      <c r="E290" s="52">
        <v>44016</v>
      </c>
      <c r="F290" s="52">
        <v>43415</v>
      </c>
      <c r="G290" s="52">
        <v>129</v>
      </c>
      <c r="H290" s="32">
        <f t="shared" si="8"/>
        <v>7.3018902217375503E-2</v>
      </c>
      <c r="I290" s="31">
        <f t="shared" si="9"/>
        <v>3214</v>
      </c>
    </row>
    <row r="291" spans="1:9" x14ac:dyDescent="0.3">
      <c r="A291" s="51" t="s">
        <v>34</v>
      </c>
      <c r="B291" s="52">
        <v>2107</v>
      </c>
      <c r="C291" s="52">
        <v>550</v>
      </c>
      <c r="D291" s="52">
        <v>349</v>
      </c>
      <c r="E291" s="52">
        <v>35819</v>
      </c>
      <c r="F291" s="52">
        <v>35340</v>
      </c>
      <c r="G291" s="52">
        <v>191</v>
      </c>
      <c r="H291" s="32">
        <f t="shared" si="8"/>
        <v>8.3921940869371006E-2</v>
      </c>
      <c r="I291" s="31">
        <f t="shared" si="9"/>
        <v>3006</v>
      </c>
    </row>
    <row r="292" spans="1:9" x14ac:dyDescent="0.3">
      <c r="A292" s="51" t="s">
        <v>34</v>
      </c>
      <c r="B292" s="52">
        <v>4663</v>
      </c>
      <c r="C292" s="52">
        <v>145</v>
      </c>
      <c r="D292" s="52">
        <v>225</v>
      </c>
      <c r="E292" s="52">
        <v>69945</v>
      </c>
      <c r="F292" s="52">
        <v>69596</v>
      </c>
      <c r="G292" s="52">
        <v>35</v>
      </c>
      <c r="H292" s="32">
        <f t="shared" si="8"/>
        <v>7.1956537279290869E-2</v>
      </c>
      <c r="I292" s="31">
        <f t="shared" si="9"/>
        <v>5033</v>
      </c>
    </row>
    <row r="293" spans="1:9" x14ac:dyDescent="0.3">
      <c r="A293" s="51" t="s">
        <v>27</v>
      </c>
      <c r="B293" s="52">
        <v>880</v>
      </c>
      <c r="C293" s="52">
        <v>297</v>
      </c>
      <c r="D293" s="52">
        <v>345</v>
      </c>
      <c r="E293" s="52">
        <v>12320</v>
      </c>
      <c r="F293" s="52">
        <v>11978</v>
      </c>
      <c r="G293" s="52">
        <v>238</v>
      </c>
      <c r="H293" s="32">
        <f t="shared" si="8"/>
        <v>0.12353896103896105</v>
      </c>
      <c r="I293" s="31">
        <f t="shared" si="9"/>
        <v>1522</v>
      </c>
    </row>
    <row r="294" spans="1:9" x14ac:dyDescent="0.3">
      <c r="A294" s="51" t="s">
        <v>34</v>
      </c>
      <c r="B294" s="52">
        <v>2634</v>
      </c>
      <c r="C294" s="52">
        <v>726</v>
      </c>
      <c r="D294" s="52">
        <v>241</v>
      </c>
      <c r="E294" s="52">
        <v>28974</v>
      </c>
      <c r="F294" s="52">
        <v>28102</v>
      </c>
      <c r="G294" s="52">
        <v>277</v>
      </c>
      <c r="H294" s="32">
        <f t="shared" si="8"/>
        <v>0.12428384068475185</v>
      </c>
      <c r="I294" s="31">
        <f t="shared" si="9"/>
        <v>3601</v>
      </c>
    </row>
    <row r="295" spans="1:9" x14ac:dyDescent="0.3">
      <c r="A295" s="51" t="s">
        <v>34</v>
      </c>
      <c r="B295" s="52">
        <v>4731</v>
      </c>
      <c r="C295" s="52">
        <v>173</v>
      </c>
      <c r="D295" s="52">
        <v>276</v>
      </c>
      <c r="E295" s="52">
        <v>28386</v>
      </c>
      <c r="F295" s="52">
        <v>28185</v>
      </c>
      <c r="G295" s="52">
        <v>89</v>
      </c>
      <c r="H295" s="32">
        <f t="shared" si="8"/>
        <v>0.18248432325794406</v>
      </c>
      <c r="I295" s="31">
        <f t="shared" si="9"/>
        <v>5180</v>
      </c>
    </row>
    <row r="296" spans="1:9" x14ac:dyDescent="0.3">
      <c r="A296" s="51" t="s">
        <v>59</v>
      </c>
      <c r="B296" s="52">
        <v>1952</v>
      </c>
      <c r="C296" s="52">
        <v>344</v>
      </c>
      <c r="D296" s="52">
        <v>287</v>
      </c>
      <c r="E296" s="52">
        <v>15616</v>
      </c>
      <c r="F296" s="52">
        <v>15403</v>
      </c>
      <c r="G296" s="52">
        <v>235</v>
      </c>
      <c r="H296" s="32">
        <f t="shared" si="8"/>
        <v>0.16540727459016394</v>
      </c>
      <c r="I296" s="31">
        <f t="shared" si="9"/>
        <v>2583</v>
      </c>
    </row>
    <row r="297" spans="1:9" x14ac:dyDescent="0.3">
      <c r="A297" s="51" t="s">
        <v>27</v>
      </c>
      <c r="B297" s="52">
        <v>3440</v>
      </c>
      <c r="C297" s="52">
        <v>13</v>
      </c>
      <c r="D297" s="52">
        <v>20</v>
      </c>
      <c r="E297" s="52">
        <v>58480</v>
      </c>
      <c r="F297" s="52">
        <v>58146</v>
      </c>
      <c r="G297" s="52">
        <v>210</v>
      </c>
      <c r="H297" s="32">
        <f t="shared" si="8"/>
        <v>5.9387824897400819E-2</v>
      </c>
      <c r="I297" s="31">
        <f t="shared" si="9"/>
        <v>3473</v>
      </c>
    </row>
    <row r="298" spans="1:9" x14ac:dyDescent="0.3">
      <c r="A298" s="51" t="s">
        <v>34</v>
      </c>
      <c r="B298" s="52">
        <v>2166</v>
      </c>
      <c r="C298" s="52">
        <v>354</v>
      </c>
      <c r="D298" s="52">
        <v>117</v>
      </c>
      <c r="E298" s="52">
        <v>10830</v>
      </c>
      <c r="F298" s="52">
        <v>10245</v>
      </c>
      <c r="G298" s="52">
        <v>24</v>
      </c>
      <c r="H298" s="32">
        <f t="shared" si="8"/>
        <v>0.24349030470914126</v>
      </c>
      <c r="I298" s="31">
        <f t="shared" si="9"/>
        <v>2637</v>
      </c>
    </row>
    <row r="299" spans="1:9" x14ac:dyDescent="0.3">
      <c r="A299" s="51" t="s">
        <v>27</v>
      </c>
      <c r="B299" s="52">
        <v>4303</v>
      </c>
      <c r="C299" s="52">
        <v>451</v>
      </c>
      <c r="D299" s="52">
        <v>286</v>
      </c>
      <c r="E299" s="52">
        <v>86060</v>
      </c>
      <c r="F299" s="52">
        <v>85823</v>
      </c>
      <c r="G299" s="52">
        <v>14</v>
      </c>
      <c r="H299" s="32">
        <f t="shared" si="8"/>
        <v>5.8563792702765516E-2</v>
      </c>
      <c r="I299" s="31">
        <f t="shared" si="9"/>
        <v>5040</v>
      </c>
    </row>
    <row r="300" spans="1:9" x14ac:dyDescent="0.3">
      <c r="A300" s="51" t="s">
        <v>59</v>
      </c>
      <c r="B300" s="52">
        <v>2581</v>
      </c>
      <c r="C300" s="52">
        <v>517</v>
      </c>
      <c r="D300" s="52">
        <v>117</v>
      </c>
      <c r="E300" s="52">
        <v>23229</v>
      </c>
      <c r="F300" s="52">
        <v>22331</v>
      </c>
      <c r="G300" s="52">
        <v>70</v>
      </c>
      <c r="H300" s="32">
        <f t="shared" si="8"/>
        <v>0.13840458048129492</v>
      </c>
      <c r="I300" s="31">
        <f t="shared" si="9"/>
        <v>3215</v>
      </c>
    </row>
    <row r="301" spans="1:9" x14ac:dyDescent="0.3">
      <c r="A301" s="51" t="s">
        <v>27</v>
      </c>
      <c r="B301" s="52">
        <v>4494</v>
      </c>
      <c r="C301" s="52">
        <v>717</v>
      </c>
      <c r="D301" s="52">
        <v>45</v>
      </c>
      <c r="E301" s="52">
        <v>62916</v>
      </c>
      <c r="F301" s="52">
        <v>62688</v>
      </c>
      <c r="G301" s="52">
        <v>191</v>
      </c>
      <c r="H301" s="32">
        <f t="shared" si="8"/>
        <v>8.3539958039290485E-2</v>
      </c>
      <c r="I301" s="31">
        <f t="shared" si="9"/>
        <v>5256</v>
      </c>
    </row>
    <row r="302" spans="1:9" x14ac:dyDescent="0.3">
      <c r="A302" s="29" t="s">
        <v>600</v>
      </c>
      <c r="B302" s="52">
        <v>1461</v>
      </c>
      <c r="C302" s="52">
        <v>184</v>
      </c>
      <c r="D302" s="52">
        <v>344</v>
      </c>
      <c r="E302" s="52">
        <v>21915</v>
      </c>
      <c r="F302" s="52">
        <v>21675</v>
      </c>
      <c r="G302" s="52">
        <v>15</v>
      </c>
      <c r="H302" s="32">
        <f t="shared" si="8"/>
        <v>9.0759753593429152E-2</v>
      </c>
      <c r="I302" s="31">
        <f t="shared" si="9"/>
        <v>1989</v>
      </c>
    </row>
    <row r="303" spans="1:9" x14ac:dyDescent="0.3">
      <c r="A303" s="29" t="s">
        <v>601</v>
      </c>
      <c r="B303" s="52">
        <v>4054</v>
      </c>
      <c r="C303" s="52">
        <v>389</v>
      </c>
      <c r="D303" s="52">
        <v>493</v>
      </c>
      <c r="E303" s="52">
        <v>64864</v>
      </c>
      <c r="F303" s="52">
        <v>64383</v>
      </c>
      <c r="G303" s="52">
        <v>117</v>
      </c>
      <c r="H303" s="32">
        <f t="shared" si="8"/>
        <v>7.6097681302417369E-2</v>
      </c>
      <c r="I303" s="31">
        <f t="shared" si="9"/>
        <v>4936</v>
      </c>
    </row>
    <row r="304" spans="1:9" hidden="1" x14ac:dyDescent="0.3">
      <c r="B304" s="5">
        <v>2795</v>
      </c>
      <c r="C304" s="5">
        <v>105</v>
      </c>
      <c r="D304" s="5">
        <v>49</v>
      </c>
      <c r="E304" s="5">
        <v>53105</v>
      </c>
      <c r="F304" s="5">
        <v>52307</v>
      </c>
      <c r="G304" s="5">
        <v>204</v>
      </c>
      <c r="H304" s="10">
        <f t="shared" si="8"/>
        <v>5.5531494209584788E-2</v>
      </c>
      <c r="I304" s="15">
        <f t="shared" si="9"/>
        <v>2949</v>
      </c>
    </row>
    <row r="305" spans="1:9" hidden="1" x14ac:dyDescent="0.3">
      <c r="B305" s="5">
        <v>2404</v>
      </c>
      <c r="C305" s="5">
        <v>363</v>
      </c>
      <c r="D305" s="5">
        <v>138</v>
      </c>
      <c r="E305" s="5">
        <v>19232</v>
      </c>
      <c r="F305" s="5">
        <v>18636</v>
      </c>
      <c r="G305" s="5">
        <v>128</v>
      </c>
      <c r="H305" s="10">
        <f t="shared" si="8"/>
        <v>0.15105033277870217</v>
      </c>
      <c r="I305" s="15">
        <f t="shared" si="9"/>
        <v>2905</v>
      </c>
    </row>
    <row r="306" spans="1:9" x14ac:dyDescent="0.3">
      <c r="A306" s="29" t="s">
        <v>27</v>
      </c>
      <c r="B306" s="52">
        <v>3557</v>
      </c>
      <c r="C306" s="52">
        <v>687</v>
      </c>
      <c r="D306" s="52">
        <v>424</v>
      </c>
      <c r="E306" s="52">
        <v>71140</v>
      </c>
      <c r="F306" s="52">
        <v>70701</v>
      </c>
      <c r="G306" s="52">
        <v>224</v>
      </c>
      <c r="H306" s="32">
        <f t="shared" si="8"/>
        <v>6.5617093055946027E-2</v>
      </c>
      <c r="I306" s="31">
        <f t="shared" si="9"/>
        <v>4668</v>
      </c>
    </row>
    <row r="307" spans="1:9" hidden="1" x14ac:dyDescent="0.3">
      <c r="B307" s="5">
        <v>2945</v>
      </c>
      <c r="C307" s="5">
        <v>930</v>
      </c>
      <c r="D307" s="5">
        <v>355</v>
      </c>
      <c r="E307" s="5">
        <v>23560</v>
      </c>
      <c r="F307" s="5">
        <v>23275</v>
      </c>
      <c r="G307" s="5">
        <v>256</v>
      </c>
      <c r="H307" s="10">
        <f t="shared" si="8"/>
        <v>0.17954159592529711</v>
      </c>
      <c r="I307" s="15">
        <f t="shared" si="9"/>
        <v>4230</v>
      </c>
    </row>
    <row r="308" spans="1:9" hidden="1" x14ac:dyDescent="0.3">
      <c r="B308" s="5">
        <v>3860</v>
      </c>
      <c r="C308" s="5">
        <v>201</v>
      </c>
      <c r="D308" s="5">
        <v>279</v>
      </c>
      <c r="E308" s="5">
        <v>61760</v>
      </c>
      <c r="F308" s="5">
        <v>61660</v>
      </c>
      <c r="G308" s="5">
        <v>235</v>
      </c>
      <c r="H308" s="10">
        <f t="shared" si="8"/>
        <v>7.0272020725388601E-2</v>
      </c>
      <c r="I308" s="15">
        <f t="shared" si="9"/>
        <v>4340</v>
      </c>
    </row>
    <row r="309" spans="1:9" hidden="1" x14ac:dyDescent="0.3">
      <c r="B309" s="5">
        <v>3929</v>
      </c>
      <c r="C309" s="5">
        <v>262</v>
      </c>
      <c r="D309" s="5">
        <v>278</v>
      </c>
      <c r="E309" s="5">
        <v>43219</v>
      </c>
      <c r="F309" s="5">
        <v>42841</v>
      </c>
      <c r="G309" s="5">
        <v>39</v>
      </c>
      <c r="H309" s="10">
        <f t="shared" si="8"/>
        <v>0.10340359564080613</v>
      </c>
      <c r="I309" s="15">
        <f t="shared" si="9"/>
        <v>4469</v>
      </c>
    </row>
    <row r="310" spans="1:9" hidden="1" x14ac:dyDescent="0.3">
      <c r="B310" s="5">
        <v>3784</v>
      </c>
      <c r="C310" s="5">
        <v>808</v>
      </c>
      <c r="D310" s="5">
        <v>404</v>
      </c>
      <c r="E310" s="5">
        <v>56760</v>
      </c>
      <c r="F310" s="5">
        <v>56343</v>
      </c>
      <c r="G310" s="5">
        <v>131</v>
      </c>
      <c r="H310" s="10">
        <f t="shared" si="8"/>
        <v>8.8019732205778717E-2</v>
      </c>
      <c r="I310" s="15">
        <f t="shared" si="9"/>
        <v>4996</v>
      </c>
    </row>
    <row r="311" spans="1:9" hidden="1" x14ac:dyDescent="0.3">
      <c r="B311" s="5">
        <v>4241</v>
      </c>
      <c r="C311" s="5">
        <v>902</v>
      </c>
      <c r="D311" s="5">
        <v>47</v>
      </c>
      <c r="E311" s="5">
        <v>72097</v>
      </c>
      <c r="F311" s="5">
        <v>71598</v>
      </c>
      <c r="G311" s="5">
        <v>167</v>
      </c>
      <c r="H311" s="10">
        <f t="shared" si="8"/>
        <v>7.198635172059864E-2</v>
      </c>
      <c r="I311" s="15">
        <f t="shared" si="9"/>
        <v>5190</v>
      </c>
    </row>
    <row r="312" spans="1:9" hidden="1" x14ac:dyDescent="0.3">
      <c r="B312" s="5">
        <v>1792</v>
      </c>
      <c r="C312" s="5">
        <v>614</v>
      </c>
      <c r="D312" s="5">
        <v>497</v>
      </c>
      <c r="E312" s="5">
        <v>25088</v>
      </c>
      <c r="F312" s="5">
        <v>24675</v>
      </c>
      <c r="G312" s="5">
        <v>65</v>
      </c>
      <c r="H312" s="10">
        <f t="shared" si="8"/>
        <v>0.11571269132653061</v>
      </c>
      <c r="I312" s="15">
        <f t="shared" si="9"/>
        <v>2903</v>
      </c>
    </row>
    <row r="313" spans="1:9" hidden="1" x14ac:dyDescent="0.3">
      <c r="B313" s="5">
        <v>1946</v>
      </c>
      <c r="C313" s="5">
        <v>686</v>
      </c>
      <c r="D313" s="5">
        <v>377</v>
      </c>
      <c r="E313" s="5">
        <v>23352</v>
      </c>
      <c r="F313" s="5">
        <v>22982</v>
      </c>
      <c r="G313" s="5">
        <v>213</v>
      </c>
      <c r="H313" s="10">
        <f t="shared" si="8"/>
        <v>0.12885405960945528</v>
      </c>
      <c r="I313" s="15">
        <f t="shared" si="9"/>
        <v>3009</v>
      </c>
    </row>
    <row r="314" spans="1:9" hidden="1" x14ac:dyDescent="0.3">
      <c r="B314" s="5">
        <v>1171</v>
      </c>
      <c r="C314" s="5">
        <v>286</v>
      </c>
      <c r="D314" s="5">
        <v>231</v>
      </c>
      <c r="E314" s="5">
        <v>22249</v>
      </c>
      <c r="F314" s="5">
        <v>21282</v>
      </c>
      <c r="G314" s="5">
        <v>114</v>
      </c>
      <c r="H314" s="10">
        <f t="shared" si="8"/>
        <v>7.5868578363072495E-2</v>
      </c>
      <c r="I314" s="15">
        <f t="shared" si="9"/>
        <v>1688</v>
      </c>
    </row>
    <row r="315" spans="1:9" hidden="1" x14ac:dyDescent="0.3">
      <c r="B315" s="5">
        <v>4242</v>
      </c>
      <c r="C315" s="5">
        <v>555</v>
      </c>
      <c r="D315" s="5">
        <v>131</v>
      </c>
      <c r="E315" s="5">
        <v>33936</v>
      </c>
      <c r="F315" s="5">
        <v>33802</v>
      </c>
      <c r="G315" s="5">
        <v>265</v>
      </c>
      <c r="H315" s="10">
        <f t="shared" si="8"/>
        <v>0.14521452145214522</v>
      </c>
      <c r="I315" s="15">
        <f t="shared" si="9"/>
        <v>4928</v>
      </c>
    </row>
    <row r="316" spans="1:9" hidden="1" x14ac:dyDescent="0.3">
      <c r="B316" s="5">
        <v>3888</v>
      </c>
      <c r="C316" s="5">
        <v>604</v>
      </c>
      <c r="D316" s="5">
        <v>128</v>
      </c>
      <c r="E316" s="5">
        <v>77760</v>
      </c>
      <c r="F316" s="5">
        <v>77167</v>
      </c>
      <c r="G316" s="5">
        <v>20</v>
      </c>
      <c r="H316" s="10">
        <f t="shared" si="8"/>
        <v>5.941358024691358E-2</v>
      </c>
      <c r="I316" s="15">
        <f t="shared" si="9"/>
        <v>4620</v>
      </c>
    </row>
    <row r="317" spans="1:9" hidden="1" x14ac:dyDescent="0.3">
      <c r="B317" s="5">
        <v>3452</v>
      </c>
      <c r="C317" s="5">
        <v>377</v>
      </c>
      <c r="D317" s="5">
        <v>360</v>
      </c>
      <c r="E317" s="5">
        <v>55232</v>
      </c>
      <c r="F317" s="5">
        <v>55075</v>
      </c>
      <c r="G317" s="5">
        <v>87</v>
      </c>
      <c r="H317" s="10">
        <f t="shared" si="8"/>
        <v>7.5843713789107758E-2</v>
      </c>
      <c r="I317" s="15">
        <f t="shared" si="9"/>
        <v>4189</v>
      </c>
    </row>
    <row r="318" spans="1:9" hidden="1" x14ac:dyDescent="0.3">
      <c r="B318" s="5">
        <v>4441</v>
      </c>
      <c r="C318" s="5">
        <v>511</v>
      </c>
      <c r="D318" s="5">
        <v>70</v>
      </c>
      <c r="E318" s="5">
        <v>53292</v>
      </c>
      <c r="F318" s="5">
        <v>53082</v>
      </c>
      <c r="G318" s="5">
        <v>159</v>
      </c>
      <c r="H318" s="10">
        <f t="shared" si="8"/>
        <v>9.4235532537716729E-2</v>
      </c>
      <c r="I318" s="15">
        <f t="shared" si="9"/>
        <v>5022</v>
      </c>
    </row>
    <row r="319" spans="1:9" hidden="1" x14ac:dyDescent="0.3">
      <c r="B319" s="5">
        <v>3000</v>
      </c>
      <c r="C319" s="5">
        <v>382</v>
      </c>
      <c r="D319" s="5">
        <v>325</v>
      </c>
      <c r="E319" s="5">
        <v>36000</v>
      </c>
      <c r="F319" s="5">
        <v>35819</v>
      </c>
      <c r="G319" s="5">
        <v>19</v>
      </c>
      <c r="H319" s="10">
        <f t="shared" si="8"/>
        <v>0.10297222222222223</v>
      </c>
      <c r="I319" s="15">
        <f t="shared" si="9"/>
        <v>3707</v>
      </c>
    </row>
    <row r="320" spans="1:9" hidden="1" x14ac:dyDescent="0.3">
      <c r="B320" s="5">
        <v>1071</v>
      </c>
      <c r="C320" s="5">
        <v>519</v>
      </c>
      <c r="D320" s="5">
        <v>22</v>
      </c>
      <c r="E320" s="5">
        <v>16065</v>
      </c>
      <c r="F320" s="5">
        <v>15865</v>
      </c>
      <c r="G320" s="5">
        <v>103</v>
      </c>
      <c r="H320" s="10">
        <f t="shared" si="8"/>
        <v>0.10034235916588857</v>
      </c>
      <c r="I320" s="15">
        <f t="shared" si="9"/>
        <v>1612</v>
      </c>
    </row>
    <row r="321" spans="1:9" hidden="1" x14ac:dyDescent="0.3">
      <c r="B321" s="5">
        <v>4054</v>
      </c>
      <c r="C321" s="5">
        <v>488</v>
      </c>
      <c r="D321" s="5">
        <v>373</v>
      </c>
      <c r="E321" s="5">
        <v>77026</v>
      </c>
      <c r="F321" s="5">
        <v>76881</v>
      </c>
      <c r="G321" s="5">
        <v>25</v>
      </c>
      <c r="H321" s="10">
        <f t="shared" si="8"/>
        <v>6.3809622724794221E-2</v>
      </c>
      <c r="I321" s="15">
        <f t="shared" si="9"/>
        <v>4915</v>
      </c>
    </row>
    <row r="322" spans="1:9" hidden="1" x14ac:dyDescent="0.3">
      <c r="B322" s="5">
        <v>4838</v>
      </c>
      <c r="C322" s="5">
        <v>640</v>
      </c>
      <c r="D322" s="5">
        <v>128</v>
      </c>
      <c r="E322" s="5">
        <v>72570</v>
      </c>
      <c r="F322" s="5">
        <v>72396</v>
      </c>
      <c r="G322" s="5">
        <v>83</v>
      </c>
      <c r="H322" s="10">
        <f t="shared" ref="H322:H385" si="10">(B322+C322+D322)/E322</f>
        <v>7.7249552156538517E-2</v>
      </c>
      <c r="I322" s="15">
        <f t="shared" ref="I322:I385" si="11">B322+C322+D322</f>
        <v>5606</v>
      </c>
    </row>
    <row r="323" spans="1:9" hidden="1" x14ac:dyDescent="0.3">
      <c r="B323" s="5">
        <v>1570</v>
      </c>
      <c r="C323" s="5">
        <v>187</v>
      </c>
      <c r="D323" s="5">
        <v>260</v>
      </c>
      <c r="E323" s="5">
        <v>25120</v>
      </c>
      <c r="F323" s="5">
        <v>24613</v>
      </c>
      <c r="G323" s="5">
        <v>133</v>
      </c>
      <c r="H323" s="10">
        <f t="shared" si="10"/>
        <v>8.0294585987261149E-2</v>
      </c>
      <c r="I323" s="15">
        <f t="shared" si="11"/>
        <v>2017</v>
      </c>
    </row>
    <row r="324" spans="1:9" x14ac:dyDescent="0.3">
      <c r="A324" s="29" t="s">
        <v>600</v>
      </c>
      <c r="B324" s="52">
        <v>1606</v>
      </c>
      <c r="C324" s="52">
        <v>547</v>
      </c>
      <c r="D324" s="52">
        <v>316</v>
      </c>
      <c r="E324" s="52">
        <v>32120</v>
      </c>
      <c r="F324" s="52">
        <v>31736</v>
      </c>
      <c r="G324" s="52">
        <v>225</v>
      </c>
      <c r="H324" s="32">
        <f t="shared" si="10"/>
        <v>7.6867995018679955E-2</v>
      </c>
      <c r="I324" s="31">
        <f t="shared" si="11"/>
        <v>2469</v>
      </c>
    </row>
    <row r="325" spans="1:9" hidden="1" x14ac:dyDescent="0.3">
      <c r="B325" s="5">
        <v>3961</v>
      </c>
      <c r="C325" s="5">
        <v>761</v>
      </c>
      <c r="D325" s="5">
        <v>131</v>
      </c>
      <c r="E325" s="5">
        <v>67337</v>
      </c>
      <c r="F325" s="5">
        <v>66615</v>
      </c>
      <c r="G325" s="5">
        <v>161</v>
      </c>
      <c r="H325" s="10">
        <f t="shared" si="10"/>
        <v>7.2070332803659209E-2</v>
      </c>
      <c r="I325" s="15">
        <f t="shared" si="11"/>
        <v>4853</v>
      </c>
    </row>
    <row r="326" spans="1:9" hidden="1" x14ac:dyDescent="0.3">
      <c r="B326" s="5">
        <v>3128</v>
      </c>
      <c r="C326" s="5">
        <v>211</v>
      </c>
      <c r="D326" s="5">
        <v>197</v>
      </c>
      <c r="E326" s="5">
        <v>59432</v>
      </c>
      <c r="F326" s="5">
        <v>59182</v>
      </c>
      <c r="G326" s="5">
        <v>238</v>
      </c>
      <c r="H326" s="10">
        <f t="shared" si="10"/>
        <v>5.9496567505720827E-2</v>
      </c>
      <c r="I326" s="15">
        <f t="shared" si="11"/>
        <v>3536</v>
      </c>
    </row>
    <row r="327" spans="1:9" hidden="1" x14ac:dyDescent="0.3">
      <c r="B327" s="5">
        <v>3009</v>
      </c>
      <c r="C327" s="5">
        <v>413</v>
      </c>
      <c r="D327" s="5">
        <v>358</v>
      </c>
      <c r="E327" s="5">
        <v>42126</v>
      </c>
      <c r="F327" s="5">
        <v>41309</v>
      </c>
      <c r="G327" s="5">
        <v>211</v>
      </c>
      <c r="H327" s="10">
        <f t="shared" si="10"/>
        <v>8.9730807577268201E-2</v>
      </c>
      <c r="I327" s="15">
        <f t="shared" si="11"/>
        <v>3780</v>
      </c>
    </row>
    <row r="328" spans="1:9" hidden="1" x14ac:dyDescent="0.3">
      <c r="B328" s="5">
        <v>2076</v>
      </c>
      <c r="C328" s="5">
        <v>195</v>
      </c>
      <c r="D328" s="5">
        <v>104</v>
      </c>
      <c r="E328" s="5">
        <v>33216</v>
      </c>
      <c r="F328" s="5">
        <v>32244</v>
      </c>
      <c r="G328" s="5">
        <v>51</v>
      </c>
      <c r="H328" s="10">
        <f t="shared" si="10"/>
        <v>7.1501685934489398E-2</v>
      </c>
      <c r="I328" s="15">
        <f t="shared" si="11"/>
        <v>2375</v>
      </c>
    </row>
    <row r="329" spans="1:9" hidden="1" x14ac:dyDescent="0.3">
      <c r="B329" s="5">
        <v>432</v>
      </c>
      <c r="C329" s="5">
        <v>624</v>
      </c>
      <c r="D329" s="5">
        <v>123</v>
      </c>
      <c r="E329" s="5">
        <v>6912</v>
      </c>
      <c r="F329" s="5">
        <v>6259</v>
      </c>
      <c r="G329" s="5">
        <v>79</v>
      </c>
      <c r="H329" s="10">
        <f t="shared" si="10"/>
        <v>0.17057291666666666</v>
      </c>
      <c r="I329" s="15">
        <f t="shared" si="11"/>
        <v>1179</v>
      </c>
    </row>
    <row r="330" spans="1:9" hidden="1" x14ac:dyDescent="0.3">
      <c r="B330" s="5">
        <v>2566</v>
      </c>
      <c r="C330" s="5">
        <v>118</v>
      </c>
      <c r="D330" s="5">
        <v>37</v>
      </c>
      <c r="E330" s="5">
        <v>12830</v>
      </c>
      <c r="F330" s="5">
        <v>12264</v>
      </c>
      <c r="G330" s="5">
        <v>221</v>
      </c>
      <c r="H330" s="10">
        <f t="shared" si="10"/>
        <v>0.21208106001558846</v>
      </c>
      <c r="I330" s="15">
        <f t="shared" si="11"/>
        <v>2721</v>
      </c>
    </row>
    <row r="331" spans="1:9" hidden="1" x14ac:dyDescent="0.3">
      <c r="B331" s="5">
        <v>3095</v>
      </c>
      <c r="C331" s="5">
        <v>39</v>
      </c>
      <c r="D331" s="5">
        <v>78</v>
      </c>
      <c r="E331" s="5">
        <v>55710</v>
      </c>
      <c r="F331" s="5">
        <v>54808</v>
      </c>
      <c r="G331" s="5">
        <v>93</v>
      </c>
      <c r="H331" s="10">
        <f t="shared" si="10"/>
        <v>5.7655717106444085E-2</v>
      </c>
      <c r="I331" s="15">
        <f t="shared" si="11"/>
        <v>3212</v>
      </c>
    </row>
    <row r="332" spans="1:9" hidden="1" x14ac:dyDescent="0.3">
      <c r="B332" s="5">
        <v>438</v>
      </c>
      <c r="C332" s="5">
        <v>153</v>
      </c>
      <c r="D332" s="5">
        <v>275</v>
      </c>
      <c r="E332" s="5">
        <v>3066</v>
      </c>
      <c r="F332" s="5">
        <v>2701</v>
      </c>
      <c r="G332" s="5">
        <v>282</v>
      </c>
      <c r="H332" s="10">
        <f t="shared" si="10"/>
        <v>0.28245270711024134</v>
      </c>
      <c r="I332" s="15">
        <f t="shared" si="11"/>
        <v>866</v>
      </c>
    </row>
    <row r="333" spans="1:9" hidden="1" x14ac:dyDescent="0.3">
      <c r="B333" s="5">
        <v>2278</v>
      </c>
      <c r="C333" s="5">
        <v>10</v>
      </c>
      <c r="D333" s="5">
        <v>321</v>
      </c>
      <c r="E333" s="5">
        <v>13668</v>
      </c>
      <c r="F333" s="5">
        <v>12676</v>
      </c>
      <c r="G333" s="5">
        <v>275</v>
      </c>
      <c r="H333" s="10">
        <f t="shared" si="10"/>
        <v>0.19088381621305239</v>
      </c>
      <c r="I333" s="15">
        <f t="shared" si="11"/>
        <v>2609</v>
      </c>
    </row>
    <row r="334" spans="1:9" hidden="1" x14ac:dyDescent="0.3">
      <c r="B334" s="5">
        <v>1407</v>
      </c>
      <c r="C334" s="5">
        <v>400</v>
      </c>
      <c r="D334" s="5">
        <v>351</v>
      </c>
      <c r="E334" s="5">
        <v>16884</v>
      </c>
      <c r="F334" s="5">
        <v>15954</v>
      </c>
      <c r="G334" s="5">
        <v>113</v>
      </c>
      <c r="H334" s="10">
        <f t="shared" si="10"/>
        <v>0.12781331438047855</v>
      </c>
      <c r="I334" s="15">
        <f t="shared" si="11"/>
        <v>2158</v>
      </c>
    </row>
    <row r="335" spans="1:9" hidden="1" x14ac:dyDescent="0.3">
      <c r="B335" s="5">
        <v>1652</v>
      </c>
      <c r="C335" s="5">
        <v>89</v>
      </c>
      <c r="D335" s="5">
        <v>357</v>
      </c>
      <c r="E335" s="5">
        <v>29736</v>
      </c>
      <c r="F335" s="5">
        <v>28771</v>
      </c>
      <c r="G335" s="5">
        <v>215</v>
      </c>
      <c r="H335" s="10">
        <f t="shared" si="10"/>
        <v>7.055421038471886E-2</v>
      </c>
      <c r="I335" s="15">
        <f t="shared" si="11"/>
        <v>2098</v>
      </c>
    </row>
    <row r="336" spans="1:9" hidden="1" x14ac:dyDescent="0.3">
      <c r="B336" s="5">
        <v>3775</v>
      </c>
      <c r="C336" s="5">
        <v>16</v>
      </c>
      <c r="D336" s="5">
        <v>239</v>
      </c>
      <c r="E336" s="5">
        <v>33975</v>
      </c>
      <c r="F336" s="5">
        <v>33310</v>
      </c>
      <c r="G336" s="5">
        <v>271</v>
      </c>
      <c r="H336" s="10">
        <f t="shared" si="10"/>
        <v>0.11861662987490802</v>
      </c>
      <c r="I336" s="15">
        <f t="shared" si="11"/>
        <v>4030</v>
      </c>
    </row>
    <row r="337" spans="2:9" hidden="1" x14ac:dyDescent="0.3">
      <c r="B337" s="5">
        <v>4518</v>
      </c>
      <c r="C337" s="5">
        <v>285</v>
      </c>
      <c r="D337" s="5">
        <v>383</v>
      </c>
      <c r="E337" s="5">
        <v>67770</v>
      </c>
      <c r="F337" s="5">
        <v>67621</v>
      </c>
      <c r="G337" s="5">
        <v>31</v>
      </c>
      <c r="H337" s="10">
        <f t="shared" si="10"/>
        <v>7.6523535487678915E-2</v>
      </c>
      <c r="I337" s="15">
        <f t="shared" si="11"/>
        <v>5186</v>
      </c>
    </row>
    <row r="338" spans="2:9" hidden="1" x14ac:dyDescent="0.3">
      <c r="B338" s="5">
        <v>3024</v>
      </c>
      <c r="C338" s="5">
        <v>925</v>
      </c>
      <c r="D338" s="5">
        <v>350</v>
      </c>
      <c r="E338" s="5">
        <v>24192</v>
      </c>
      <c r="F338" s="5">
        <v>23518</v>
      </c>
      <c r="G338" s="5">
        <v>36</v>
      </c>
      <c r="H338" s="10">
        <f t="shared" si="10"/>
        <v>0.17770337301587302</v>
      </c>
      <c r="I338" s="15">
        <f t="shared" si="11"/>
        <v>4299</v>
      </c>
    </row>
    <row r="339" spans="2:9" hidden="1" x14ac:dyDescent="0.3">
      <c r="B339" s="5">
        <v>3138</v>
      </c>
      <c r="C339" s="5">
        <v>123</v>
      </c>
      <c r="D339" s="5">
        <v>291</v>
      </c>
      <c r="E339" s="5">
        <v>28242</v>
      </c>
      <c r="F339" s="5">
        <v>27550</v>
      </c>
      <c r="G339" s="5">
        <v>87</v>
      </c>
      <c r="H339" s="10">
        <f t="shared" si="10"/>
        <v>0.12577012959422137</v>
      </c>
      <c r="I339" s="15">
        <f t="shared" si="11"/>
        <v>3552</v>
      </c>
    </row>
    <row r="340" spans="2:9" hidden="1" x14ac:dyDescent="0.3">
      <c r="B340" s="5">
        <v>3564</v>
      </c>
      <c r="C340" s="5">
        <v>629</v>
      </c>
      <c r="D340" s="5">
        <v>177</v>
      </c>
      <c r="E340" s="5">
        <v>60588</v>
      </c>
      <c r="F340" s="5">
        <v>59627</v>
      </c>
      <c r="G340" s="5">
        <v>92</v>
      </c>
      <c r="H340" s="10">
        <f t="shared" si="10"/>
        <v>7.2126493695121141E-2</v>
      </c>
      <c r="I340" s="15">
        <f t="shared" si="11"/>
        <v>4370</v>
      </c>
    </row>
    <row r="341" spans="2:9" hidden="1" x14ac:dyDescent="0.3">
      <c r="B341" s="5">
        <v>4750</v>
      </c>
      <c r="C341" s="5">
        <v>151</v>
      </c>
      <c r="D341" s="5">
        <v>415</v>
      </c>
      <c r="E341" s="5">
        <v>38000</v>
      </c>
      <c r="F341" s="5">
        <v>37792</v>
      </c>
      <c r="G341" s="5">
        <v>299</v>
      </c>
      <c r="H341" s="10">
        <f t="shared" si="10"/>
        <v>0.13989473684210527</v>
      </c>
      <c r="I341" s="15">
        <f t="shared" si="11"/>
        <v>5316</v>
      </c>
    </row>
    <row r="342" spans="2:9" hidden="1" x14ac:dyDescent="0.3">
      <c r="B342" s="5">
        <v>456</v>
      </c>
      <c r="C342" s="5">
        <v>629</v>
      </c>
      <c r="D342" s="5">
        <v>428</v>
      </c>
      <c r="E342" s="5">
        <v>8208</v>
      </c>
      <c r="F342" s="5">
        <v>7377</v>
      </c>
      <c r="G342" s="5">
        <v>205</v>
      </c>
      <c r="H342" s="10">
        <f t="shared" si="10"/>
        <v>0.18433235867446393</v>
      </c>
      <c r="I342" s="15">
        <f t="shared" si="11"/>
        <v>1513</v>
      </c>
    </row>
    <row r="343" spans="2:9" hidden="1" x14ac:dyDescent="0.3">
      <c r="B343" s="5">
        <v>1543</v>
      </c>
      <c r="C343" s="5">
        <v>820</v>
      </c>
      <c r="D343" s="5">
        <v>333</v>
      </c>
      <c r="E343" s="5">
        <v>12344</v>
      </c>
      <c r="F343" s="5">
        <v>11496</v>
      </c>
      <c r="G343" s="5">
        <v>241</v>
      </c>
      <c r="H343" s="10">
        <f t="shared" si="10"/>
        <v>0.21840570317563188</v>
      </c>
      <c r="I343" s="15">
        <f t="shared" si="11"/>
        <v>2696</v>
      </c>
    </row>
    <row r="344" spans="2:9" hidden="1" x14ac:dyDescent="0.3">
      <c r="B344" s="5">
        <v>2174</v>
      </c>
      <c r="C344" s="5">
        <v>658</v>
      </c>
      <c r="D344" s="5">
        <v>15</v>
      </c>
      <c r="E344" s="5">
        <v>13044</v>
      </c>
      <c r="F344" s="5">
        <v>12206</v>
      </c>
      <c r="G344" s="5">
        <v>137</v>
      </c>
      <c r="H344" s="10">
        <f t="shared" si="10"/>
        <v>0.21826126954921804</v>
      </c>
      <c r="I344" s="15">
        <f t="shared" si="11"/>
        <v>2847</v>
      </c>
    </row>
    <row r="345" spans="2:9" hidden="1" x14ac:dyDescent="0.3">
      <c r="B345" s="5">
        <v>2358</v>
      </c>
      <c r="C345" s="5">
        <v>784</v>
      </c>
      <c r="D345" s="5">
        <v>344</v>
      </c>
      <c r="E345" s="5">
        <v>35370</v>
      </c>
      <c r="F345" s="5">
        <v>34475</v>
      </c>
      <c r="G345" s="5">
        <v>216</v>
      </c>
      <c r="H345" s="10">
        <f t="shared" si="10"/>
        <v>9.8558100084817649E-2</v>
      </c>
      <c r="I345" s="15">
        <f t="shared" si="11"/>
        <v>3486</v>
      </c>
    </row>
    <row r="346" spans="2:9" hidden="1" x14ac:dyDescent="0.3">
      <c r="B346" s="5">
        <v>3371</v>
      </c>
      <c r="C346" s="5">
        <v>106</v>
      </c>
      <c r="D346" s="5">
        <v>327</v>
      </c>
      <c r="E346" s="5">
        <v>50565</v>
      </c>
      <c r="F346" s="5">
        <v>49816</v>
      </c>
      <c r="G346" s="5">
        <v>176</v>
      </c>
      <c r="H346" s="10">
        <f t="shared" si="10"/>
        <v>7.5229902106199939E-2</v>
      </c>
      <c r="I346" s="15">
        <f t="shared" si="11"/>
        <v>3804</v>
      </c>
    </row>
    <row r="347" spans="2:9" hidden="1" x14ac:dyDescent="0.3">
      <c r="B347" s="5">
        <v>1108</v>
      </c>
      <c r="C347" s="5">
        <v>177</v>
      </c>
      <c r="D347" s="5">
        <v>212</v>
      </c>
      <c r="E347" s="5">
        <v>8864</v>
      </c>
      <c r="F347" s="5">
        <v>8710</v>
      </c>
      <c r="G347" s="5">
        <v>97</v>
      </c>
      <c r="H347" s="10">
        <f t="shared" si="10"/>
        <v>0.16888537906137185</v>
      </c>
      <c r="I347" s="15">
        <f t="shared" si="11"/>
        <v>1497</v>
      </c>
    </row>
    <row r="348" spans="2:9" hidden="1" x14ac:dyDescent="0.3">
      <c r="B348" s="5">
        <v>2704</v>
      </c>
      <c r="C348" s="5">
        <v>752</v>
      </c>
      <c r="D348" s="5">
        <v>153</v>
      </c>
      <c r="E348" s="5">
        <v>21632</v>
      </c>
      <c r="F348" s="5">
        <v>20792</v>
      </c>
      <c r="G348" s="5">
        <v>127</v>
      </c>
      <c r="H348" s="10">
        <f t="shared" si="10"/>
        <v>0.16683616863905326</v>
      </c>
      <c r="I348" s="15">
        <f t="shared" si="11"/>
        <v>3609</v>
      </c>
    </row>
    <row r="349" spans="2:9" hidden="1" x14ac:dyDescent="0.3">
      <c r="B349" s="5">
        <v>1950</v>
      </c>
      <c r="C349" s="5">
        <v>295</v>
      </c>
      <c r="D349" s="5">
        <v>478</v>
      </c>
      <c r="E349" s="5">
        <v>37050</v>
      </c>
      <c r="F349" s="5">
        <v>36272</v>
      </c>
      <c r="G349" s="5">
        <v>119</v>
      </c>
      <c r="H349" s="10">
        <f t="shared" si="10"/>
        <v>7.349527665317139E-2</v>
      </c>
      <c r="I349" s="15">
        <f t="shared" si="11"/>
        <v>2723</v>
      </c>
    </row>
    <row r="350" spans="2:9" hidden="1" x14ac:dyDescent="0.3">
      <c r="B350" s="5">
        <v>2164</v>
      </c>
      <c r="C350" s="5">
        <v>549</v>
      </c>
      <c r="D350" s="5">
        <v>274</v>
      </c>
      <c r="E350" s="5">
        <v>28132</v>
      </c>
      <c r="F350" s="5">
        <v>27361</v>
      </c>
      <c r="G350" s="5">
        <v>177</v>
      </c>
      <c r="H350" s="10">
        <f t="shared" si="10"/>
        <v>0.10617801791554102</v>
      </c>
      <c r="I350" s="15">
        <f t="shared" si="11"/>
        <v>2987</v>
      </c>
    </row>
    <row r="351" spans="2:9" hidden="1" x14ac:dyDescent="0.3">
      <c r="B351" s="5">
        <v>2754</v>
      </c>
      <c r="C351" s="5">
        <v>130</v>
      </c>
      <c r="D351" s="5">
        <v>90</v>
      </c>
      <c r="E351" s="5">
        <v>22032</v>
      </c>
      <c r="F351" s="5">
        <v>21288</v>
      </c>
      <c r="G351" s="5">
        <v>112</v>
      </c>
      <c r="H351" s="10">
        <f t="shared" si="10"/>
        <v>0.13498547567175018</v>
      </c>
      <c r="I351" s="15">
        <f t="shared" si="11"/>
        <v>2974</v>
      </c>
    </row>
    <row r="352" spans="2:9" hidden="1" x14ac:dyDescent="0.3">
      <c r="B352" s="5">
        <v>2200</v>
      </c>
      <c r="C352" s="5">
        <v>504</v>
      </c>
      <c r="D352" s="5">
        <v>239</v>
      </c>
      <c r="E352" s="5">
        <v>37400</v>
      </c>
      <c r="F352" s="5">
        <v>36938</v>
      </c>
      <c r="G352" s="5">
        <v>225</v>
      </c>
      <c r="H352" s="10">
        <f t="shared" si="10"/>
        <v>7.8689839572192513E-2</v>
      </c>
      <c r="I352" s="15">
        <f t="shared" si="11"/>
        <v>2943</v>
      </c>
    </row>
    <row r="353" spans="1:9" hidden="1" x14ac:dyDescent="0.3">
      <c r="B353" s="5">
        <v>947</v>
      </c>
      <c r="C353" s="5">
        <v>338</v>
      </c>
      <c r="D353" s="5">
        <v>350</v>
      </c>
      <c r="E353" s="5">
        <v>10417</v>
      </c>
      <c r="F353" s="5">
        <v>9730</v>
      </c>
      <c r="G353" s="5">
        <v>34</v>
      </c>
      <c r="H353" s="10">
        <f t="shared" si="10"/>
        <v>0.1569549774407219</v>
      </c>
      <c r="I353" s="15">
        <f t="shared" si="11"/>
        <v>1635</v>
      </c>
    </row>
    <row r="354" spans="1:9" x14ac:dyDescent="0.3">
      <c r="A354" s="29" t="s">
        <v>601</v>
      </c>
      <c r="B354" s="52">
        <v>804</v>
      </c>
      <c r="C354" s="52">
        <v>639</v>
      </c>
      <c r="D354" s="52">
        <v>43</v>
      </c>
      <c r="E354" s="52">
        <v>4020</v>
      </c>
      <c r="F354" s="52">
        <v>3144</v>
      </c>
      <c r="G354" s="52">
        <v>11</v>
      </c>
      <c r="H354" s="32">
        <f t="shared" si="10"/>
        <v>0.36965174129353234</v>
      </c>
      <c r="I354" s="31">
        <f t="shared" si="11"/>
        <v>1486</v>
      </c>
    </row>
    <row r="355" spans="1:9" hidden="1" x14ac:dyDescent="0.3">
      <c r="B355" s="5">
        <v>1686</v>
      </c>
      <c r="C355" s="5">
        <v>904</v>
      </c>
      <c r="D355" s="5">
        <v>472</v>
      </c>
      <c r="E355" s="5">
        <v>18546</v>
      </c>
      <c r="F355" s="5">
        <v>18171</v>
      </c>
      <c r="G355" s="5">
        <v>52</v>
      </c>
      <c r="H355" s="10">
        <f t="shared" si="10"/>
        <v>0.16510298716704411</v>
      </c>
      <c r="I355" s="15">
        <f t="shared" si="11"/>
        <v>3062</v>
      </c>
    </row>
    <row r="356" spans="1:9" hidden="1" x14ac:dyDescent="0.3">
      <c r="B356" s="5">
        <v>1226</v>
      </c>
      <c r="C356" s="5">
        <v>119</v>
      </c>
      <c r="D356" s="5">
        <v>7</v>
      </c>
      <c r="E356" s="5">
        <v>14712</v>
      </c>
      <c r="F356" s="5">
        <v>14049</v>
      </c>
      <c r="G356" s="5">
        <v>123</v>
      </c>
      <c r="H356" s="10">
        <f t="shared" si="10"/>
        <v>9.1897770527460579E-2</v>
      </c>
      <c r="I356" s="15">
        <f t="shared" si="11"/>
        <v>1352</v>
      </c>
    </row>
    <row r="357" spans="1:9" hidden="1" x14ac:dyDescent="0.3">
      <c r="B357" s="5">
        <v>2946</v>
      </c>
      <c r="C357" s="5">
        <v>498</v>
      </c>
      <c r="D357" s="5">
        <v>367</v>
      </c>
      <c r="E357" s="5">
        <v>29460</v>
      </c>
      <c r="F357" s="5">
        <v>28527</v>
      </c>
      <c r="G357" s="5">
        <v>60</v>
      </c>
      <c r="H357" s="10">
        <f t="shared" si="10"/>
        <v>0.12936184657162253</v>
      </c>
      <c r="I357" s="15">
        <f t="shared" si="11"/>
        <v>3811</v>
      </c>
    </row>
    <row r="358" spans="1:9" hidden="1" x14ac:dyDescent="0.3">
      <c r="B358" s="5">
        <v>2825</v>
      </c>
      <c r="C358" s="5">
        <v>535</v>
      </c>
      <c r="D358" s="5">
        <v>295</v>
      </c>
      <c r="E358" s="5">
        <v>45200</v>
      </c>
      <c r="F358" s="5">
        <v>44739</v>
      </c>
      <c r="G358" s="5">
        <v>169</v>
      </c>
      <c r="H358" s="10">
        <f t="shared" si="10"/>
        <v>8.0862831858407078E-2</v>
      </c>
      <c r="I358" s="15">
        <f t="shared" si="11"/>
        <v>3655</v>
      </c>
    </row>
    <row r="359" spans="1:9" hidden="1" x14ac:dyDescent="0.3">
      <c r="B359" s="5">
        <v>103</v>
      </c>
      <c r="C359" s="5">
        <v>770</v>
      </c>
      <c r="D359" s="5">
        <v>19</v>
      </c>
      <c r="E359" s="5">
        <v>1030</v>
      </c>
      <c r="F359" s="5">
        <v>410</v>
      </c>
      <c r="G359" s="5">
        <v>262</v>
      </c>
      <c r="H359" s="10">
        <f t="shared" si="10"/>
        <v>0.86601941747572819</v>
      </c>
      <c r="I359" s="15">
        <f t="shared" si="11"/>
        <v>892</v>
      </c>
    </row>
    <row r="360" spans="1:9" hidden="1" x14ac:dyDescent="0.3">
      <c r="B360" s="5">
        <v>2180</v>
      </c>
      <c r="C360" s="5">
        <v>263</v>
      </c>
      <c r="D360" s="5">
        <v>387</v>
      </c>
      <c r="E360" s="5">
        <v>30520</v>
      </c>
      <c r="F360" s="5">
        <v>30059</v>
      </c>
      <c r="G360" s="5">
        <v>174</v>
      </c>
      <c r="H360" s="10">
        <f t="shared" si="10"/>
        <v>9.2726081258191345E-2</v>
      </c>
      <c r="I360" s="15">
        <f t="shared" si="11"/>
        <v>2830</v>
      </c>
    </row>
    <row r="361" spans="1:9" x14ac:dyDescent="0.3">
      <c r="A361" s="29" t="s">
        <v>27</v>
      </c>
      <c r="B361" s="52">
        <v>904</v>
      </c>
      <c r="C361" s="52">
        <v>973</v>
      </c>
      <c r="D361" s="52">
        <v>63</v>
      </c>
      <c r="E361" s="52">
        <v>11752</v>
      </c>
      <c r="F361" s="52">
        <v>11580</v>
      </c>
      <c r="G361" s="52">
        <v>84</v>
      </c>
      <c r="H361" s="32">
        <f t="shared" si="10"/>
        <v>0.1650782845473111</v>
      </c>
      <c r="I361" s="31">
        <f t="shared" si="11"/>
        <v>1940</v>
      </c>
    </row>
    <row r="362" spans="1:9" hidden="1" x14ac:dyDescent="0.3">
      <c r="B362" s="5">
        <v>4886</v>
      </c>
      <c r="C362" s="5">
        <v>983</v>
      </c>
      <c r="D362" s="5">
        <v>409</v>
      </c>
      <c r="E362" s="5">
        <v>43974</v>
      </c>
      <c r="F362" s="5">
        <v>43239</v>
      </c>
      <c r="G362" s="5">
        <v>65</v>
      </c>
      <c r="H362" s="10">
        <f t="shared" si="10"/>
        <v>0.14276618001546368</v>
      </c>
      <c r="I362" s="15">
        <f t="shared" si="11"/>
        <v>6278</v>
      </c>
    </row>
    <row r="363" spans="1:9" hidden="1" x14ac:dyDescent="0.3">
      <c r="B363" s="5">
        <v>53</v>
      </c>
      <c r="C363" s="5">
        <v>81</v>
      </c>
      <c r="D363" s="5">
        <v>379</v>
      </c>
      <c r="E363" s="5">
        <v>954</v>
      </c>
      <c r="F363" s="5">
        <v>7</v>
      </c>
      <c r="G363" s="5">
        <v>148</v>
      </c>
      <c r="H363" s="10">
        <f t="shared" si="10"/>
        <v>0.53773584905660377</v>
      </c>
      <c r="I363" s="15">
        <f t="shared" si="11"/>
        <v>513</v>
      </c>
    </row>
    <row r="364" spans="1:9" hidden="1" x14ac:dyDescent="0.3">
      <c r="B364" s="5">
        <v>4507</v>
      </c>
      <c r="C364" s="5">
        <v>217</v>
      </c>
      <c r="D364" s="5">
        <v>13</v>
      </c>
      <c r="E364" s="5">
        <v>90140</v>
      </c>
      <c r="F364" s="5">
        <v>89591</v>
      </c>
      <c r="G364" s="5">
        <v>125</v>
      </c>
      <c r="H364" s="10">
        <f t="shared" si="10"/>
        <v>5.2551586421122697E-2</v>
      </c>
      <c r="I364" s="15">
        <f t="shared" si="11"/>
        <v>4737</v>
      </c>
    </row>
    <row r="365" spans="1:9" hidden="1" x14ac:dyDescent="0.3">
      <c r="B365" s="5">
        <v>2878</v>
      </c>
      <c r="C365" s="5">
        <v>248</v>
      </c>
      <c r="D365" s="5">
        <v>416</v>
      </c>
      <c r="E365" s="5">
        <v>43170</v>
      </c>
      <c r="F365" s="5">
        <v>42667</v>
      </c>
      <c r="G365" s="5">
        <v>75</v>
      </c>
      <c r="H365" s="10">
        <f t="shared" si="10"/>
        <v>8.2047718322909427E-2</v>
      </c>
      <c r="I365" s="15">
        <f t="shared" si="11"/>
        <v>3542</v>
      </c>
    </row>
    <row r="366" spans="1:9" hidden="1" x14ac:dyDescent="0.3">
      <c r="B366" s="5">
        <v>1881</v>
      </c>
      <c r="C366" s="5">
        <v>501</v>
      </c>
      <c r="D366" s="5">
        <v>99</v>
      </c>
      <c r="E366" s="5">
        <v>20691</v>
      </c>
      <c r="F366" s="5">
        <v>19987</v>
      </c>
      <c r="G366" s="5">
        <v>289</v>
      </c>
      <c r="H366" s="10">
        <f t="shared" si="10"/>
        <v>0.11990720603160794</v>
      </c>
      <c r="I366" s="15">
        <f t="shared" si="11"/>
        <v>2481</v>
      </c>
    </row>
    <row r="367" spans="1:9" hidden="1" x14ac:dyDescent="0.3">
      <c r="B367" s="5">
        <v>432</v>
      </c>
      <c r="C367" s="5">
        <v>171</v>
      </c>
      <c r="D367" s="5">
        <v>280</v>
      </c>
      <c r="E367" s="5">
        <v>3024</v>
      </c>
      <c r="F367" s="5">
        <v>2285</v>
      </c>
      <c r="G367" s="5">
        <v>184</v>
      </c>
      <c r="H367" s="10">
        <f t="shared" si="10"/>
        <v>0.29199735449735448</v>
      </c>
      <c r="I367" s="15">
        <f t="shared" si="11"/>
        <v>883</v>
      </c>
    </row>
    <row r="368" spans="1:9" hidden="1" x14ac:dyDescent="0.3">
      <c r="B368" s="5">
        <v>4712</v>
      </c>
      <c r="C368" s="5">
        <v>568</v>
      </c>
      <c r="D368" s="5">
        <v>127</v>
      </c>
      <c r="E368" s="5">
        <v>84816</v>
      </c>
      <c r="F368" s="5">
        <v>84691</v>
      </c>
      <c r="G368" s="5">
        <v>100</v>
      </c>
      <c r="H368" s="10">
        <f t="shared" si="10"/>
        <v>6.3749764195434822E-2</v>
      </c>
      <c r="I368" s="15">
        <f t="shared" si="11"/>
        <v>5407</v>
      </c>
    </row>
    <row r="369" spans="1:9" hidden="1" x14ac:dyDescent="0.3">
      <c r="B369" s="5">
        <v>2610</v>
      </c>
      <c r="C369" s="5">
        <v>126</v>
      </c>
      <c r="D369" s="5">
        <v>288</v>
      </c>
      <c r="E369" s="5">
        <v>15660</v>
      </c>
      <c r="F369" s="5">
        <v>15145</v>
      </c>
      <c r="G369" s="5">
        <v>73</v>
      </c>
      <c r="H369" s="10">
        <f t="shared" si="10"/>
        <v>0.19310344827586207</v>
      </c>
      <c r="I369" s="15">
        <f t="shared" si="11"/>
        <v>3024</v>
      </c>
    </row>
    <row r="370" spans="1:9" hidden="1" x14ac:dyDescent="0.3">
      <c r="B370" s="5">
        <v>1292</v>
      </c>
      <c r="C370" s="5">
        <v>626</v>
      </c>
      <c r="D370" s="5">
        <v>496</v>
      </c>
      <c r="E370" s="5">
        <v>25840</v>
      </c>
      <c r="F370" s="5">
        <v>24916</v>
      </c>
      <c r="G370" s="5">
        <v>149</v>
      </c>
      <c r="H370" s="10">
        <f t="shared" si="10"/>
        <v>9.3421052631578946E-2</v>
      </c>
      <c r="I370" s="15">
        <f t="shared" si="11"/>
        <v>2414</v>
      </c>
    </row>
    <row r="371" spans="1:9" hidden="1" x14ac:dyDescent="0.3">
      <c r="B371" s="5">
        <v>199</v>
      </c>
      <c r="C371" s="5">
        <v>772</v>
      </c>
      <c r="D371" s="5">
        <v>400</v>
      </c>
      <c r="E371" s="5">
        <v>3582</v>
      </c>
      <c r="F371" s="5">
        <v>2988</v>
      </c>
      <c r="G371" s="5">
        <v>43</v>
      </c>
      <c r="H371" s="10">
        <f t="shared" si="10"/>
        <v>0.38274706867671693</v>
      </c>
      <c r="I371" s="15">
        <f t="shared" si="11"/>
        <v>1371</v>
      </c>
    </row>
    <row r="372" spans="1:9" hidden="1" x14ac:dyDescent="0.3">
      <c r="B372" s="5">
        <v>2551</v>
      </c>
      <c r="C372" s="5">
        <v>915</v>
      </c>
      <c r="D372" s="5">
        <v>205</v>
      </c>
      <c r="E372" s="5">
        <v>30612</v>
      </c>
      <c r="F372" s="5">
        <v>30360</v>
      </c>
      <c r="G372" s="5">
        <v>227</v>
      </c>
      <c r="H372" s="10">
        <f t="shared" si="10"/>
        <v>0.1199202926956749</v>
      </c>
      <c r="I372" s="15">
        <f t="shared" si="11"/>
        <v>3671</v>
      </c>
    </row>
    <row r="373" spans="1:9" hidden="1" x14ac:dyDescent="0.3">
      <c r="B373" s="5">
        <v>296</v>
      </c>
      <c r="C373" s="5">
        <v>60</v>
      </c>
      <c r="D373" s="5">
        <v>141</v>
      </c>
      <c r="E373" s="5">
        <v>5624</v>
      </c>
      <c r="F373" s="5">
        <v>5239</v>
      </c>
      <c r="G373" s="5">
        <v>88</v>
      </c>
      <c r="H373" s="10">
        <f t="shared" si="10"/>
        <v>8.837126600284495E-2</v>
      </c>
      <c r="I373" s="15">
        <f t="shared" si="11"/>
        <v>497</v>
      </c>
    </row>
    <row r="374" spans="1:9" hidden="1" x14ac:dyDescent="0.3">
      <c r="B374" s="5">
        <v>4126</v>
      </c>
      <c r="C374" s="5">
        <v>426</v>
      </c>
      <c r="D374" s="5">
        <v>486</v>
      </c>
      <c r="E374" s="5">
        <v>78394</v>
      </c>
      <c r="F374" s="5">
        <v>77798</v>
      </c>
      <c r="G374" s="5">
        <v>88</v>
      </c>
      <c r="H374" s="10">
        <f t="shared" si="10"/>
        <v>6.4265122330790625E-2</v>
      </c>
      <c r="I374" s="15">
        <f t="shared" si="11"/>
        <v>5038</v>
      </c>
    </row>
    <row r="375" spans="1:9" hidden="1" x14ac:dyDescent="0.3">
      <c r="B375" s="5">
        <v>1855</v>
      </c>
      <c r="C375" s="5">
        <v>200</v>
      </c>
      <c r="D375" s="5">
        <v>174</v>
      </c>
      <c r="E375" s="5">
        <v>16695</v>
      </c>
      <c r="F375" s="5">
        <v>16330</v>
      </c>
      <c r="G375" s="5">
        <v>123</v>
      </c>
      <c r="H375" s="10">
        <f t="shared" si="10"/>
        <v>0.13351302785265048</v>
      </c>
      <c r="I375" s="15">
        <f t="shared" si="11"/>
        <v>2229</v>
      </c>
    </row>
    <row r="376" spans="1:9" hidden="1" x14ac:dyDescent="0.3">
      <c r="B376" s="5">
        <v>1674</v>
      </c>
      <c r="C376" s="5">
        <v>929</v>
      </c>
      <c r="D376" s="5">
        <v>37</v>
      </c>
      <c r="E376" s="5">
        <v>21762</v>
      </c>
      <c r="F376" s="5">
        <v>20998</v>
      </c>
      <c r="G376" s="5">
        <v>255</v>
      </c>
      <c r="H376" s="10">
        <f t="shared" si="10"/>
        <v>0.12131237937689551</v>
      </c>
      <c r="I376" s="15">
        <f t="shared" si="11"/>
        <v>2640</v>
      </c>
    </row>
    <row r="377" spans="1:9" hidden="1" x14ac:dyDescent="0.3">
      <c r="B377" s="5">
        <v>1121</v>
      </c>
      <c r="C377" s="5">
        <v>135</v>
      </c>
      <c r="D377" s="5">
        <v>18</v>
      </c>
      <c r="E377" s="5">
        <v>15694</v>
      </c>
      <c r="F377" s="5">
        <v>14957</v>
      </c>
      <c r="G377" s="5">
        <v>99</v>
      </c>
      <c r="H377" s="10">
        <f t="shared" si="10"/>
        <v>8.1177520071364848E-2</v>
      </c>
      <c r="I377" s="15">
        <f t="shared" si="11"/>
        <v>1274</v>
      </c>
    </row>
    <row r="378" spans="1:9" hidden="1" x14ac:dyDescent="0.3">
      <c r="B378" s="5">
        <v>1249</v>
      </c>
      <c r="C378" s="5">
        <v>116</v>
      </c>
      <c r="D378" s="5">
        <v>420</v>
      </c>
      <c r="E378" s="5">
        <v>8743</v>
      </c>
      <c r="F378" s="5">
        <v>8538</v>
      </c>
      <c r="G378" s="5">
        <v>63</v>
      </c>
      <c r="H378" s="10">
        <f t="shared" si="10"/>
        <v>0.20416333066453163</v>
      </c>
      <c r="I378" s="15">
        <f t="shared" si="11"/>
        <v>1785</v>
      </c>
    </row>
    <row r="379" spans="1:9" hidden="1" x14ac:dyDescent="0.3">
      <c r="B379" s="5">
        <v>954</v>
      </c>
      <c r="C379" s="5">
        <v>324</v>
      </c>
      <c r="D379" s="5">
        <v>288</v>
      </c>
      <c r="E379" s="5">
        <v>19080</v>
      </c>
      <c r="F379" s="5">
        <v>18859</v>
      </c>
      <c r="G379" s="5">
        <v>21</v>
      </c>
      <c r="H379" s="10">
        <f t="shared" si="10"/>
        <v>8.2075471698113203E-2</v>
      </c>
      <c r="I379" s="15">
        <f t="shared" si="11"/>
        <v>1566</v>
      </c>
    </row>
    <row r="380" spans="1:9" hidden="1" x14ac:dyDescent="0.3">
      <c r="B380" s="5">
        <v>3068</v>
      </c>
      <c r="C380" s="5">
        <v>137</v>
      </c>
      <c r="D380" s="5">
        <v>329</v>
      </c>
      <c r="E380" s="5">
        <v>39884</v>
      </c>
      <c r="F380" s="5">
        <v>39404</v>
      </c>
      <c r="G380" s="5">
        <v>266</v>
      </c>
      <c r="H380" s="10">
        <f t="shared" si="10"/>
        <v>8.860696018453515E-2</v>
      </c>
      <c r="I380" s="15">
        <f t="shared" si="11"/>
        <v>3534</v>
      </c>
    </row>
    <row r="381" spans="1:9" hidden="1" x14ac:dyDescent="0.3">
      <c r="B381" s="5">
        <v>2103</v>
      </c>
      <c r="C381" s="5">
        <v>892</v>
      </c>
      <c r="D381" s="5">
        <v>103</v>
      </c>
      <c r="E381" s="5">
        <v>39957</v>
      </c>
      <c r="F381" s="5">
        <v>39466</v>
      </c>
      <c r="G381" s="5">
        <v>28</v>
      </c>
      <c r="H381" s="10">
        <f t="shared" si="10"/>
        <v>7.7533348349475686E-2</v>
      </c>
      <c r="I381" s="15">
        <f t="shared" si="11"/>
        <v>3098</v>
      </c>
    </row>
    <row r="382" spans="1:9" hidden="1" x14ac:dyDescent="0.3">
      <c r="B382" s="5">
        <v>1816</v>
      </c>
      <c r="C382" s="5">
        <v>29</v>
      </c>
      <c r="D382" s="5">
        <v>41</v>
      </c>
      <c r="E382" s="5">
        <v>19976</v>
      </c>
      <c r="F382" s="5">
        <v>19262</v>
      </c>
      <c r="G382" s="5">
        <v>283</v>
      </c>
      <c r="H382" s="10">
        <f t="shared" si="10"/>
        <v>9.4413295955146179E-2</v>
      </c>
      <c r="I382" s="15">
        <f t="shared" si="11"/>
        <v>1886</v>
      </c>
    </row>
    <row r="383" spans="1:9" x14ac:dyDescent="0.3">
      <c r="A383" s="29" t="s">
        <v>27</v>
      </c>
      <c r="B383" s="52">
        <v>725</v>
      </c>
      <c r="C383" s="52">
        <v>88</v>
      </c>
      <c r="D383" s="52">
        <v>428</v>
      </c>
      <c r="E383" s="52">
        <v>14500</v>
      </c>
      <c r="F383" s="52">
        <v>13637</v>
      </c>
      <c r="G383" s="52">
        <v>200</v>
      </c>
      <c r="H383" s="32">
        <f t="shared" si="10"/>
        <v>8.558620689655172E-2</v>
      </c>
      <c r="I383" s="31">
        <f t="shared" si="11"/>
        <v>1241</v>
      </c>
    </row>
    <row r="384" spans="1:9" hidden="1" x14ac:dyDescent="0.3">
      <c r="B384" s="5">
        <v>1094</v>
      </c>
      <c r="C384" s="5">
        <v>472</v>
      </c>
      <c r="D384" s="5">
        <v>21</v>
      </c>
      <c r="E384" s="5">
        <v>9846</v>
      </c>
      <c r="F384" s="5">
        <v>9609</v>
      </c>
      <c r="G384" s="5">
        <v>112</v>
      </c>
      <c r="H384" s="10">
        <f t="shared" si="10"/>
        <v>0.16118220597196831</v>
      </c>
      <c r="I384" s="15">
        <f t="shared" si="11"/>
        <v>1587</v>
      </c>
    </row>
    <row r="385" spans="1:9" hidden="1" x14ac:dyDescent="0.3">
      <c r="B385" s="5">
        <v>1841</v>
      </c>
      <c r="C385" s="5">
        <v>851</v>
      </c>
      <c r="D385" s="5">
        <v>342</v>
      </c>
      <c r="E385" s="5">
        <v>34979</v>
      </c>
      <c r="F385" s="5">
        <v>34154</v>
      </c>
      <c r="G385" s="5">
        <v>255</v>
      </c>
      <c r="H385" s="10">
        <f t="shared" si="10"/>
        <v>8.6737756939878216E-2</v>
      </c>
      <c r="I385" s="15">
        <f t="shared" si="11"/>
        <v>3034</v>
      </c>
    </row>
    <row r="386" spans="1:9" hidden="1" x14ac:dyDescent="0.3">
      <c r="B386" s="5">
        <v>4177</v>
      </c>
      <c r="C386" s="5">
        <v>569</v>
      </c>
      <c r="D386" s="5">
        <v>55</v>
      </c>
      <c r="E386" s="5">
        <v>25062</v>
      </c>
      <c r="F386" s="5">
        <v>24847</v>
      </c>
      <c r="G386" s="5">
        <v>230</v>
      </c>
      <c r="H386" s="10">
        <f t="shared" ref="H386:H449" si="12">(B386+C386+D386)/E386</f>
        <v>0.19156491900087783</v>
      </c>
      <c r="I386" s="15">
        <f t="shared" ref="I386:I449" si="13">B386+C386+D386</f>
        <v>4801</v>
      </c>
    </row>
    <row r="387" spans="1:9" x14ac:dyDescent="0.3">
      <c r="A387" s="29" t="s">
        <v>601</v>
      </c>
      <c r="B387" s="52">
        <v>3428</v>
      </c>
      <c r="C387" s="52">
        <v>305</v>
      </c>
      <c r="D387" s="52">
        <v>85</v>
      </c>
      <c r="E387" s="52">
        <v>58276</v>
      </c>
      <c r="F387" s="52">
        <v>58052</v>
      </c>
      <c r="G387" s="52">
        <v>242</v>
      </c>
      <c r="H387" s="32">
        <f t="shared" si="12"/>
        <v>6.5515821264328367E-2</v>
      </c>
      <c r="I387" s="31">
        <f t="shared" si="13"/>
        <v>3818</v>
      </c>
    </row>
    <row r="388" spans="1:9" hidden="1" x14ac:dyDescent="0.3">
      <c r="B388" s="5">
        <v>1436</v>
      </c>
      <c r="C388" s="5">
        <v>765</v>
      </c>
      <c r="D388" s="5">
        <v>496</v>
      </c>
      <c r="E388" s="5">
        <v>12924</v>
      </c>
      <c r="F388" s="5">
        <v>12701</v>
      </c>
      <c r="G388" s="5">
        <v>197</v>
      </c>
      <c r="H388" s="10">
        <f t="shared" si="12"/>
        <v>0.20868152274837512</v>
      </c>
      <c r="I388" s="15">
        <f t="shared" si="13"/>
        <v>2697</v>
      </c>
    </row>
    <row r="389" spans="1:9" hidden="1" x14ac:dyDescent="0.3">
      <c r="B389" s="5">
        <v>302</v>
      </c>
      <c r="C389" s="5">
        <v>47</v>
      </c>
      <c r="D389" s="5">
        <v>430</v>
      </c>
      <c r="E389" s="5">
        <v>5738</v>
      </c>
      <c r="F389" s="5">
        <v>4890</v>
      </c>
      <c r="G389" s="5">
        <v>25</v>
      </c>
      <c r="H389" s="10">
        <f t="shared" si="12"/>
        <v>0.13576158940397351</v>
      </c>
      <c r="I389" s="15">
        <f t="shared" si="13"/>
        <v>779</v>
      </c>
    </row>
    <row r="390" spans="1:9" hidden="1" x14ac:dyDescent="0.3">
      <c r="B390" s="5">
        <v>2214</v>
      </c>
      <c r="C390" s="5">
        <v>249</v>
      </c>
      <c r="D390" s="5">
        <v>152</v>
      </c>
      <c r="E390" s="5">
        <v>15498</v>
      </c>
      <c r="F390" s="5">
        <v>14800</v>
      </c>
      <c r="G390" s="5">
        <v>180</v>
      </c>
      <c r="H390" s="10">
        <f t="shared" si="12"/>
        <v>0.16873144921925409</v>
      </c>
      <c r="I390" s="15">
        <f t="shared" si="13"/>
        <v>2615</v>
      </c>
    </row>
    <row r="391" spans="1:9" hidden="1" x14ac:dyDescent="0.3">
      <c r="B391" s="5">
        <v>3861</v>
      </c>
      <c r="C391" s="5">
        <v>960</v>
      </c>
      <c r="D391" s="5">
        <v>101</v>
      </c>
      <c r="E391" s="5">
        <v>69498</v>
      </c>
      <c r="F391" s="5">
        <v>68817</v>
      </c>
      <c r="G391" s="5">
        <v>297</v>
      </c>
      <c r="H391" s="10">
        <f t="shared" si="12"/>
        <v>7.0822181933293038E-2</v>
      </c>
      <c r="I391" s="15">
        <f t="shared" si="13"/>
        <v>4922</v>
      </c>
    </row>
    <row r="392" spans="1:9" hidden="1" x14ac:dyDescent="0.3">
      <c r="B392" s="5">
        <v>1263</v>
      </c>
      <c r="C392" s="5">
        <v>397</v>
      </c>
      <c r="D392" s="5">
        <v>357</v>
      </c>
      <c r="E392" s="5">
        <v>25260</v>
      </c>
      <c r="F392" s="5">
        <v>24615</v>
      </c>
      <c r="G392" s="5">
        <v>137</v>
      </c>
      <c r="H392" s="10">
        <f t="shared" si="12"/>
        <v>7.984956452889945E-2</v>
      </c>
      <c r="I392" s="15">
        <f t="shared" si="13"/>
        <v>2017</v>
      </c>
    </row>
    <row r="393" spans="1:9" hidden="1" x14ac:dyDescent="0.3">
      <c r="B393" s="5">
        <v>3801</v>
      </c>
      <c r="C393" s="5">
        <v>967</v>
      </c>
      <c r="D393" s="5">
        <v>401</v>
      </c>
      <c r="E393" s="5">
        <v>38010</v>
      </c>
      <c r="F393" s="5">
        <v>37625</v>
      </c>
      <c r="G393" s="5">
        <v>236</v>
      </c>
      <c r="H393" s="10">
        <f t="shared" si="12"/>
        <v>0.13599052880820836</v>
      </c>
      <c r="I393" s="15">
        <f t="shared" si="13"/>
        <v>5169</v>
      </c>
    </row>
    <row r="394" spans="1:9" hidden="1" x14ac:dyDescent="0.3">
      <c r="B394" s="5">
        <v>1431</v>
      </c>
      <c r="C394" s="5">
        <v>951</v>
      </c>
      <c r="D394" s="5">
        <v>26</v>
      </c>
      <c r="E394" s="5">
        <v>8586</v>
      </c>
      <c r="F394" s="5">
        <v>8396</v>
      </c>
      <c r="G394" s="5">
        <v>150</v>
      </c>
      <c r="H394" s="10">
        <f t="shared" si="12"/>
        <v>0.28045655718611695</v>
      </c>
      <c r="I394" s="15">
        <f t="shared" si="13"/>
        <v>2408</v>
      </c>
    </row>
    <row r="395" spans="1:9" hidden="1" x14ac:dyDescent="0.3">
      <c r="B395" s="5">
        <v>2647</v>
      </c>
      <c r="C395" s="5">
        <v>304</v>
      </c>
      <c r="D395" s="5">
        <v>170</v>
      </c>
      <c r="E395" s="5">
        <v>18529</v>
      </c>
      <c r="F395" s="5">
        <v>17841</v>
      </c>
      <c r="G395" s="5">
        <v>46</v>
      </c>
      <c r="H395" s="10">
        <f t="shared" si="12"/>
        <v>0.16843866371633656</v>
      </c>
      <c r="I395" s="15">
        <f t="shared" si="13"/>
        <v>3121</v>
      </c>
    </row>
    <row r="396" spans="1:9" hidden="1" x14ac:dyDescent="0.3">
      <c r="B396" s="5">
        <v>3182</v>
      </c>
      <c r="C396" s="5">
        <v>559</v>
      </c>
      <c r="D396" s="5">
        <v>160</v>
      </c>
      <c r="E396" s="5">
        <v>57276</v>
      </c>
      <c r="F396" s="5">
        <v>56890</v>
      </c>
      <c r="G396" s="5">
        <v>163</v>
      </c>
      <c r="H396" s="10">
        <f t="shared" si="12"/>
        <v>6.8108806480899509E-2</v>
      </c>
      <c r="I396" s="15">
        <f t="shared" si="13"/>
        <v>3901</v>
      </c>
    </row>
    <row r="397" spans="1:9" hidden="1" x14ac:dyDescent="0.3">
      <c r="B397" s="5">
        <v>1238</v>
      </c>
      <c r="C397" s="5">
        <v>366</v>
      </c>
      <c r="D397" s="5">
        <v>444</v>
      </c>
      <c r="E397" s="5">
        <v>19808</v>
      </c>
      <c r="F397" s="5">
        <v>19334</v>
      </c>
      <c r="G397" s="5">
        <v>123</v>
      </c>
      <c r="H397" s="10">
        <f t="shared" si="12"/>
        <v>0.10339256865912763</v>
      </c>
      <c r="I397" s="15">
        <f t="shared" si="13"/>
        <v>2048</v>
      </c>
    </row>
    <row r="398" spans="1:9" x14ac:dyDescent="0.3">
      <c r="A398" s="29" t="s">
        <v>600</v>
      </c>
      <c r="B398" s="52">
        <v>4739</v>
      </c>
      <c r="C398" s="52">
        <v>527</v>
      </c>
      <c r="D398" s="52">
        <v>135</v>
      </c>
      <c r="E398" s="52">
        <v>61607</v>
      </c>
      <c r="F398" s="52">
        <v>61333</v>
      </c>
      <c r="G398" s="52">
        <v>36</v>
      </c>
      <c r="H398" s="32">
        <f t="shared" si="12"/>
        <v>8.7668609086629767E-2</v>
      </c>
      <c r="I398" s="31">
        <f t="shared" si="13"/>
        <v>5401</v>
      </c>
    </row>
    <row r="399" spans="1:9" hidden="1" x14ac:dyDescent="0.3">
      <c r="B399" s="5">
        <v>1575</v>
      </c>
      <c r="C399" s="5">
        <v>771</v>
      </c>
      <c r="D399" s="5">
        <v>486</v>
      </c>
      <c r="E399" s="5">
        <v>25200</v>
      </c>
      <c r="F399" s="5">
        <v>24826</v>
      </c>
      <c r="G399" s="5">
        <v>17</v>
      </c>
      <c r="H399" s="10">
        <f t="shared" si="12"/>
        <v>0.11238095238095239</v>
      </c>
      <c r="I399" s="15">
        <f t="shared" si="13"/>
        <v>2832</v>
      </c>
    </row>
    <row r="400" spans="1:9" hidden="1" x14ac:dyDescent="0.3">
      <c r="B400" s="5">
        <v>4171</v>
      </c>
      <c r="C400" s="5">
        <v>548</v>
      </c>
      <c r="D400" s="5">
        <v>86</v>
      </c>
      <c r="E400" s="5">
        <v>66736</v>
      </c>
      <c r="F400" s="5">
        <v>66634</v>
      </c>
      <c r="G400" s="5">
        <v>173</v>
      </c>
      <c r="H400" s="10">
        <f t="shared" si="12"/>
        <v>7.2000119875329657E-2</v>
      </c>
      <c r="I400" s="15">
        <f t="shared" si="13"/>
        <v>4805</v>
      </c>
    </row>
    <row r="401" spans="1:9" hidden="1" x14ac:dyDescent="0.3">
      <c r="B401" s="5">
        <v>1766</v>
      </c>
      <c r="C401" s="5">
        <v>92</v>
      </c>
      <c r="D401" s="5">
        <v>424</v>
      </c>
      <c r="E401" s="5">
        <v>24724</v>
      </c>
      <c r="F401" s="5">
        <v>24333</v>
      </c>
      <c r="G401" s="5">
        <v>52</v>
      </c>
      <c r="H401" s="10">
        <f t="shared" si="12"/>
        <v>9.2298980747451867E-2</v>
      </c>
      <c r="I401" s="15">
        <f t="shared" si="13"/>
        <v>2282</v>
      </c>
    </row>
    <row r="402" spans="1:9" hidden="1" x14ac:dyDescent="0.3">
      <c r="B402" s="5">
        <v>4450</v>
      </c>
      <c r="C402" s="5">
        <v>983</v>
      </c>
      <c r="D402" s="5">
        <v>143</v>
      </c>
      <c r="E402" s="5">
        <v>75650</v>
      </c>
      <c r="F402" s="5">
        <v>75008</v>
      </c>
      <c r="G402" s="5">
        <v>12</v>
      </c>
      <c r="H402" s="10">
        <f t="shared" si="12"/>
        <v>7.3707865168539333E-2</v>
      </c>
      <c r="I402" s="15">
        <f t="shared" si="13"/>
        <v>5576</v>
      </c>
    </row>
    <row r="403" spans="1:9" hidden="1" x14ac:dyDescent="0.3">
      <c r="B403" s="5">
        <v>1000</v>
      </c>
      <c r="C403" s="5">
        <v>978</v>
      </c>
      <c r="D403" s="5">
        <v>162</v>
      </c>
      <c r="E403" s="5">
        <v>6000</v>
      </c>
      <c r="F403" s="5">
        <v>5221</v>
      </c>
      <c r="G403" s="5">
        <v>223</v>
      </c>
      <c r="H403" s="10">
        <f t="shared" si="12"/>
        <v>0.35666666666666669</v>
      </c>
      <c r="I403" s="15">
        <f t="shared" si="13"/>
        <v>2140</v>
      </c>
    </row>
    <row r="404" spans="1:9" hidden="1" x14ac:dyDescent="0.3">
      <c r="B404" s="5">
        <v>3689</v>
      </c>
      <c r="C404" s="5">
        <v>48</v>
      </c>
      <c r="D404" s="5">
        <v>306</v>
      </c>
      <c r="E404" s="5">
        <v>40579</v>
      </c>
      <c r="F404" s="5">
        <v>39588</v>
      </c>
      <c r="G404" s="5">
        <v>212</v>
      </c>
      <c r="H404" s="10">
        <f t="shared" si="12"/>
        <v>9.9632815002833983E-2</v>
      </c>
      <c r="I404" s="15">
        <f t="shared" si="13"/>
        <v>4043</v>
      </c>
    </row>
    <row r="405" spans="1:9" hidden="1" x14ac:dyDescent="0.3">
      <c r="B405" s="5">
        <v>3655</v>
      </c>
      <c r="C405" s="5">
        <v>568</v>
      </c>
      <c r="D405" s="5">
        <v>286</v>
      </c>
      <c r="E405" s="5">
        <v>32895</v>
      </c>
      <c r="F405" s="5">
        <v>32015</v>
      </c>
      <c r="G405" s="5">
        <v>199</v>
      </c>
      <c r="H405" s="10">
        <f t="shared" si="12"/>
        <v>0.13707250341997265</v>
      </c>
      <c r="I405" s="15">
        <f t="shared" si="13"/>
        <v>4509</v>
      </c>
    </row>
    <row r="406" spans="1:9" hidden="1" x14ac:dyDescent="0.3">
      <c r="B406" s="5">
        <v>498</v>
      </c>
      <c r="C406" s="5">
        <v>38</v>
      </c>
      <c r="D406" s="5">
        <v>42</v>
      </c>
      <c r="E406" s="5">
        <v>4482</v>
      </c>
      <c r="F406" s="5">
        <v>3647</v>
      </c>
      <c r="G406" s="5">
        <v>32</v>
      </c>
      <c r="H406" s="10">
        <f t="shared" si="12"/>
        <v>0.12896028558679162</v>
      </c>
      <c r="I406" s="15">
        <f t="shared" si="13"/>
        <v>578</v>
      </c>
    </row>
    <row r="407" spans="1:9" hidden="1" x14ac:dyDescent="0.3">
      <c r="B407" s="5">
        <v>4619</v>
      </c>
      <c r="C407" s="5">
        <v>821</v>
      </c>
      <c r="D407" s="5">
        <v>499</v>
      </c>
      <c r="E407" s="5">
        <v>69285</v>
      </c>
      <c r="F407" s="5">
        <v>69141</v>
      </c>
      <c r="G407" s="5">
        <v>298</v>
      </c>
      <c r="H407" s="10">
        <f t="shared" si="12"/>
        <v>8.5718409468138843E-2</v>
      </c>
      <c r="I407" s="15">
        <f t="shared" si="13"/>
        <v>5939</v>
      </c>
    </row>
    <row r="408" spans="1:9" hidden="1" x14ac:dyDescent="0.3">
      <c r="B408" s="5">
        <v>4832</v>
      </c>
      <c r="C408" s="5">
        <v>893</v>
      </c>
      <c r="D408" s="5">
        <v>10</v>
      </c>
      <c r="E408" s="5">
        <v>91808</v>
      </c>
      <c r="F408" s="5">
        <v>91296</v>
      </c>
      <c r="G408" s="5">
        <v>182</v>
      </c>
      <c r="H408" s="10">
        <f t="shared" si="12"/>
        <v>6.2467323109097243E-2</v>
      </c>
      <c r="I408" s="15">
        <f t="shared" si="13"/>
        <v>5735</v>
      </c>
    </row>
    <row r="409" spans="1:9" hidden="1" x14ac:dyDescent="0.3">
      <c r="B409" s="5">
        <v>4050</v>
      </c>
      <c r="C409" s="5">
        <v>871</v>
      </c>
      <c r="D409" s="5">
        <v>347</v>
      </c>
      <c r="E409" s="5">
        <v>52650</v>
      </c>
      <c r="F409" s="5">
        <v>51755</v>
      </c>
      <c r="G409" s="5">
        <v>209</v>
      </c>
      <c r="H409" s="10">
        <f t="shared" si="12"/>
        <v>0.10005698005698006</v>
      </c>
      <c r="I409" s="15">
        <f t="shared" si="13"/>
        <v>5268</v>
      </c>
    </row>
    <row r="410" spans="1:9" hidden="1" x14ac:dyDescent="0.3">
      <c r="B410" s="5">
        <v>3649</v>
      </c>
      <c r="C410" s="5">
        <v>215</v>
      </c>
      <c r="D410" s="5">
        <v>413</v>
      </c>
      <c r="E410" s="5">
        <v>25543</v>
      </c>
      <c r="F410" s="5">
        <v>24963</v>
      </c>
      <c r="G410" s="5">
        <v>167</v>
      </c>
      <c r="H410" s="10">
        <f t="shared" si="12"/>
        <v>0.16744313510550835</v>
      </c>
      <c r="I410" s="15">
        <f t="shared" si="13"/>
        <v>4277</v>
      </c>
    </row>
    <row r="411" spans="1:9" hidden="1" x14ac:dyDescent="0.3">
      <c r="B411" s="5">
        <v>3523</v>
      </c>
      <c r="C411" s="5">
        <v>753</v>
      </c>
      <c r="D411" s="5">
        <v>482</v>
      </c>
      <c r="E411" s="5">
        <v>38753</v>
      </c>
      <c r="F411" s="5">
        <v>38579</v>
      </c>
      <c r="G411" s="5">
        <v>270</v>
      </c>
      <c r="H411" s="10">
        <f t="shared" si="12"/>
        <v>0.12277759141227776</v>
      </c>
      <c r="I411" s="15">
        <f t="shared" si="13"/>
        <v>4758</v>
      </c>
    </row>
    <row r="412" spans="1:9" hidden="1" x14ac:dyDescent="0.3">
      <c r="B412" s="5">
        <v>2719</v>
      </c>
      <c r="C412" s="5">
        <v>17</v>
      </c>
      <c r="D412" s="5">
        <v>285</v>
      </c>
      <c r="E412" s="5">
        <v>40785</v>
      </c>
      <c r="F412" s="5">
        <v>40281</v>
      </c>
      <c r="G412" s="5">
        <v>40</v>
      </c>
      <c r="H412" s="10">
        <f t="shared" si="12"/>
        <v>7.4071349760941527E-2</v>
      </c>
      <c r="I412" s="15">
        <f t="shared" si="13"/>
        <v>3021</v>
      </c>
    </row>
    <row r="413" spans="1:9" hidden="1" x14ac:dyDescent="0.3">
      <c r="B413" s="5">
        <v>1957</v>
      </c>
      <c r="C413" s="5">
        <v>877</v>
      </c>
      <c r="D413" s="5">
        <v>238</v>
      </c>
      <c r="E413" s="5">
        <v>17613</v>
      </c>
      <c r="F413" s="5">
        <v>16865</v>
      </c>
      <c r="G413" s="5">
        <v>297</v>
      </c>
      <c r="H413" s="10">
        <f t="shared" si="12"/>
        <v>0.17441662408448305</v>
      </c>
      <c r="I413" s="15">
        <f t="shared" si="13"/>
        <v>3072</v>
      </c>
    </row>
    <row r="414" spans="1:9" hidden="1" x14ac:dyDescent="0.3">
      <c r="B414" s="5">
        <v>4419</v>
      </c>
      <c r="C414" s="5">
        <v>236</v>
      </c>
      <c r="D414" s="5">
        <v>369</v>
      </c>
      <c r="E414" s="5">
        <v>44190</v>
      </c>
      <c r="F414" s="5">
        <v>43582</v>
      </c>
      <c r="G414" s="5">
        <v>10</v>
      </c>
      <c r="H414" s="10">
        <f t="shared" si="12"/>
        <v>0.11369088028965829</v>
      </c>
      <c r="I414" s="15">
        <f t="shared" si="13"/>
        <v>5024</v>
      </c>
    </row>
    <row r="415" spans="1:9" hidden="1" x14ac:dyDescent="0.3">
      <c r="B415" s="5">
        <v>4000</v>
      </c>
      <c r="C415" s="5">
        <v>689</v>
      </c>
      <c r="D415" s="5">
        <v>488</v>
      </c>
      <c r="E415" s="5">
        <v>40000</v>
      </c>
      <c r="F415" s="5">
        <v>39569</v>
      </c>
      <c r="G415" s="5">
        <v>44</v>
      </c>
      <c r="H415" s="10">
        <f t="shared" si="12"/>
        <v>0.12942500000000001</v>
      </c>
      <c r="I415" s="15">
        <f t="shared" si="13"/>
        <v>5177</v>
      </c>
    </row>
    <row r="416" spans="1:9" x14ac:dyDescent="0.3">
      <c r="A416" s="29" t="s">
        <v>600</v>
      </c>
      <c r="B416" s="52">
        <v>2493</v>
      </c>
      <c r="C416" s="52">
        <v>97</v>
      </c>
      <c r="D416" s="52">
        <v>44</v>
      </c>
      <c r="E416" s="52">
        <v>42381</v>
      </c>
      <c r="F416" s="52">
        <v>41991</v>
      </c>
      <c r="G416" s="52">
        <v>242</v>
      </c>
      <c r="H416" s="32">
        <f t="shared" si="12"/>
        <v>6.2150491965739366E-2</v>
      </c>
      <c r="I416" s="31">
        <f t="shared" si="13"/>
        <v>2634</v>
      </c>
    </row>
    <row r="417" spans="2:9" hidden="1" x14ac:dyDescent="0.3">
      <c r="B417" s="5">
        <v>3704</v>
      </c>
      <c r="C417" s="5">
        <v>186</v>
      </c>
      <c r="D417" s="5">
        <v>458</v>
      </c>
      <c r="E417" s="5">
        <v>25928</v>
      </c>
      <c r="F417" s="5">
        <v>25081</v>
      </c>
      <c r="G417" s="5">
        <v>131</v>
      </c>
      <c r="H417" s="10">
        <f t="shared" si="12"/>
        <v>0.16769515581610614</v>
      </c>
      <c r="I417" s="15">
        <f t="shared" si="13"/>
        <v>4348</v>
      </c>
    </row>
    <row r="418" spans="2:9" hidden="1" x14ac:dyDescent="0.3">
      <c r="B418" s="5">
        <v>1606</v>
      </c>
      <c r="C418" s="5">
        <v>451</v>
      </c>
      <c r="D418" s="5">
        <v>405</v>
      </c>
      <c r="E418" s="5">
        <v>20878</v>
      </c>
      <c r="F418" s="5">
        <v>20190</v>
      </c>
      <c r="G418" s="5">
        <v>219</v>
      </c>
      <c r="H418" s="10">
        <f t="shared" si="12"/>
        <v>0.11792317271769326</v>
      </c>
      <c r="I418" s="15">
        <f t="shared" si="13"/>
        <v>2462</v>
      </c>
    </row>
    <row r="419" spans="2:9" hidden="1" x14ac:dyDescent="0.3">
      <c r="B419" s="5">
        <v>4551</v>
      </c>
      <c r="C419" s="5">
        <v>714</v>
      </c>
      <c r="D419" s="5">
        <v>207</v>
      </c>
      <c r="E419" s="5">
        <v>68265</v>
      </c>
      <c r="F419" s="5">
        <v>67754</v>
      </c>
      <c r="G419" s="5">
        <v>57</v>
      </c>
      <c r="H419" s="10">
        <f t="shared" si="12"/>
        <v>8.0158206987475278E-2</v>
      </c>
      <c r="I419" s="15">
        <f t="shared" si="13"/>
        <v>5472</v>
      </c>
    </row>
    <row r="420" spans="2:9" hidden="1" x14ac:dyDescent="0.3">
      <c r="B420" s="5">
        <v>1970</v>
      </c>
      <c r="C420" s="5">
        <v>675</v>
      </c>
      <c r="D420" s="5">
        <v>478</v>
      </c>
      <c r="E420" s="5">
        <v>9850</v>
      </c>
      <c r="F420" s="5">
        <v>8924</v>
      </c>
      <c r="G420" s="5">
        <v>117</v>
      </c>
      <c r="H420" s="10">
        <f t="shared" si="12"/>
        <v>0.31705583756345179</v>
      </c>
      <c r="I420" s="15">
        <f t="shared" si="13"/>
        <v>3123</v>
      </c>
    </row>
    <row r="421" spans="2:9" hidden="1" x14ac:dyDescent="0.3">
      <c r="B421" s="5">
        <v>780</v>
      </c>
      <c r="C421" s="5">
        <v>928</v>
      </c>
      <c r="D421" s="5">
        <v>301</v>
      </c>
      <c r="E421" s="5">
        <v>8580</v>
      </c>
      <c r="F421" s="5">
        <v>8081</v>
      </c>
      <c r="G421" s="5">
        <v>91</v>
      </c>
      <c r="H421" s="10">
        <f t="shared" si="12"/>
        <v>0.23414918414918415</v>
      </c>
      <c r="I421" s="15">
        <f t="shared" si="13"/>
        <v>2009</v>
      </c>
    </row>
    <row r="422" spans="2:9" hidden="1" x14ac:dyDescent="0.3">
      <c r="B422" s="5">
        <v>498</v>
      </c>
      <c r="C422" s="5">
        <v>701</v>
      </c>
      <c r="D422" s="5">
        <v>412</v>
      </c>
      <c r="E422" s="5">
        <v>4980</v>
      </c>
      <c r="F422" s="5">
        <v>4185</v>
      </c>
      <c r="G422" s="5">
        <v>185</v>
      </c>
      <c r="H422" s="10">
        <f t="shared" si="12"/>
        <v>0.32349397590361445</v>
      </c>
      <c r="I422" s="15">
        <f t="shared" si="13"/>
        <v>1611</v>
      </c>
    </row>
    <row r="423" spans="2:9" hidden="1" x14ac:dyDescent="0.3">
      <c r="B423" s="5">
        <v>3432</v>
      </c>
      <c r="C423" s="5">
        <v>869</v>
      </c>
      <c r="D423" s="5">
        <v>123</v>
      </c>
      <c r="E423" s="5">
        <v>54912</v>
      </c>
      <c r="F423" s="5">
        <v>53916</v>
      </c>
      <c r="G423" s="5">
        <v>264</v>
      </c>
      <c r="H423" s="10">
        <f t="shared" si="12"/>
        <v>8.0565268065268064E-2</v>
      </c>
      <c r="I423" s="15">
        <f t="shared" si="13"/>
        <v>4424</v>
      </c>
    </row>
    <row r="424" spans="2:9" hidden="1" x14ac:dyDescent="0.3">
      <c r="B424" s="5">
        <v>4363</v>
      </c>
      <c r="C424" s="5">
        <v>649</v>
      </c>
      <c r="D424" s="5">
        <v>140</v>
      </c>
      <c r="E424" s="5">
        <v>21815</v>
      </c>
      <c r="F424" s="5">
        <v>21481</v>
      </c>
      <c r="G424" s="5">
        <v>157</v>
      </c>
      <c r="H424" s="10">
        <f t="shared" si="12"/>
        <v>0.23616777446710979</v>
      </c>
      <c r="I424" s="15">
        <f t="shared" si="13"/>
        <v>5152</v>
      </c>
    </row>
    <row r="425" spans="2:9" hidden="1" x14ac:dyDescent="0.3">
      <c r="B425" s="5">
        <v>736</v>
      </c>
      <c r="C425" s="5">
        <v>771</v>
      </c>
      <c r="D425" s="5">
        <v>225</v>
      </c>
      <c r="E425" s="5">
        <v>5152</v>
      </c>
      <c r="F425" s="5">
        <v>4706</v>
      </c>
      <c r="G425" s="5">
        <v>19</v>
      </c>
      <c r="H425" s="10">
        <f t="shared" si="12"/>
        <v>0.33618012422360249</v>
      </c>
      <c r="I425" s="15">
        <f t="shared" si="13"/>
        <v>1732</v>
      </c>
    </row>
    <row r="426" spans="2:9" hidden="1" x14ac:dyDescent="0.3">
      <c r="B426" s="5">
        <v>3811</v>
      </c>
      <c r="C426" s="5">
        <v>866</v>
      </c>
      <c r="D426" s="5">
        <v>216</v>
      </c>
      <c r="E426" s="5">
        <v>34299</v>
      </c>
      <c r="F426" s="5">
        <v>34088</v>
      </c>
      <c r="G426" s="5">
        <v>233</v>
      </c>
      <c r="H426" s="10">
        <f t="shared" si="12"/>
        <v>0.14265722032712325</v>
      </c>
      <c r="I426" s="15">
        <f t="shared" si="13"/>
        <v>4893</v>
      </c>
    </row>
    <row r="427" spans="2:9" hidden="1" x14ac:dyDescent="0.3">
      <c r="B427" s="5">
        <v>4158</v>
      </c>
      <c r="C427" s="5">
        <v>167</v>
      </c>
      <c r="D427" s="5">
        <v>241</v>
      </c>
      <c r="E427" s="5">
        <v>45738</v>
      </c>
      <c r="F427" s="5">
        <v>45183</v>
      </c>
      <c r="G427" s="5">
        <v>142</v>
      </c>
      <c r="H427" s="10">
        <f t="shared" si="12"/>
        <v>9.9829463465827106E-2</v>
      </c>
      <c r="I427" s="15">
        <f t="shared" si="13"/>
        <v>4566</v>
      </c>
    </row>
    <row r="428" spans="2:9" hidden="1" x14ac:dyDescent="0.3">
      <c r="B428" s="5">
        <v>3452</v>
      </c>
      <c r="C428" s="5">
        <v>652</v>
      </c>
      <c r="D428" s="5">
        <v>442</v>
      </c>
      <c r="E428" s="5">
        <v>65588</v>
      </c>
      <c r="F428" s="5">
        <v>65049</v>
      </c>
      <c r="G428" s="5">
        <v>158</v>
      </c>
      <c r="H428" s="10">
        <f t="shared" si="12"/>
        <v>6.9311459413307311E-2</v>
      </c>
      <c r="I428" s="15">
        <f t="shared" si="13"/>
        <v>4546</v>
      </c>
    </row>
    <row r="429" spans="2:9" hidden="1" x14ac:dyDescent="0.3">
      <c r="B429" s="5">
        <v>3092</v>
      </c>
      <c r="C429" s="5">
        <v>106</v>
      </c>
      <c r="D429" s="5">
        <v>291</v>
      </c>
      <c r="E429" s="5">
        <v>27828</v>
      </c>
      <c r="F429" s="5">
        <v>27217</v>
      </c>
      <c r="G429" s="5">
        <v>102</v>
      </c>
      <c r="H429" s="10">
        <f t="shared" si="12"/>
        <v>0.12537731780940059</v>
      </c>
      <c r="I429" s="15">
        <f t="shared" si="13"/>
        <v>3489</v>
      </c>
    </row>
    <row r="430" spans="2:9" hidden="1" x14ac:dyDescent="0.3">
      <c r="B430" s="5">
        <v>2147</v>
      </c>
      <c r="C430" s="5">
        <v>430</v>
      </c>
      <c r="D430" s="5">
        <v>393</v>
      </c>
      <c r="E430" s="5">
        <v>17176</v>
      </c>
      <c r="F430" s="5">
        <v>16483</v>
      </c>
      <c r="G430" s="5">
        <v>170</v>
      </c>
      <c r="H430" s="10">
        <f t="shared" si="12"/>
        <v>0.17291569632044715</v>
      </c>
      <c r="I430" s="15">
        <f t="shared" si="13"/>
        <v>2970</v>
      </c>
    </row>
    <row r="431" spans="2:9" hidden="1" x14ac:dyDescent="0.3">
      <c r="B431" s="5">
        <v>2936</v>
      </c>
      <c r="C431" s="5">
        <v>439</v>
      </c>
      <c r="D431" s="5">
        <v>44</v>
      </c>
      <c r="E431" s="5">
        <v>38168</v>
      </c>
      <c r="F431" s="5">
        <v>37571</v>
      </c>
      <c r="G431" s="5">
        <v>22</v>
      </c>
      <c r="H431" s="10">
        <f t="shared" si="12"/>
        <v>8.9577656675749323E-2</v>
      </c>
      <c r="I431" s="15">
        <f t="shared" si="13"/>
        <v>3419</v>
      </c>
    </row>
    <row r="432" spans="2:9" hidden="1" x14ac:dyDescent="0.3">
      <c r="B432" s="5">
        <v>4840</v>
      </c>
      <c r="C432" s="5">
        <v>658</v>
      </c>
      <c r="D432" s="5">
        <v>211</v>
      </c>
      <c r="E432" s="5">
        <v>43560</v>
      </c>
      <c r="F432" s="5">
        <v>43225</v>
      </c>
      <c r="G432" s="5">
        <v>57</v>
      </c>
      <c r="H432" s="10">
        <f t="shared" si="12"/>
        <v>0.13106060606060607</v>
      </c>
      <c r="I432" s="15">
        <f t="shared" si="13"/>
        <v>5709</v>
      </c>
    </row>
    <row r="433" spans="1:9" hidden="1" x14ac:dyDescent="0.3">
      <c r="B433" s="5">
        <v>1947</v>
      </c>
      <c r="C433" s="5">
        <v>842</v>
      </c>
      <c r="D433" s="5">
        <v>101</v>
      </c>
      <c r="E433" s="5">
        <v>21417</v>
      </c>
      <c r="F433" s="5">
        <v>20967</v>
      </c>
      <c r="G433" s="5">
        <v>186</v>
      </c>
      <c r="H433" s="10">
        <f t="shared" si="12"/>
        <v>0.13493953401503478</v>
      </c>
      <c r="I433" s="15">
        <f t="shared" si="13"/>
        <v>2890</v>
      </c>
    </row>
    <row r="434" spans="1:9" hidden="1" x14ac:dyDescent="0.3">
      <c r="B434" s="5">
        <v>2072</v>
      </c>
      <c r="C434" s="5">
        <v>532</v>
      </c>
      <c r="D434" s="5">
        <v>71</v>
      </c>
      <c r="E434" s="5">
        <v>37296</v>
      </c>
      <c r="F434" s="5">
        <v>36467</v>
      </c>
      <c r="G434" s="5">
        <v>25</v>
      </c>
      <c r="H434" s="10">
        <f t="shared" si="12"/>
        <v>7.172350922350923E-2</v>
      </c>
      <c r="I434" s="15">
        <f t="shared" si="13"/>
        <v>2675</v>
      </c>
    </row>
    <row r="435" spans="1:9" hidden="1" x14ac:dyDescent="0.3">
      <c r="B435" s="5">
        <v>3731</v>
      </c>
      <c r="C435" s="5">
        <v>115</v>
      </c>
      <c r="D435" s="5">
        <v>135</v>
      </c>
      <c r="E435" s="5">
        <v>55965</v>
      </c>
      <c r="F435" s="5">
        <v>55436</v>
      </c>
      <c r="G435" s="5">
        <v>103</v>
      </c>
      <c r="H435" s="10">
        <f t="shared" si="12"/>
        <v>7.1133744304476013E-2</v>
      </c>
      <c r="I435" s="15">
        <f t="shared" si="13"/>
        <v>3981</v>
      </c>
    </row>
    <row r="436" spans="1:9" hidden="1" x14ac:dyDescent="0.3">
      <c r="B436" s="5">
        <v>4213</v>
      </c>
      <c r="C436" s="5">
        <v>253</v>
      </c>
      <c r="D436" s="5">
        <v>434</v>
      </c>
      <c r="E436" s="5">
        <v>75834</v>
      </c>
      <c r="F436" s="5">
        <v>75437</v>
      </c>
      <c r="G436" s="5">
        <v>272</v>
      </c>
      <c r="H436" s="10">
        <f t="shared" si="12"/>
        <v>6.461481657304112E-2</v>
      </c>
      <c r="I436" s="15">
        <f t="shared" si="13"/>
        <v>4900</v>
      </c>
    </row>
    <row r="437" spans="1:9" hidden="1" x14ac:dyDescent="0.3">
      <c r="B437" s="5">
        <v>3134</v>
      </c>
      <c r="C437" s="5">
        <v>888</v>
      </c>
      <c r="D437" s="5">
        <v>444</v>
      </c>
      <c r="E437" s="5">
        <v>21938</v>
      </c>
      <c r="F437" s="5">
        <v>21337</v>
      </c>
      <c r="G437" s="5">
        <v>130</v>
      </c>
      <c r="H437" s="10">
        <f t="shared" si="12"/>
        <v>0.20357370772176134</v>
      </c>
      <c r="I437" s="15">
        <f t="shared" si="13"/>
        <v>4466</v>
      </c>
    </row>
    <row r="438" spans="1:9" hidden="1" x14ac:dyDescent="0.3">
      <c r="B438" s="5">
        <v>3008</v>
      </c>
      <c r="C438" s="5">
        <v>94</v>
      </c>
      <c r="D438" s="5">
        <v>37</v>
      </c>
      <c r="E438" s="5">
        <v>15040</v>
      </c>
      <c r="F438" s="5">
        <v>14639</v>
      </c>
      <c r="G438" s="5">
        <v>277</v>
      </c>
      <c r="H438" s="10">
        <f t="shared" si="12"/>
        <v>0.20871010638297871</v>
      </c>
      <c r="I438" s="15">
        <f t="shared" si="13"/>
        <v>3139</v>
      </c>
    </row>
    <row r="439" spans="1:9" hidden="1" x14ac:dyDescent="0.3">
      <c r="B439" s="5">
        <v>305</v>
      </c>
      <c r="C439" s="5">
        <v>187</v>
      </c>
      <c r="D439" s="5">
        <v>243</v>
      </c>
      <c r="E439" s="5">
        <v>4575</v>
      </c>
      <c r="F439" s="5">
        <v>3704</v>
      </c>
      <c r="G439" s="5">
        <v>234</v>
      </c>
      <c r="H439" s="10">
        <f t="shared" si="12"/>
        <v>0.16065573770491803</v>
      </c>
      <c r="I439" s="15">
        <f t="shared" si="13"/>
        <v>735</v>
      </c>
    </row>
    <row r="440" spans="1:9" hidden="1" x14ac:dyDescent="0.3">
      <c r="B440" s="5">
        <v>2746</v>
      </c>
      <c r="C440" s="5">
        <v>156</v>
      </c>
      <c r="D440" s="5">
        <v>203</v>
      </c>
      <c r="E440" s="5">
        <v>32952</v>
      </c>
      <c r="F440" s="5">
        <v>32147</v>
      </c>
      <c r="G440" s="5">
        <v>147</v>
      </c>
      <c r="H440" s="10">
        <f t="shared" si="12"/>
        <v>9.422796795338674E-2</v>
      </c>
      <c r="I440" s="15">
        <f t="shared" si="13"/>
        <v>3105</v>
      </c>
    </row>
    <row r="441" spans="1:9" x14ac:dyDescent="0.3">
      <c r="A441" s="29" t="s">
        <v>592</v>
      </c>
      <c r="B441" s="52">
        <v>2291</v>
      </c>
      <c r="C441" s="52">
        <v>78</v>
      </c>
      <c r="D441" s="52">
        <v>485</v>
      </c>
      <c r="E441" s="52">
        <v>18328</v>
      </c>
      <c r="F441" s="52">
        <v>18101</v>
      </c>
      <c r="G441" s="52">
        <v>10</v>
      </c>
      <c r="H441" s="32">
        <f t="shared" si="12"/>
        <v>0.15571802706241816</v>
      </c>
      <c r="I441" s="31">
        <f t="shared" si="13"/>
        <v>2854</v>
      </c>
    </row>
    <row r="442" spans="1:9" hidden="1" x14ac:dyDescent="0.3">
      <c r="B442" s="5">
        <v>3170</v>
      </c>
      <c r="C442" s="5">
        <v>857</v>
      </c>
      <c r="D442" s="5">
        <v>379</v>
      </c>
      <c r="E442" s="5">
        <v>19020</v>
      </c>
      <c r="F442" s="5">
        <v>18559</v>
      </c>
      <c r="G442" s="5">
        <v>240</v>
      </c>
      <c r="H442" s="10">
        <f t="shared" si="12"/>
        <v>0.2316508937960042</v>
      </c>
      <c r="I442" s="15">
        <f t="shared" si="13"/>
        <v>4406</v>
      </c>
    </row>
    <row r="443" spans="1:9" hidden="1" x14ac:dyDescent="0.3">
      <c r="B443" s="5">
        <v>2070</v>
      </c>
      <c r="C443" s="5">
        <v>275</v>
      </c>
      <c r="D443" s="5">
        <v>386</v>
      </c>
      <c r="E443" s="5">
        <v>39330</v>
      </c>
      <c r="F443" s="5">
        <v>38627</v>
      </c>
      <c r="G443" s="5">
        <v>114</v>
      </c>
      <c r="H443" s="10">
        <f t="shared" si="12"/>
        <v>6.9438087973557078E-2</v>
      </c>
      <c r="I443" s="15">
        <f t="shared" si="13"/>
        <v>2731</v>
      </c>
    </row>
    <row r="444" spans="1:9" hidden="1" x14ac:dyDescent="0.3">
      <c r="B444" s="5">
        <v>80</v>
      </c>
      <c r="C444" s="5">
        <v>362</v>
      </c>
      <c r="D444" s="5">
        <v>80</v>
      </c>
      <c r="E444" s="5">
        <v>1040</v>
      </c>
      <c r="F444" s="5">
        <v>349</v>
      </c>
      <c r="G444" s="5">
        <v>117</v>
      </c>
      <c r="H444" s="10">
        <f t="shared" si="12"/>
        <v>0.50192307692307692</v>
      </c>
      <c r="I444" s="15">
        <f t="shared" si="13"/>
        <v>522</v>
      </c>
    </row>
    <row r="445" spans="1:9" hidden="1" x14ac:dyDescent="0.3">
      <c r="B445" s="5">
        <v>4929</v>
      </c>
      <c r="C445" s="5">
        <v>749</v>
      </c>
      <c r="D445" s="5">
        <v>452</v>
      </c>
      <c r="E445" s="5">
        <v>93651</v>
      </c>
      <c r="F445" s="5">
        <v>92810</v>
      </c>
      <c r="G445" s="5">
        <v>66</v>
      </c>
      <c r="H445" s="10">
        <f t="shared" si="12"/>
        <v>6.5455787978772245E-2</v>
      </c>
      <c r="I445" s="15">
        <f t="shared" si="13"/>
        <v>6130</v>
      </c>
    </row>
    <row r="446" spans="1:9" hidden="1" x14ac:dyDescent="0.3">
      <c r="B446" s="5">
        <v>1878</v>
      </c>
      <c r="C446" s="5">
        <v>62</v>
      </c>
      <c r="D446" s="5">
        <v>179</v>
      </c>
      <c r="E446" s="5">
        <v>37560</v>
      </c>
      <c r="F446" s="5">
        <v>36874</v>
      </c>
      <c r="G446" s="5">
        <v>142</v>
      </c>
      <c r="H446" s="10">
        <f t="shared" si="12"/>
        <v>5.6416400425985093E-2</v>
      </c>
      <c r="I446" s="15">
        <f t="shared" si="13"/>
        <v>2119</v>
      </c>
    </row>
    <row r="447" spans="1:9" x14ac:dyDescent="0.3">
      <c r="A447" s="29" t="s">
        <v>600</v>
      </c>
      <c r="B447" s="52">
        <v>3065</v>
      </c>
      <c r="C447" s="52">
        <v>772</v>
      </c>
      <c r="D447" s="52">
        <v>142</v>
      </c>
      <c r="E447" s="52">
        <v>18390</v>
      </c>
      <c r="F447" s="52">
        <v>17875</v>
      </c>
      <c r="G447" s="52">
        <v>200</v>
      </c>
      <c r="H447" s="32">
        <f t="shared" si="12"/>
        <v>0.21636759108210984</v>
      </c>
      <c r="I447" s="31">
        <f t="shared" si="13"/>
        <v>3979</v>
      </c>
    </row>
    <row r="448" spans="1:9" hidden="1" x14ac:dyDescent="0.3">
      <c r="B448" s="5">
        <v>3256</v>
      </c>
      <c r="C448" s="5">
        <v>459</v>
      </c>
      <c r="D448" s="5">
        <v>266</v>
      </c>
      <c r="E448" s="5">
        <v>26048</v>
      </c>
      <c r="F448" s="5">
        <v>25529</v>
      </c>
      <c r="G448" s="5">
        <v>143</v>
      </c>
      <c r="H448" s="10">
        <f t="shared" si="12"/>
        <v>0.15283323095823095</v>
      </c>
      <c r="I448" s="15">
        <f t="shared" si="13"/>
        <v>3981</v>
      </c>
    </row>
    <row r="449" spans="2:9" hidden="1" x14ac:dyDescent="0.3">
      <c r="B449" s="5">
        <v>4133</v>
      </c>
      <c r="C449" s="5">
        <v>466</v>
      </c>
      <c r="D449" s="5">
        <v>327</v>
      </c>
      <c r="E449" s="5">
        <v>24798</v>
      </c>
      <c r="F449" s="5">
        <v>24620</v>
      </c>
      <c r="G449" s="5">
        <v>176</v>
      </c>
      <c r="H449" s="10">
        <f t="shared" si="12"/>
        <v>0.19864505202032423</v>
      </c>
      <c r="I449" s="15">
        <f t="shared" si="13"/>
        <v>4926</v>
      </c>
    </row>
    <row r="450" spans="2:9" hidden="1" x14ac:dyDescent="0.3">
      <c r="B450" s="5">
        <v>1702</v>
      </c>
      <c r="C450" s="5">
        <v>750</v>
      </c>
      <c r="D450" s="5">
        <v>179</v>
      </c>
      <c r="E450" s="5">
        <v>34040</v>
      </c>
      <c r="F450" s="5">
        <v>33174</v>
      </c>
      <c r="G450" s="5">
        <v>76</v>
      </c>
      <c r="H450" s="10">
        <f t="shared" ref="H450:H513" si="14">(B450+C450+D450)/E450</f>
        <v>7.7291421856639245E-2</v>
      </c>
      <c r="I450" s="15">
        <f t="shared" ref="I450:I513" si="15">B450+C450+D450</f>
        <v>2631</v>
      </c>
    </row>
    <row r="451" spans="2:9" hidden="1" x14ac:dyDescent="0.3">
      <c r="B451" s="5">
        <v>4295</v>
      </c>
      <c r="C451" s="5">
        <v>853</v>
      </c>
      <c r="D451" s="5">
        <v>325</v>
      </c>
      <c r="E451" s="5">
        <v>85900</v>
      </c>
      <c r="F451" s="5">
        <v>85788</v>
      </c>
      <c r="G451" s="5">
        <v>290</v>
      </c>
      <c r="H451" s="10">
        <f t="shared" si="14"/>
        <v>6.3713620488940623E-2</v>
      </c>
      <c r="I451" s="15">
        <f t="shared" si="15"/>
        <v>5473</v>
      </c>
    </row>
    <row r="452" spans="2:9" hidden="1" x14ac:dyDescent="0.3">
      <c r="B452" s="5">
        <v>3559</v>
      </c>
      <c r="C452" s="5">
        <v>59</v>
      </c>
      <c r="D452" s="5">
        <v>289</v>
      </c>
      <c r="E452" s="5">
        <v>35590</v>
      </c>
      <c r="F452" s="5">
        <v>35105</v>
      </c>
      <c r="G452" s="5">
        <v>122</v>
      </c>
      <c r="H452" s="10">
        <f t="shared" si="14"/>
        <v>0.10977802753582468</v>
      </c>
      <c r="I452" s="15">
        <f t="shared" si="15"/>
        <v>3907</v>
      </c>
    </row>
    <row r="453" spans="2:9" hidden="1" x14ac:dyDescent="0.3">
      <c r="B453" s="5">
        <v>4804</v>
      </c>
      <c r="C453" s="5">
        <v>550</v>
      </c>
      <c r="D453" s="5">
        <v>270</v>
      </c>
      <c r="E453" s="5">
        <v>28824</v>
      </c>
      <c r="F453" s="5">
        <v>28370</v>
      </c>
      <c r="G453" s="5">
        <v>47</v>
      </c>
      <c r="H453" s="10">
        <f t="shared" si="14"/>
        <v>0.19511518179295032</v>
      </c>
      <c r="I453" s="15">
        <f t="shared" si="15"/>
        <v>5624</v>
      </c>
    </row>
    <row r="454" spans="2:9" hidden="1" x14ac:dyDescent="0.3">
      <c r="B454" s="5">
        <v>754</v>
      </c>
      <c r="C454" s="5">
        <v>197</v>
      </c>
      <c r="D454" s="5">
        <v>257</v>
      </c>
      <c r="E454" s="5">
        <v>6786</v>
      </c>
      <c r="F454" s="5">
        <v>6221</v>
      </c>
      <c r="G454" s="5">
        <v>212</v>
      </c>
      <c r="H454" s="10">
        <f t="shared" si="14"/>
        <v>0.17801355732390214</v>
      </c>
      <c r="I454" s="15">
        <f t="shared" si="15"/>
        <v>1208</v>
      </c>
    </row>
    <row r="455" spans="2:9" hidden="1" x14ac:dyDescent="0.3">
      <c r="B455" s="5">
        <v>985</v>
      </c>
      <c r="C455" s="5">
        <v>932</v>
      </c>
      <c r="D455" s="5">
        <v>287</v>
      </c>
      <c r="E455" s="5">
        <v>6895</v>
      </c>
      <c r="F455" s="5">
        <v>6757</v>
      </c>
      <c r="G455" s="5">
        <v>64</v>
      </c>
      <c r="H455" s="10">
        <f t="shared" si="14"/>
        <v>0.31965192168237855</v>
      </c>
      <c r="I455" s="15">
        <f t="shared" si="15"/>
        <v>2204</v>
      </c>
    </row>
    <row r="456" spans="2:9" hidden="1" x14ac:dyDescent="0.3">
      <c r="B456" s="5">
        <v>2283</v>
      </c>
      <c r="C456" s="5">
        <v>210</v>
      </c>
      <c r="D456" s="5">
        <v>130</v>
      </c>
      <c r="E456" s="5">
        <v>22830</v>
      </c>
      <c r="F456" s="5">
        <v>22617</v>
      </c>
      <c r="G456" s="5">
        <v>143</v>
      </c>
      <c r="H456" s="10">
        <f t="shared" si="14"/>
        <v>0.11489268506351293</v>
      </c>
      <c r="I456" s="15">
        <f t="shared" si="15"/>
        <v>2623</v>
      </c>
    </row>
    <row r="457" spans="2:9" hidden="1" x14ac:dyDescent="0.3">
      <c r="B457" s="5">
        <v>3352</v>
      </c>
      <c r="C457" s="5">
        <v>941</v>
      </c>
      <c r="D457" s="5">
        <v>482</v>
      </c>
      <c r="E457" s="5">
        <v>43576</v>
      </c>
      <c r="F457" s="5">
        <v>43338</v>
      </c>
      <c r="G457" s="5">
        <v>240</v>
      </c>
      <c r="H457" s="10">
        <f t="shared" si="14"/>
        <v>0.1095786671562328</v>
      </c>
      <c r="I457" s="15">
        <f t="shared" si="15"/>
        <v>4775</v>
      </c>
    </row>
    <row r="458" spans="2:9" hidden="1" x14ac:dyDescent="0.3">
      <c r="B458" s="5">
        <v>4775</v>
      </c>
      <c r="C458" s="5">
        <v>173</v>
      </c>
      <c r="D458" s="5">
        <v>206</v>
      </c>
      <c r="E458" s="5">
        <v>47750</v>
      </c>
      <c r="F458" s="5">
        <v>47544</v>
      </c>
      <c r="G458" s="5">
        <v>187</v>
      </c>
      <c r="H458" s="10">
        <f t="shared" si="14"/>
        <v>0.10793717277486911</v>
      </c>
      <c r="I458" s="15">
        <f t="shared" si="15"/>
        <v>5154</v>
      </c>
    </row>
    <row r="459" spans="2:9" hidden="1" x14ac:dyDescent="0.3">
      <c r="B459" s="5">
        <v>1762</v>
      </c>
      <c r="C459" s="5">
        <v>405</v>
      </c>
      <c r="D459" s="5">
        <v>423</v>
      </c>
      <c r="E459" s="5">
        <v>22906</v>
      </c>
      <c r="F459" s="5">
        <v>21925</v>
      </c>
      <c r="G459" s="5">
        <v>25</v>
      </c>
      <c r="H459" s="10">
        <f t="shared" si="14"/>
        <v>0.11307081114118571</v>
      </c>
      <c r="I459" s="15">
        <f t="shared" si="15"/>
        <v>2590</v>
      </c>
    </row>
    <row r="460" spans="2:9" hidden="1" x14ac:dyDescent="0.3">
      <c r="B460" s="5">
        <v>2120</v>
      </c>
      <c r="C460" s="5">
        <v>158</v>
      </c>
      <c r="D460" s="5">
        <v>488</v>
      </c>
      <c r="E460" s="5">
        <v>12720</v>
      </c>
      <c r="F460" s="5">
        <v>12085</v>
      </c>
      <c r="G460" s="5">
        <v>17</v>
      </c>
      <c r="H460" s="10">
        <f t="shared" si="14"/>
        <v>0.21745283018867925</v>
      </c>
      <c r="I460" s="15">
        <f t="shared" si="15"/>
        <v>2766</v>
      </c>
    </row>
    <row r="461" spans="2:9" hidden="1" x14ac:dyDescent="0.3">
      <c r="B461" s="5">
        <v>1082</v>
      </c>
      <c r="C461" s="5">
        <v>209</v>
      </c>
      <c r="D461" s="5">
        <v>484</v>
      </c>
      <c r="E461" s="5">
        <v>19476</v>
      </c>
      <c r="F461" s="5">
        <v>18654</v>
      </c>
      <c r="G461" s="5">
        <v>20</v>
      </c>
      <c r="H461" s="10">
        <f t="shared" si="14"/>
        <v>9.1137810638734856E-2</v>
      </c>
      <c r="I461" s="15">
        <f t="shared" si="15"/>
        <v>1775</v>
      </c>
    </row>
    <row r="462" spans="2:9" hidden="1" x14ac:dyDescent="0.3">
      <c r="B462" s="5">
        <v>4671</v>
      </c>
      <c r="C462" s="5">
        <v>876</v>
      </c>
      <c r="D462" s="5">
        <v>366</v>
      </c>
      <c r="E462" s="5">
        <v>51381</v>
      </c>
      <c r="F462" s="5">
        <v>50565</v>
      </c>
      <c r="G462" s="5">
        <v>245</v>
      </c>
      <c r="H462" s="10">
        <f t="shared" si="14"/>
        <v>0.11508145034156594</v>
      </c>
      <c r="I462" s="15">
        <f t="shared" si="15"/>
        <v>5913</v>
      </c>
    </row>
    <row r="463" spans="2:9" hidden="1" x14ac:dyDescent="0.3">
      <c r="B463" s="5">
        <v>3430</v>
      </c>
      <c r="C463" s="5">
        <v>566</v>
      </c>
      <c r="D463" s="5">
        <v>164</v>
      </c>
      <c r="E463" s="5">
        <v>48020</v>
      </c>
      <c r="F463" s="5">
        <v>47305</v>
      </c>
      <c r="G463" s="5">
        <v>120</v>
      </c>
      <c r="H463" s="10">
        <f t="shared" si="14"/>
        <v>8.6630570595585168E-2</v>
      </c>
      <c r="I463" s="15">
        <f t="shared" si="15"/>
        <v>4160</v>
      </c>
    </row>
    <row r="464" spans="2:9" hidden="1" x14ac:dyDescent="0.3">
      <c r="B464" s="5">
        <v>4501</v>
      </c>
      <c r="C464" s="5">
        <v>375</v>
      </c>
      <c r="D464" s="5">
        <v>323</v>
      </c>
      <c r="E464" s="5">
        <v>22505</v>
      </c>
      <c r="F464" s="5">
        <v>21836</v>
      </c>
      <c r="G464" s="5">
        <v>132</v>
      </c>
      <c r="H464" s="10">
        <f t="shared" si="14"/>
        <v>0.23101532992668297</v>
      </c>
      <c r="I464" s="15">
        <f t="shared" si="15"/>
        <v>5199</v>
      </c>
    </row>
    <row r="465" spans="1:9" x14ac:dyDescent="0.3">
      <c r="A465" s="29" t="s">
        <v>600</v>
      </c>
      <c r="B465" s="52">
        <v>4934</v>
      </c>
      <c r="C465" s="52">
        <v>971</v>
      </c>
      <c r="D465" s="52">
        <v>156</v>
      </c>
      <c r="E465" s="52">
        <v>39472</v>
      </c>
      <c r="F465" s="52">
        <v>39025</v>
      </c>
      <c r="G465" s="52">
        <v>169</v>
      </c>
      <c r="H465" s="32">
        <f t="shared" si="14"/>
        <v>0.15355188488042157</v>
      </c>
      <c r="I465" s="31">
        <f t="shared" si="15"/>
        <v>6061</v>
      </c>
    </row>
    <row r="466" spans="1:9" hidden="1" x14ac:dyDescent="0.3">
      <c r="B466" s="5">
        <v>3239</v>
      </c>
      <c r="C466" s="5">
        <v>43</v>
      </c>
      <c r="D466" s="5">
        <v>211</v>
      </c>
      <c r="E466" s="5">
        <v>22673</v>
      </c>
      <c r="F466" s="5">
        <v>22171</v>
      </c>
      <c r="G466" s="5">
        <v>230</v>
      </c>
      <c r="H466" s="10">
        <f t="shared" si="14"/>
        <v>0.15405989502933004</v>
      </c>
      <c r="I466" s="15">
        <f t="shared" si="15"/>
        <v>3493</v>
      </c>
    </row>
    <row r="467" spans="1:9" hidden="1" x14ac:dyDescent="0.3">
      <c r="B467" s="5">
        <v>1076</v>
      </c>
      <c r="C467" s="5">
        <v>313</v>
      </c>
      <c r="D467" s="5">
        <v>306</v>
      </c>
      <c r="E467" s="5">
        <v>11836</v>
      </c>
      <c r="F467" s="5">
        <v>11596</v>
      </c>
      <c r="G467" s="5">
        <v>104</v>
      </c>
      <c r="H467" s="10">
        <f t="shared" si="14"/>
        <v>0.14320716458262928</v>
      </c>
      <c r="I467" s="15">
        <f t="shared" si="15"/>
        <v>1695</v>
      </c>
    </row>
    <row r="468" spans="1:9" hidden="1" x14ac:dyDescent="0.3">
      <c r="B468" s="5">
        <v>4771</v>
      </c>
      <c r="C468" s="5">
        <v>818</v>
      </c>
      <c r="D468" s="5">
        <v>56</v>
      </c>
      <c r="E468" s="5">
        <v>57252</v>
      </c>
      <c r="F468" s="5">
        <v>56378</v>
      </c>
      <c r="G468" s="5">
        <v>150</v>
      </c>
      <c r="H468" s="10">
        <f t="shared" si="14"/>
        <v>9.859917557465242E-2</v>
      </c>
      <c r="I468" s="15">
        <f t="shared" si="15"/>
        <v>5645</v>
      </c>
    </row>
    <row r="469" spans="1:9" hidden="1" x14ac:dyDescent="0.3">
      <c r="B469" s="5">
        <v>2418</v>
      </c>
      <c r="C469" s="5">
        <v>754</v>
      </c>
      <c r="D469" s="5">
        <v>54</v>
      </c>
      <c r="E469" s="5">
        <v>43524</v>
      </c>
      <c r="F469" s="5">
        <v>42743</v>
      </c>
      <c r="G469" s="5">
        <v>182</v>
      </c>
      <c r="H469" s="10">
        <f t="shared" si="14"/>
        <v>7.412002573292896E-2</v>
      </c>
      <c r="I469" s="15">
        <f t="shared" si="15"/>
        <v>3226</v>
      </c>
    </row>
    <row r="470" spans="1:9" hidden="1" x14ac:dyDescent="0.3">
      <c r="B470" s="5">
        <v>3809</v>
      </c>
      <c r="C470" s="5">
        <v>273</v>
      </c>
      <c r="D470" s="5">
        <v>200</v>
      </c>
      <c r="E470" s="5">
        <v>34281</v>
      </c>
      <c r="F470" s="5">
        <v>33534</v>
      </c>
      <c r="G470" s="5">
        <v>83</v>
      </c>
      <c r="H470" s="10">
        <f t="shared" si="14"/>
        <v>0.12490884163239112</v>
      </c>
      <c r="I470" s="15">
        <f t="shared" si="15"/>
        <v>4282</v>
      </c>
    </row>
    <row r="471" spans="1:9" hidden="1" x14ac:dyDescent="0.3">
      <c r="B471" s="5">
        <v>3577</v>
      </c>
      <c r="C471" s="5">
        <v>596</v>
      </c>
      <c r="D471" s="5">
        <v>493</v>
      </c>
      <c r="E471" s="5">
        <v>67963</v>
      </c>
      <c r="F471" s="5">
        <v>67839</v>
      </c>
      <c r="G471" s="5">
        <v>53</v>
      </c>
      <c r="H471" s="10">
        <f t="shared" si="14"/>
        <v>6.8655003457763777E-2</v>
      </c>
      <c r="I471" s="15">
        <f t="shared" si="15"/>
        <v>4666</v>
      </c>
    </row>
    <row r="472" spans="1:9" hidden="1" x14ac:dyDescent="0.3">
      <c r="B472" s="5">
        <v>1018</v>
      </c>
      <c r="C472" s="5">
        <v>447</v>
      </c>
      <c r="D472" s="5">
        <v>332</v>
      </c>
      <c r="E472" s="5">
        <v>18324</v>
      </c>
      <c r="F472" s="5">
        <v>18164</v>
      </c>
      <c r="G472" s="5">
        <v>38</v>
      </c>
      <c r="H472" s="10">
        <f t="shared" si="14"/>
        <v>9.8068107400130972E-2</v>
      </c>
      <c r="I472" s="15">
        <f t="shared" si="15"/>
        <v>1797</v>
      </c>
    </row>
    <row r="473" spans="1:9" hidden="1" x14ac:dyDescent="0.3">
      <c r="B473" s="5">
        <v>3073</v>
      </c>
      <c r="C473" s="5">
        <v>553</v>
      </c>
      <c r="D473" s="5">
        <v>174</v>
      </c>
      <c r="E473" s="5">
        <v>52241</v>
      </c>
      <c r="F473" s="5">
        <v>51605</v>
      </c>
      <c r="G473" s="5">
        <v>246</v>
      </c>
      <c r="H473" s="10">
        <f t="shared" si="14"/>
        <v>7.2739802071170159E-2</v>
      </c>
      <c r="I473" s="15">
        <f t="shared" si="15"/>
        <v>3800</v>
      </c>
    </row>
    <row r="474" spans="1:9" hidden="1" x14ac:dyDescent="0.3">
      <c r="B474" s="5">
        <v>1330</v>
      </c>
      <c r="C474" s="5">
        <v>925</v>
      </c>
      <c r="D474" s="5">
        <v>35</v>
      </c>
      <c r="E474" s="5">
        <v>15960</v>
      </c>
      <c r="F474" s="5">
        <v>15379</v>
      </c>
      <c r="G474" s="5">
        <v>229</v>
      </c>
      <c r="H474" s="10">
        <f t="shared" si="14"/>
        <v>0.14348370927318296</v>
      </c>
      <c r="I474" s="15">
        <f t="shared" si="15"/>
        <v>2290</v>
      </c>
    </row>
    <row r="475" spans="1:9" hidden="1" x14ac:dyDescent="0.3">
      <c r="B475" s="5">
        <v>3828</v>
      </c>
      <c r="C475" s="5">
        <v>148</v>
      </c>
      <c r="D475" s="5">
        <v>253</v>
      </c>
      <c r="E475" s="5">
        <v>30624</v>
      </c>
      <c r="F475" s="5">
        <v>30229</v>
      </c>
      <c r="G475" s="5">
        <v>235</v>
      </c>
      <c r="H475" s="10">
        <f t="shared" si="14"/>
        <v>0.13809430512016718</v>
      </c>
      <c r="I475" s="15">
        <f t="shared" si="15"/>
        <v>4229</v>
      </c>
    </row>
    <row r="476" spans="1:9" hidden="1" x14ac:dyDescent="0.3">
      <c r="B476" s="5">
        <v>142</v>
      </c>
      <c r="C476" s="5">
        <v>784</v>
      </c>
      <c r="D476" s="5">
        <v>183</v>
      </c>
      <c r="E476" s="5">
        <v>1704</v>
      </c>
      <c r="F476" s="5">
        <v>995</v>
      </c>
      <c r="G476" s="5">
        <v>154</v>
      </c>
      <c r="H476" s="10">
        <f t="shared" si="14"/>
        <v>0.6508215962441315</v>
      </c>
      <c r="I476" s="15">
        <f t="shared" si="15"/>
        <v>1109</v>
      </c>
    </row>
    <row r="477" spans="1:9" hidden="1" x14ac:dyDescent="0.3">
      <c r="B477" s="5">
        <v>3798</v>
      </c>
      <c r="C477" s="5">
        <v>31</v>
      </c>
      <c r="D477" s="5">
        <v>279</v>
      </c>
      <c r="E477" s="5">
        <v>75960</v>
      </c>
      <c r="F477" s="5">
        <v>75813</v>
      </c>
      <c r="G477" s="5">
        <v>266</v>
      </c>
      <c r="H477" s="10">
        <f t="shared" si="14"/>
        <v>5.4081095313322801E-2</v>
      </c>
      <c r="I477" s="15">
        <f t="shared" si="15"/>
        <v>4108</v>
      </c>
    </row>
    <row r="478" spans="1:9" hidden="1" x14ac:dyDescent="0.3">
      <c r="B478" s="5">
        <v>3099</v>
      </c>
      <c r="C478" s="5">
        <v>694</v>
      </c>
      <c r="D478" s="5">
        <v>171</v>
      </c>
      <c r="E478" s="5">
        <v>43386</v>
      </c>
      <c r="F478" s="5">
        <v>42921</v>
      </c>
      <c r="G478" s="5">
        <v>52</v>
      </c>
      <c r="H478" s="10">
        <f t="shared" si="14"/>
        <v>9.1365878393951966E-2</v>
      </c>
      <c r="I478" s="15">
        <f t="shared" si="15"/>
        <v>3964</v>
      </c>
    </row>
    <row r="479" spans="1:9" hidden="1" x14ac:dyDescent="0.3">
      <c r="B479" s="5">
        <v>129</v>
      </c>
      <c r="C479" s="5">
        <v>643</v>
      </c>
      <c r="D479" s="5">
        <v>136</v>
      </c>
      <c r="E479" s="5">
        <v>1290</v>
      </c>
      <c r="F479" s="5">
        <v>839</v>
      </c>
      <c r="G479" s="5">
        <v>238</v>
      </c>
      <c r="H479" s="10">
        <f t="shared" si="14"/>
        <v>0.70387596899224802</v>
      </c>
      <c r="I479" s="15">
        <f t="shared" si="15"/>
        <v>908</v>
      </c>
    </row>
    <row r="480" spans="1:9" hidden="1" x14ac:dyDescent="0.3">
      <c r="B480" s="5">
        <v>3796</v>
      </c>
      <c r="C480" s="5">
        <v>667</v>
      </c>
      <c r="D480" s="5">
        <v>395</v>
      </c>
      <c r="E480" s="5">
        <v>64532</v>
      </c>
      <c r="F480" s="5">
        <v>63550</v>
      </c>
      <c r="G480" s="5">
        <v>292</v>
      </c>
      <c r="H480" s="10">
        <f t="shared" si="14"/>
        <v>7.5280481001673588E-2</v>
      </c>
      <c r="I480" s="15">
        <f t="shared" si="15"/>
        <v>4858</v>
      </c>
    </row>
    <row r="481" spans="1:9" hidden="1" x14ac:dyDescent="0.3">
      <c r="B481" s="5">
        <v>3711</v>
      </c>
      <c r="C481" s="5">
        <v>352</v>
      </c>
      <c r="D481" s="5">
        <v>290</v>
      </c>
      <c r="E481" s="5">
        <v>48243</v>
      </c>
      <c r="F481" s="5">
        <v>47579</v>
      </c>
      <c r="G481" s="5">
        <v>11</v>
      </c>
      <c r="H481" s="10">
        <f t="shared" si="14"/>
        <v>9.023070704558174E-2</v>
      </c>
      <c r="I481" s="15">
        <f t="shared" si="15"/>
        <v>4353</v>
      </c>
    </row>
    <row r="482" spans="1:9" hidden="1" x14ac:dyDescent="0.3">
      <c r="B482" s="5">
        <v>606</v>
      </c>
      <c r="C482" s="5">
        <v>789</v>
      </c>
      <c r="D482" s="5">
        <v>470</v>
      </c>
      <c r="E482" s="5">
        <v>7878</v>
      </c>
      <c r="F482" s="5">
        <v>7389</v>
      </c>
      <c r="G482" s="5">
        <v>239</v>
      </c>
      <c r="H482" s="10">
        <f t="shared" si="14"/>
        <v>0.23673521198273673</v>
      </c>
      <c r="I482" s="15">
        <f t="shared" si="15"/>
        <v>1865</v>
      </c>
    </row>
    <row r="483" spans="1:9" hidden="1" x14ac:dyDescent="0.3">
      <c r="B483" s="5">
        <v>4689</v>
      </c>
      <c r="C483" s="5">
        <v>134</v>
      </c>
      <c r="D483" s="5">
        <v>403</v>
      </c>
      <c r="E483" s="5">
        <v>51579</v>
      </c>
      <c r="F483" s="5">
        <v>50924</v>
      </c>
      <c r="G483" s="5">
        <v>173</v>
      </c>
      <c r="H483" s="10">
        <f t="shared" si="14"/>
        <v>0.10132030477519921</v>
      </c>
      <c r="I483" s="15">
        <f t="shared" si="15"/>
        <v>5226</v>
      </c>
    </row>
    <row r="484" spans="1:9" hidden="1" x14ac:dyDescent="0.3">
      <c r="B484" s="5">
        <v>360</v>
      </c>
      <c r="C484" s="5">
        <v>590</v>
      </c>
      <c r="D484" s="5">
        <v>393</v>
      </c>
      <c r="E484" s="5">
        <v>4680</v>
      </c>
      <c r="F484" s="5">
        <v>4322</v>
      </c>
      <c r="G484" s="5">
        <v>208</v>
      </c>
      <c r="H484" s="10">
        <f t="shared" si="14"/>
        <v>0.28696581196581195</v>
      </c>
      <c r="I484" s="15">
        <f t="shared" si="15"/>
        <v>1343</v>
      </c>
    </row>
    <row r="485" spans="1:9" hidden="1" x14ac:dyDescent="0.3">
      <c r="B485" s="5">
        <v>3215</v>
      </c>
      <c r="C485" s="5">
        <v>960</v>
      </c>
      <c r="D485" s="5">
        <v>202</v>
      </c>
      <c r="E485" s="5">
        <v>32150</v>
      </c>
      <c r="F485" s="5">
        <v>31404</v>
      </c>
      <c r="G485" s="5">
        <v>251</v>
      </c>
      <c r="H485" s="10">
        <f t="shared" si="14"/>
        <v>0.13614307931570763</v>
      </c>
      <c r="I485" s="15">
        <f t="shared" si="15"/>
        <v>4377</v>
      </c>
    </row>
    <row r="486" spans="1:9" hidden="1" x14ac:dyDescent="0.3">
      <c r="B486" s="5">
        <v>4523</v>
      </c>
      <c r="C486" s="5">
        <v>61</v>
      </c>
      <c r="D486" s="5">
        <v>157</v>
      </c>
      <c r="E486" s="5">
        <v>49753</v>
      </c>
      <c r="F486" s="5">
        <v>49329</v>
      </c>
      <c r="G486" s="5">
        <v>71</v>
      </c>
      <c r="H486" s="10">
        <f t="shared" si="14"/>
        <v>9.5290736237010829E-2</v>
      </c>
      <c r="I486" s="15">
        <f t="shared" si="15"/>
        <v>4741</v>
      </c>
    </row>
    <row r="487" spans="1:9" hidden="1" x14ac:dyDescent="0.3">
      <c r="B487" s="5">
        <v>4292</v>
      </c>
      <c r="C487" s="5">
        <v>51</v>
      </c>
      <c r="D487" s="5">
        <v>392</v>
      </c>
      <c r="E487" s="5">
        <v>55796</v>
      </c>
      <c r="F487" s="5">
        <v>54826</v>
      </c>
      <c r="G487" s="5">
        <v>264</v>
      </c>
      <c r="H487" s="10">
        <f t="shared" si="14"/>
        <v>8.4862714173059003E-2</v>
      </c>
      <c r="I487" s="15">
        <f t="shared" si="15"/>
        <v>4735</v>
      </c>
    </row>
    <row r="488" spans="1:9" hidden="1" x14ac:dyDescent="0.3">
      <c r="B488" s="5">
        <v>1644</v>
      </c>
      <c r="C488" s="5">
        <v>546</v>
      </c>
      <c r="D488" s="5">
        <v>150</v>
      </c>
      <c r="E488" s="5">
        <v>27948</v>
      </c>
      <c r="F488" s="5">
        <v>27184</v>
      </c>
      <c r="G488" s="5">
        <v>300</v>
      </c>
      <c r="H488" s="10">
        <f t="shared" si="14"/>
        <v>8.3726921425504502E-2</v>
      </c>
      <c r="I488" s="15">
        <f t="shared" si="15"/>
        <v>2340</v>
      </c>
    </row>
    <row r="489" spans="1:9" hidden="1" x14ac:dyDescent="0.3">
      <c r="B489" s="5">
        <v>2728</v>
      </c>
      <c r="C489" s="5">
        <v>533</v>
      </c>
      <c r="D489" s="5">
        <v>215</v>
      </c>
      <c r="E489" s="5">
        <v>40920</v>
      </c>
      <c r="F489" s="5">
        <v>40816</v>
      </c>
      <c r="G489" s="5">
        <v>137</v>
      </c>
      <c r="H489" s="10">
        <f t="shared" si="14"/>
        <v>8.4946236559139784E-2</v>
      </c>
      <c r="I489" s="15">
        <f t="shared" si="15"/>
        <v>3476</v>
      </c>
    </row>
    <row r="490" spans="1:9" hidden="1" x14ac:dyDescent="0.3">
      <c r="B490" s="5">
        <v>3360</v>
      </c>
      <c r="C490" s="5">
        <v>525</v>
      </c>
      <c r="D490" s="5">
        <v>500</v>
      </c>
      <c r="E490" s="5">
        <v>60480</v>
      </c>
      <c r="F490" s="5">
        <v>59610</v>
      </c>
      <c r="G490" s="5">
        <v>192</v>
      </c>
      <c r="H490" s="10">
        <f t="shared" si="14"/>
        <v>7.2503306878306875E-2</v>
      </c>
      <c r="I490" s="15">
        <f t="shared" si="15"/>
        <v>4385</v>
      </c>
    </row>
    <row r="491" spans="1:9" hidden="1" x14ac:dyDescent="0.3">
      <c r="B491" s="5">
        <v>1963</v>
      </c>
      <c r="C491" s="5">
        <v>213</v>
      </c>
      <c r="D491" s="5">
        <v>19</v>
      </c>
      <c r="E491" s="5">
        <v>39260</v>
      </c>
      <c r="F491" s="5">
        <v>38771</v>
      </c>
      <c r="G491" s="5">
        <v>145</v>
      </c>
      <c r="H491" s="10">
        <f t="shared" si="14"/>
        <v>5.5909322465613857E-2</v>
      </c>
      <c r="I491" s="15">
        <f t="shared" si="15"/>
        <v>2195</v>
      </c>
    </row>
    <row r="492" spans="1:9" hidden="1" x14ac:dyDescent="0.3">
      <c r="B492" s="5">
        <v>4285</v>
      </c>
      <c r="C492" s="5">
        <v>886</v>
      </c>
      <c r="D492" s="5">
        <v>376</v>
      </c>
      <c r="E492" s="5">
        <v>55705</v>
      </c>
      <c r="F492" s="5">
        <v>55556</v>
      </c>
      <c r="G492" s="5">
        <v>51</v>
      </c>
      <c r="H492" s="10">
        <f t="shared" si="14"/>
        <v>9.9578134817341346E-2</v>
      </c>
      <c r="I492" s="15">
        <f t="shared" si="15"/>
        <v>5547</v>
      </c>
    </row>
    <row r="493" spans="1:9" hidden="1" x14ac:dyDescent="0.3">
      <c r="B493" s="5">
        <v>1176</v>
      </c>
      <c r="C493" s="5">
        <v>464</v>
      </c>
      <c r="D493" s="5">
        <v>394</v>
      </c>
      <c r="E493" s="5">
        <v>14112</v>
      </c>
      <c r="F493" s="5">
        <v>13588</v>
      </c>
      <c r="G493" s="5">
        <v>272</v>
      </c>
      <c r="H493" s="10">
        <f t="shared" si="14"/>
        <v>0.1441326530612245</v>
      </c>
      <c r="I493" s="15">
        <f t="shared" si="15"/>
        <v>2034</v>
      </c>
    </row>
    <row r="494" spans="1:9" hidden="1" x14ac:dyDescent="0.3">
      <c r="B494" s="5">
        <v>4858</v>
      </c>
      <c r="C494" s="5">
        <v>317</v>
      </c>
      <c r="D494" s="5">
        <v>129</v>
      </c>
      <c r="E494" s="5">
        <v>53438</v>
      </c>
      <c r="F494" s="5">
        <v>52687</v>
      </c>
      <c r="G494" s="5">
        <v>223</v>
      </c>
      <c r="H494" s="10">
        <f t="shared" si="14"/>
        <v>9.9255211647142488E-2</v>
      </c>
      <c r="I494" s="15">
        <f t="shared" si="15"/>
        <v>5304</v>
      </c>
    </row>
    <row r="495" spans="1:9" hidden="1" x14ac:dyDescent="0.3">
      <c r="B495" s="5">
        <v>4350</v>
      </c>
      <c r="C495" s="5">
        <v>771</v>
      </c>
      <c r="D495" s="5">
        <v>7</v>
      </c>
      <c r="E495" s="5">
        <v>60900</v>
      </c>
      <c r="F495" s="5">
        <v>60592</v>
      </c>
      <c r="G495" s="5">
        <v>195</v>
      </c>
      <c r="H495" s="10">
        <f t="shared" si="14"/>
        <v>8.4203612479474554E-2</v>
      </c>
      <c r="I495" s="15">
        <f t="shared" si="15"/>
        <v>5128</v>
      </c>
    </row>
    <row r="496" spans="1:9" x14ac:dyDescent="0.3">
      <c r="A496" s="29" t="s">
        <v>27</v>
      </c>
      <c r="B496" s="52">
        <v>914</v>
      </c>
      <c r="C496" s="52">
        <v>464</v>
      </c>
      <c r="D496" s="52">
        <v>246</v>
      </c>
      <c r="E496" s="52">
        <v>11882</v>
      </c>
      <c r="F496" s="52">
        <v>11500</v>
      </c>
      <c r="G496" s="52">
        <v>282</v>
      </c>
      <c r="H496" s="32">
        <f t="shared" si="14"/>
        <v>0.13667732704931829</v>
      </c>
      <c r="I496" s="31">
        <f t="shared" si="15"/>
        <v>1624</v>
      </c>
    </row>
    <row r="497" spans="1:9" hidden="1" x14ac:dyDescent="0.3">
      <c r="B497" s="5">
        <v>1813</v>
      </c>
      <c r="C497" s="5">
        <v>623</v>
      </c>
      <c r="D497" s="5">
        <v>72</v>
      </c>
      <c r="E497" s="5">
        <v>19943</v>
      </c>
      <c r="F497" s="5">
        <v>18959</v>
      </c>
      <c r="G497" s="5">
        <v>85</v>
      </c>
      <c r="H497" s="10">
        <f t="shared" si="14"/>
        <v>0.12575841147269717</v>
      </c>
      <c r="I497" s="15">
        <f t="shared" si="15"/>
        <v>2508</v>
      </c>
    </row>
    <row r="498" spans="1:9" hidden="1" x14ac:dyDescent="0.3">
      <c r="B498" s="5">
        <v>4782</v>
      </c>
      <c r="C498" s="5">
        <v>721</v>
      </c>
      <c r="D498" s="5">
        <v>82</v>
      </c>
      <c r="E498" s="5">
        <v>86076</v>
      </c>
      <c r="F498" s="5">
        <v>85339</v>
      </c>
      <c r="G498" s="5">
        <v>19</v>
      </c>
      <c r="H498" s="10">
        <f t="shared" si="14"/>
        <v>6.4884520656164318E-2</v>
      </c>
      <c r="I498" s="15">
        <f t="shared" si="15"/>
        <v>5585</v>
      </c>
    </row>
    <row r="499" spans="1:9" hidden="1" x14ac:dyDescent="0.3">
      <c r="B499" s="5">
        <v>1048</v>
      </c>
      <c r="C499" s="5">
        <v>374</v>
      </c>
      <c r="D499" s="5">
        <v>450</v>
      </c>
      <c r="E499" s="5">
        <v>9432</v>
      </c>
      <c r="F499" s="5">
        <v>8882</v>
      </c>
      <c r="G499" s="5">
        <v>158</v>
      </c>
      <c r="H499" s="10">
        <f t="shared" si="14"/>
        <v>0.19847328244274809</v>
      </c>
      <c r="I499" s="15">
        <f t="shared" si="15"/>
        <v>1872</v>
      </c>
    </row>
    <row r="500" spans="1:9" hidden="1" x14ac:dyDescent="0.3">
      <c r="B500" s="5">
        <v>2509</v>
      </c>
      <c r="C500" s="5">
        <v>324</v>
      </c>
      <c r="D500" s="5">
        <v>171</v>
      </c>
      <c r="E500" s="5">
        <v>35126</v>
      </c>
      <c r="F500" s="5">
        <v>34685</v>
      </c>
      <c r="G500" s="5">
        <v>277</v>
      </c>
      <c r="H500" s="10">
        <f t="shared" si="14"/>
        <v>8.5520696919660646E-2</v>
      </c>
      <c r="I500" s="15">
        <f t="shared" si="15"/>
        <v>3004</v>
      </c>
    </row>
    <row r="501" spans="1:9" hidden="1" x14ac:dyDescent="0.3">
      <c r="B501" s="5">
        <v>3718</v>
      </c>
      <c r="C501" s="5">
        <v>385</v>
      </c>
      <c r="D501" s="5">
        <v>310</v>
      </c>
      <c r="E501" s="5">
        <v>70642</v>
      </c>
      <c r="F501" s="5">
        <v>69749</v>
      </c>
      <c r="G501" s="5">
        <v>233</v>
      </c>
      <c r="H501" s="10">
        <f t="shared" si="14"/>
        <v>6.246991874522239E-2</v>
      </c>
      <c r="I501" s="15">
        <f t="shared" si="15"/>
        <v>4413</v>
      </c>
    </row>
    <row r="502" spans="1:9" hidden="1" x14ac:dyDescent="0.3">
      <c r="B502" s="5">
        <v>802</v>
      </c>
      <c r="C502" s="5">
        <v>262</v>
      </c>
      <c r="D502" s="5">
        <v>244</v>
      </c>
      <c r="E502" s="5">
        <v>14436</v>
      </c>
      <c r="F502" s="5">
        <v>14280</v>
      </c>
      <c r="G502" s="5">
        <v>49</v>
      </c>
      <c r="H502" s="10">
        <f t="shared" si="14"/>
        <v>9.0606816292601824E-2</v>
      </c>
      <c r="I502" s="15">
        <f t="shared" si="15"/>
        <v>1308</v>
      </c>
    </row>
    <row r="503" spans="1:9" hidden="1" x14ac:dyDescent="0.3">
      <c r="B503" s="5">
        <v>1871</v>
      </c>
      <c r="C503" s="5">
        <v>252</v>
      </c>
      <c r="D503" s="5">
        <v>335</v>
      </c>
      <c r="E503" s="5">
        <v>29936</v>
      </c>
      <c r="F503" s="5">
        <v>29576</v>
      </c>
      <c r="G503" s="5">
        <v>288</v>
      </c>
      <c r="H503" s="10">
        <f t="shared" si="14"/>
        <v>8.2108498129342594E-2</v>
      </c>
      <c r="I503" s="15">
        <f t="shared" si="15"/>
        <v>2458</v>
      </c>
    </row>
    <row r="504" spans="1:9" hidden="1" x14ac:dyDescent="0.3">
      <c r="B504" s="5">
        <v>3773</v>
      </c>
      <c r="C504" s="5">
        <v>299</v>
      </c>
      <c r="D504" s="5">
        <v>38</v>
      </c>
      <c r="E504" s="5">
        <v>71687</v>
      </c>
      <c r="F504" s="5">
        <v>71447</v>
      </c>
      <c r="G504" s="5">
        <v>286</v>
      </c>
      <c r="H504" s="10">
        <f t="shared" si="14"/>
        <v>5.7332570758993957E-2</v>
      </c>
      <c r="I504" s="15">
        <f t="shared" si="15"/>
        <v>4110</v>
      </c>
    </row>
    <row r="505" spans="1:9" hidden="1" x14ac:dyDescent="0.3">
      <c r="B505" s="5">
        <v>2234</v>
      </c>
      <c r="C505" s="5">
        <v>653</v>
      </c>
      <c r="D505" s="5">
        <v>432</v>
      </c>
      <c r="E505" s="5">
        <v>11170</v>
      </c>
      <c r="F505" s="5">
        <v>10569</v>
      </c>
      <c r="G505" s="5">
        <v>198</v>
      </c>
      <c r="H505" s="10">
        <f t="shared" si="14"/>
        <v>0.29713518352730528</v>
      </c>
      <c r="I505" s="15">
        <f t="shared" si="15"/>
        <v>3319</v>
      </c>
    </row>
    <row r="506" spans="1:9" x14ac:dyDescent="0.3">
      <c r="A506" s="29" t="s">
        <v>592</v>
      </c>
      <c r="B506" s="52">
        <v>3820</v>
      </c>
      <c r="C506" s="52">
        <v>697</v>
      </c>
      <c r="D506" s="52">
        <v>268</v>
      </c>
      <c r="E506" s="52">
        <v>45840</v>
      </c>
      <c r="F506" s="52">
        <v>45631</v>
      </c>
      <c r="G506" s="52">
        <v>171</v>
      </c>
      <c r="H506" s="32">
        <f t="shared" si="14"/>
        <v>0.1043848167539267</v>
      </c>
      <c r="I506" s="31">
        <f t="shared" si="15"/>
        <v>4785</v>
      </c>
    </row>
    <row r="507" spans="1:9" hidden="1" x14ac:dyDescent="0.3">
      <c r="B507" s="5">
        <v>941</v>
      </c>
      <c r="C507" s="5">
        <v>121</v>
      </c>
      <c r="D507" s="5">
        <v>458</v>
      </c>
      <c r="E507" s="5">
        <v>14115</v>
      </c>
      <c r="F507" s="5">
        <v>13838</v>
      </c>
      <c r="G507" s="5">
        <v>87</v>
      </c>
      <c r="H507" s="10">
        <f t="shared" si="14"/>
        <v>0.10768685795253277</v>
      </c>
      <c r="I507" s="15">
        <f t="shared" si="15"/>
        <v>1520</v>
      </c>
    </row>
    <row r="508" spans="1:9" x14ac:dyDescent="0.3">
      <c r="A508" s="29" t="s">
        <v>592</v>
      </c>
      <c r="B508" s="52">
        <v>4274</v>
      </c>
      <c r="C508" s="52">
        <v>340</v>
      </c>
      <c r="D508" s="52">
        <v>281</v>
      </c>
      <c r="E508" s="52">
        <v>34192</v>
      </c>
      <c r="F508" s="52">
        <v>33446</v>
      </c>
      <c r="G508" s="52">
        <v>129</v>
      </c>
      <c r="H508" s="32">
        <f t="shared" si="14"/>
        <v>0.14316214319138981</v>
      </c>
      <c r="I508" s="31">
        <f t="shared" si="15"/>
        <v>4895</v>
      </c>
    </row>
    <row r="509" spans="1:9" hidden="1" x14ac:dyDescent="0.3">
      <c r="B509" s="5">
        <v>2949</v>
      </c>
      <c r="C509" s="5">
        <v>476</v>
      </c>
      <c r="D509" s="5">
        <v>403</v>
      </c>
      <c r="E509" s="5">
        <v>44235</v>
      </c>
      <c r="F509" s="5">
        <v>43705</v>
      </c>
      <c r="G509" s="5">
        <v>135</v>
      </c>
      <c r="H509" s="10">
        <f t="shared" si="14"/>
        <v>8.6537809426924378E-2</v>
      </c>
      <c r="I509" s="15">
        <f t="shared" si="15"/>
        <v>3828</v>
      </c>
    </row>
    <row r="510" spans="1:9" x14ac:dyDescent="0.3">
      <c r="A510" s="29" t="s">
        <v>600</v>
      </c>
      <c r="B510" s="52">
        <v>3160</v>
      </c>
      <c r="C510" s="52">
        <v>204</v>
      </c>
      <c r="D510" s="52">
        <v>297</v>
      </c>
      <c r="E510" s="52">
        <v>44240</v>
      </c>
      <c r="F510" s="52">
        <v>43666</v>
      </c>
      <c r="G510" s="52">
        <v>49</v>
      </c>
      <c r="H510" s="32">
        <f t="shared" si="14"/>
        <v>8.2753164556962022E-2</v>
      </c>
      <c r="I510" s="31">
        <f t="shared" si="15"/>
        <v>3661</v>
      </c>
    </row>
    <row r="511" spans="1:9" hidden="1" x14ac:dyDescent="0.3">
      <c r="B511" s="5">
        <v>257</v>
      </c>
      <c r="C511" s="5">
        <v>966</v>
      </c>
      <c r="D511" s="5">
        <v>398</v>
      </c>
      <c r="E511" s="5">
        <v>3341</v>
      </c>
      <c r="F511" s="5">
        <v>2753</v>
      </c>
      <c r="G511" s="5">
        <v>287</v>
      </c>
      <c r="H511" s="10">
        <f t="shared" si="14"/>
        <v>0.48518407662376534</v>
      </c>
      <c r="I511" s="15">
        <f t="shared" si="15"/>
        <v>1621</v>
      </c>
    </row>
    <row r="512" spans="1:9" hidden="1" x14ac:dyDescent="0.3">
      <c r="B512" s="5">
        <v>2120</v>
      </c>
      <c r="C512" s="5">
        <v>38</v>
      </c>
      <c r="D512" s="5">
        <v>212</v>
      </c>
      <c r="E512" s="5">
        <v>12720</v>
      </c>
      <c r="F512" s="5">
        <v>12564</v>
      </c>
      <c r="G512" s="5">
        <v>21</v>
      </c>
      <c r="H512" s="10">
        <f t="shared" si="14"/>
        <v>0.18632075471698112</v>
      </c>
      <c r="I512" s="15">
        <f t="shared" si="15"/>
        <v>2370</v>
      </c>
    </row>
    <row r="513" spans="1:9" hidden="1" x14ac:dyDescent="0.3">
      <c r="B513" s="5">
        <v>3874</v>
      </c>
      <c r="C513" s="5">
        <v>884</v>
      </c>
      <c r="D513" s="5">
        <v>19</v>
      </c>
      <c r="E513" s="5">
        <v>38740</v>
      </c>
      <c r="F513" s="5">
        <v>38552</v>
      </c>
      <c r="G513" s="5">
        <v>219</v>
      </c>
      <c r="H513" s="10">
        <f t="shared" si="14"/>
        <v>0.123309241094476</v>
      </c>
      <c r="I513" s="15">
        <f t="shared" si="15"/>
        <v>4777</v>
      </c>
    </row>
    <row r="514" spans="1:9" hidden="1" x14ac:dyDescent="0.3">
      <c r="B514" s="5">
        <v>2696</v>
      </c>
      <c r="C514" s="5">
        <v>628</v>
      </c>
      <c r="D514" s="5">
        <v>443</v>
      </c>
      <c r="E514" s="5">
        <v>45832</v>
      </c>
      <c r="F514" s="5">
        <v>45632</v>
      </c>
      <c r="G514" s="5">
        <v>248</v>
      </c>
      <c r="H514" s="10">
        <f t="shared" ref="H514:H577" si="16">(B514+C514+D514)/E514</f>
        <v>8.21914819340199E-2</v>
      </c>
      <c r="I514" s="15">
        <f t="shared" ref="I514:I577" si="17">B514+C514+D514</f>
        <v>3767</v>
      </c>
    </row>
    <row r="515" spans="1:9" hidden="1" x14ac:dyDescent="0.3">
      <c r="B515" s="5">
        <v>521</v>
      </c>
      <c r="C515" s="5">
        <v>746</v>
      </c>
      <c r="D515" s="5">
        <v>315</v>
      </c>
      <c r="E515" s="5">
        <v>4168</v>
      </c>
      <c r="F515" s="5">
        <v>3399</v>
      </c>
      <c r="G515" s="5">
        <v>282</v>
      </c>
      <c r="H515" s="10">
        <f t="shared" si="16"/>
        <v>0.37955854126679461</v>
      </c>
      <c r="I515" s="15">
        <f t="shared" si="17"/>
        <v>1582</v>
      </c>
    </row>
    <row r="516" spans="1:9" hidden="1" x14ac:dyDescent="0.3">
      <c r="B516" s="5">
        <v>4872</v>
      </c>
      <c r="C516" s="5">
        <v>925</v>
      </c>
      <c r="D516" s="5">
        <v>176</v>
      </c>
      <c r="E516" s="5">
        <v>82824</v>
      </c>
      <c r="F516" s="5">
        <v>82543</v>
      </c>
      <c r="G516" s="5">
        <v>89</v>
      </c>
      <c r="H516" s="10">
        <f t="shared" si="16"/>
        <v>7.2116777745580993E-2</v>
      </c>
      <c r="I516" s="15">
        <f t="shared" si="17"/>
        <v>5973</v>
      </c>
    </row>
    <row r="517" spans="1:9" hidden="1" x14ac:dyDescent="0.3">
      <c r="B517" s="5">
        <v>1509</v>
      </c>
      <c r="C517" s="5">
        <v>88</v>
      </c>
      <c r="D517" s="5">
        <v>163</v>
      </c>
      <c r="E517" s="5">
        <v>30180</v>
      </c>
      <c r="F517" s="5">
        <v>29689</v>
      </c>
      <c r="G517" s="5">
        <v>119</v>
      </c>
      <c r="H517" s="10">
        <f t="shared" si="16"/>
        <v>5.8316766070245198E-2</v>
      </c>
      <c r="I517" s="15">
        <f t="shared" si="17"/>
        <v>1760</v>
      </c>
    </row>
    <row r="518" spans="1:9" hidden="1" x14ac:dyDescent="0.3">
      <c r="B518" s="5">
        <v>4606</v>
      </c>
      <c r="C518" s="5">
        <v>931</v>
      </c>
      <c r="D518" s="5">
        <v>230</v>
      </c>
      <c r="E518" s="5">
        <v>92120</v>
      </c>
      <c r="F518" s="5">
        <v>91440</v>
      </c>
      <c r="G518" s="5">
        <v>56</v>
      </c>
      <c r="H518" s="10">
        <f t="shared" si="16"/>
        <v>6.2603126356925748E-2</v>
      </c>
      <c r="I518" s="15">
        <f t="shared" si="17"/>
        <v>5767</v>
      </c>
    </row>
    <row r="519" spans="1:9" hidden="1" x14ac:dyDescent="0.3">
      <c r="B519" s="5">
        <v>1869</v>
      </c>
      <c r="C519" s="5">
        <v>453</v>
      </c>
      <c r="D519" s="5">
        <v>490</v>
      </c>
      <c r="E519" s="5">
        <v>14952</v>
      </c>
      <c r="F519" s="5">
        <v>14309</v>
      </c>
      <c r="G519" s="5">
        <v>275</v>
      </c>
      <c r="H519" s="10">
        <f t="shared" si="16"/>
        <v>0.18806848582129482</v>
      </c>
      <c r="I519" s="15">
        <f t="shared" si="17"/>
        <v>2812</v>
      </c>
    </row>
    <row r="520" spans="1:9" hidden="1" x14ac:dyDescent="0.3">
      <c r="B520" s="5">
        <v>1188</v>
      </c>
      <c r="C520" s="5">
        <v>470</v>
      </c>
      <c r="D520" s="5">
        <v>174</v>
      </c>
      <c r="E520" s="5">
        <v>7128</v>
      </c>
      <c r="F520" s="5">
        <v>6145</v>
      </c>
      <c r="G520" s="5">
        <v>270</v>
      </c>
      <c r="H520" s="10">
        <f t="shared" si="16"/>
        <v>0.25701459034792368</v>
      </c>
      <c r="I520" s="15">
        <f t="shared" si="17"/>
        <v>1832</v>
      </c>
    </row>
    <row r="521" spans="1:9" hidden="1" x14ac:dyDescent="0.3">
      <c r="B521" s="5">
        <v>84</v>
      </c>
      <c r="C521" s="5">
        <v>897</v>
      </c>
      <c r="D521" s="5">
        <v>85</v>
      </c>
      <c r="E521" s="5">
        <v>588</v>
      </c>
      <c r="F521" s="5">
        <v>8</v>
      </c>
      <c r="G521" s="5">
        <v>12</v>
      </c>
      <c r="H521" s="10">
        <f t="shared" si="16"/>
        <v>1.8129251700680271</v>
      </c>
      <c r="I521" s="15">
        <f t="shared" si="17"/>
        <v>1066</v>
      </c>
    </row>
    <row r="522" spans="1:9" hidden="1" x14ac:dyDescent="0.3">
      <c r="B522" s="5">
        <v>4453</v>
      </c>
      <c r="C522" s="5">
        <v>111</v>
      </c>
      <c r="D522" s="5">
        <v>420</v>
      </c>
      <c r="E522" s="5">
        <v>31171</v>
      </c>
      <c r="F522" s="5">
        <v>30565</v>
      </c>
      <c r="G522" s="5">
        <v>23</v>
      </c>
      <c r="H522" s="10">
        <f t="shared" si="16"/>
        <v>0.15989220750056141</v>
      </c>
      <c r="I522" s="15">
        <f t="shared" si="17"/>
        <v>4984</v>
      </c>
    </row>
    <row r="523" spans="1:9" x14ac:dyDescent="0.3">
      <c r="A523" s="29" t="s">
        <v>592</v>
      </c>
      <c r="B523" s="52">
        <v>1814</v>
      </c>
      <c r="C523" s="52">
        <v>653</v>
      </c>
      <c r="D523" s="52">
        <v>363</v>
      </c>
      <c r="E523" s="52">
        <v>25396</v>
      </c>
      <c r="F523" s="52">
        <v>25286</v>
      </c>
      <c r="G523" s="52">
        <v>39</v>
      </c>
      <c r="H523" s="32">
        <f t="shared" si="16"/>
        <v>0.11143487163332809</v>
      </c>
      <c r="I523" s="31">
        <f t="shared" si="17"/>
        <v>2830</v>
      </c>
    </row>
    <row r="524" spans="1:9" hidden="1" x14ac:dyDescent="0.3">
      <c r="B524" s="5">
        <v>3338</v>
      </c>
      <c r="C524" s="5">
        <v>277</v>
      </c>
      <c r="D524" s="5">
        <v>118</v>
      </c>
      <c r="E524" s="5">
        <v>60084</v>
      </c>
      <c r="F524" s="5">
        <v>59842</v>
      </c>
      <c r="G524" s="5">
        <v>252</v>
      </c>
      <c r="H524" s="10">
        <f t="shared" si="16"/>
        <v>6.2129685107516146E-2</v>
      </c>
      <c r="I524" s="15">
        <f t="shared" si="17"/>
        <v>3733</v>
      </c>
    </row>
    <row r="525" spans="1:9" hidden="1" x14ac:dyDescent="0.3">
      <c r="B525" s="5">
        <v>602</v>
      </c>
      <c r="C525" s="5">
        <v>594</v>
      </c>
      <c r="D525" s="5">
        <v>156</v>
      </c>
      <c r="E525" s="5">
        <v>4214</v>
      </c>
      <c r="F525" s="5">
        <v>3363</v>
      </c>
      <c r="G525" s="5">
        <v>164</v>
      </c>
      <c r="H525" s="10">
        <f t="shared" si="16"/>
        <v>0.32083531086853345</v>
      </c>
      <c r="I525" s="15">
        <f t="shared" si="17"/>
        <v>1352</v>
      </c>
    </row>
    <row r="526" spans="1:9" hidden="1" x14ac:dyDescent="0.3">
      <c r="B526" s="5">
        <v>4672</v>
      </c>
      <c r="C526" s="5">
        <v>325</v>
      </c>
      <c r="D526" s="5">
        <v>32</v>
      </c>
      <c r="E526" s="5">
        <v>88768</v>
      </c>
      <c r="F526" s="5">
        <v>87833</v>
      </c>
      <c r="G526" s="5">
        <v>118</v>
      </c>
      <c r="H526" s="10">
        <f t="shared" si="16"/>
        <v>5.6653298485940883E-2</v>
      </c>
      <c r="I526" s="15">
        <f t="shared" si="17"/>
        <v>5029</v>
      </c>
    </row>
    <row r="527" spans="1:9" hidden="1" x14ac:dyDescent="0.3">
      <c r="B527" s="5">
        <v>1741</v>
      </c>
      <c r="C527" s="5">
        <v>164</v>
      </c>
      <c r="D527" s="5">
        <v>318</v>
      </c>
      <c r="E527" s="5">
        <v>8705</v>
      </c>
      <c r="F527" s="5">
        <v>8272</v>
      </c>
      <c r="G527" s="5">
        <v>121</v>
      </c>
      <c r="H527" s="10">
        <f t="shared" si="16"/>
        <v>0.25537047673750718</v>
      </c>
      <c r="I527" s="15">
        <f t="shared" si="17"/>
        <v>2223</v>
      </c>
    </row>
    <row r="528" spans="1:9" hidden="1" x14ac:dyDescent="0.3">
      <c r="B528" s="5">
        <v>246</v>
      </c>
      <c r="C528" s="5">
        <v>149</v>
      </c>
      <c r="D528" s="5">
        <v>130</v>
      </c>
      <c r="E528" s="5">
        <v>4674</v>
      </c>
      <c r="F528" s="5">
        <v>4390</v>
      </c>
      <c r="G528" s="5">
        <v>217</v>
      </c>
      <c r="H528" s="10">
        <f t="shared" si="16"/>
        <v>0.11232349165596919</v>
      </c>
      <c r="I528" s="15">
        <f t="shared" si="17"/>
        <v>525</v>
      </c>
    </row>
    <row r="529" spans="1:9" hidden="1" x14ac:dyDescent="0.3">
      <c r="B529" s="5">
        <v>4808</v>
      </c>
      <c r="C529" s="5">
        <v>772</v>
      </c>
      <c r="D529" s="5">
        <v>320</v>
      </c>
      <c r="E529" s="5">
        <v>72120</v>
      </c>
      <c r="F529" s="5">
        <v>71696</v>
      </c>
      <c r="G529" s="5">
        <v>195</v>
      </c>
      <c r="H529" s="10">
        <f t="shared" si="16"/>
        <v>8.1808097615085965E-2</v>
      </c>
      <c r="I529" s="15">
        <f t="shared" si="17"/>
        <v>5900</v>
      </c>
    </row>
    <row r="530" spans="1:9" hidden="1" x14ac:dyDescent="0.3">
      <c r="B530" s="5">
        <v>4799</v>
      </c>
      <c r="C530" s="5">
        <v>694</v>
      </c>
      <c r="D530" s="5">
        <v>289</v>
      </c>
      <c r="E530" s="5">
        <v>43191</v>
      </c>
      <c r="F530" s="5">
        <v>42228</v>
      </c>
      <c r="G530" s="5">
        <v>118</v>
      </c>
      <c r="H530" s="10">
        <f t="shared" si="16"/>
        <v>0.13387048227640017</v>
      </c>
      <c r="I530" s="15">
        <f t="shared" si="17"/>
        <v>5782</v>
      </c>
    </row>
    <row r="531" spans="1:9" hidden="1" x14ac:dyDescent="0.3">
      <c r="B531" s="5">
        <v>3663</v>
      </c>
      <c r="C531" s="5">
        <v>17</v>
      </c>
      <c r="D531" s="5">
        <v>295</v>
      </c>
      <c r="E531" s="5">
        <v>51282</v>
      </c>
      <c r="F531" s="5">
        <v>50567</v>
      </c>
      <c r="G531" s="5">
        <v>84</v>
      </c>
      <c r="H531" s="10">
        <f t="shared" si="16"/>
        <v>7.7512577512577507E-2</v>
      </c>
      <c r="I531" s="15">
        <f t="shared" si="17"/>
        <v>3975</v>
      </c>
    </row>
    <row r="532" spans="1:9" hidden="1" x14ac:dyDescent="0.3">
      <c r="B532" s="5">
        <v>1430</v>
      </c>
      <c r="C532" s="5">
        <v>376</v>
      </c>
      <c r="D532" s="5">
        <v>33</v>
      </c>
      <c r="E532" s="5">
        <v>21450</v>
      </c>
      <c r="F532" s="5">
        <v>20509</v>
      </c>
      <c r="G532" s="5">
        <v>251</v>
      </c>
      <c r="H532" s="10">
        <f t="shared" si="16"/>
        <v>8.5734265734265735E-2</v>
      </c>
      <c r="I532" s="15">
        <f t="shared" si="17"/>
        <v>1839</v>
      </c>
    </row>
    <row r="533" spans="1:9" hidden="1" x14ac:dyDescent="0.3">
      <c r="B533" s="5">
        <v>249</v>
      </c>
      <c r="C533" s="5">
        <v>592</v>
      </c>
      <c r="D533" s="5">
        <v>230</v>
      </c>
      <c r="E533" s="5">
        <v>1494</v>
      </c>
      <c r="F533" s="5">
        <v>1044</v>
      </c>
      <c r="G533" s="5">
        <v>201</v>
      </c>
      <c r="H533" s="10">
        <f t="shared" si="16"/>
        <v>0.7168674698795181</v>
      </c>
      <c r="I533" s="15">
        <f t="shared" si="17"/>
        <v>1071</v>
      </c>
    </row>
    <row r="534" spans="1:9" hidden="1" x14ac:dyDescent="0.3">
      <c r="B534" s="5">
        <v>2382</v>
      </c>
      <c r="C534" s="5">
        <v>265</v>
      </c>
      <c r="D534" s="5">
        <v>134</v>
      </c>
      <c r="E534" s="5">
        <v>38112</v>
      </c>
      <c r="F534" s="5">
        <v>37437</v>
      </c>
      <c r="G534" s="5">
        <v>249</v>
      </c>
      <c r="H534" s="10">
        <f t="shared" si="16"/>
        <v>7.2969143576826198E-2</v>
      </c>
      <c r="I534" s="15">
        <f t="shared" si="17"/>
        <v>2781</v>
      </c>
    </row>
    <row r="535" spans="1:9" hidden="1" x14ac:dyDescent="0.3">
      <c r="B535" s="5">
        <v>1272</v>
      </c>
      <c r="C535" s="5">
        <v>465</v>
      </c>
      <c r="D535" s="5">
        <v>99</v>
      </c>
      <c r="E535" s="5">
        <v>24168</v>
      </c>
      <c r="F535" s="5">
        <v>23719</v>
      </c>
      <c r="G535" s="5">
        <v>42</v>
      </c>
      <c r="H535" s="10">
        <f t="shared" si="16"/>
        <v>7.5968222442899705E-2</v>
      </c>
      <c r="I535" s="15">
        <f t="shared" si="17"/>
        <v>1836</v>
      </c>
    </row>
    <row r="536" spans="1:9" hidden="1" x14ac:dyDescent="0.3">
      <c r="B536" s="5">
        <v>3196</v>
      </c>
      <c r="C536" s="5">
        <v>941</v>
      </c>
      <c r="D536" s="5">
        <v>376</v>
      </c>
      <c r="E536" s="5">
        <v>35156</v>
      </c>
      <c r="F536" s="5">
        <v>34444</v>
      </c>
      <c r="G536" s="5">
        <v>241</v>
      </c>
      <c r="H536" s="10">
        <f t="shared" si="16"/>
        <v>0.1283706906360223</v>
      </c>
      <c r="I536" s="15">
        <f t="shared" si="17"/>
        <v>4513</v>
      </c>
    </row>
    <row r="537" spans="1:9" x14ac:dyDescent="0.3">
      <c r="A537" s="29" t="s">
        <v>600</v>
      </c>
      <c r="B537" s="52">
        <v>1257</v>
      </c>
      <c r="C537" s="52">
        <v>19</v>
      </c>
      <c r="D537" s="52">
        <v>351</v>
      </c>
      <c r="E537" s="52">
        <v>12570</v>
      </c>
      <c r="F537" s="52">
        <v>11660</v>
      </c>
      <c r="G537" s="52">
        <v>194</v>
      </c>
      <c r="H537" s="32">
        <f t="shared" si="16"/>
        <v>0.12943516308671441</v>
      </c>
      <c r="I537" s="31">
        <f t="shared" si="17"/>
        <v>1627</v>
      </c>
    </row>
    <row r="538" spans="1:9" hidden="1" x14ac:dyDescent="0.3">
      <c r="B538" s="5">
        <v>3770</v>
      </c>
      <c r="C538" s="5">
        <v>917</v>
      </c>
      <c r="D538" s="5">
        <v>129</v>
      </c>
      <c r="E538" s="5">
        <v>71630</v>
      </c>
      <c r="F538" s="5">
        <v>71322</v>
      </c>
      <c r="G538" s="5">
        <v>76</v>
      </c>
      <c r="H538" s="10">
        <f t="shared" si="16"/>
        <v>6.7234398994834563E-2</v>
      </c>
      <c r="I538" s="15">
        <f t="shared" si="17"/>
        <v>4816</v>
      </c>
    </row>
    <row r="539" spans="1:9" hidden="1" x14ac:dyDescent="0.3">
      <c r="B539" s="5">
        <v>4725</v>
      </c>
      <c r="C539" s="5">
        <v>400</v>
      </c>
      <c r="D539" s="5">
        <v>362</v>
      </c>
      <c r="E539" s="5">
        <v>75600</v>
      </c>
      <c r="F539" s="5">
        <v>74927</v>
      </c>
      <c r="G539" s="5">
        <v>43</v>
      </c>
      <c r="H539" s="10">
        <f t="shared" si="16"/>
        <v>7.2579365079365077E-2</v>
      </c>
      <c r="I539" s="15">
        <f t="shared" si="17"/>
        <v>5487</v>
      </c>
    </row>
    <row r="540" spans="1:9" hidden="1" x14ac:dyDescent="0.3">
      <c r="B540" s="5">
        <v>4188</v>
      </c>
      <c r="C540" s="5">
        <v>942</v>
      </c>
      <c r="D540" s="5">
        <v>118</v>
      </c>
      <c r="E540" s="5">
        <v>20940</v>
      </c>
      <c r="F540" s="5">
        <v>20471</v>
      </c>
      <c r="G540" s="5">
        <v>102</v>
      </c>
      <c r="H540" s="10">
        <f t="shared" si="16"/>
        <v>0.25062082139446035</v>
      </c>
      <c r="I540" s="15">
        <f t="shared" si="17"/>
        <v>5248</v>
      </c>
    </row>
    <row r="541" spans="1:9" x14ac:dyDescent="0.3">
      <c r="A541" s="29" t="s">
        <v>27</v>
      </c>
      <c r="B541" s="52">
        <v>929</v>
      </c>
      <c r="C541" s="52">
        <v>192</v>
      </c>
      <c r="D541" s="52">
        <v>322</v>
      </c>
      <c r="E541" s="52">
        <v>16722</v>
      </c>
      <c r="F541" s="52">
        <v>15996</v>
      </c>
      <c r="G541" s="52">
        <v>145</v>
      </c>
      <c r="H541" s="32">
        <f t="shared" si="16"/>
        <v>8.6293505561535699E-2</v>
      </c>
      <c r="I541" s="31">
        <f t="shared" si="17"/>
        <v>1443</v>
      </c>
    </row>
    <row r="542" spans="1:9" hidden="1" x14ac:dyDescent="0.3">
      <c r="B542" s="5">
        <v>4321</v>
      </c>
      <c r="C542" s="5">
        <v>874</v>
      </c>
      <c r="D542" s="5">
        <v>172</v>
      </c>
      <c r="E542" s="5">
        <v>30247</v>
      </c>
      <c r="F542" s="5">
        <v>29254</v>
      </c>
      <c r="G542" s="5">
        <v>122</v>
      </c>
      <c r="H542" s="10">
        <f t="shared" si="16"/>
        <v>0.17743908486792079</v>
      </c>
      <c r="I542" s="15">
        <f t="shared" si="17"/>
        <v>5367</v>
      </c>
    </row>
    <row r="543" spans="1:9" hidden="1" x14ac:dyDescent="0.3">
      <c r="B543" s="5">
        <v>4767</v>
      </c>
      <c r="C543" s="5">
        <v>190</v>
      </c>
      <c r="D543" s="5">
        <v>340</v>
      </c>
      <c r="E543" s="5">
        <v>28602</v>
      </c>
      <c r="F543" s="5">
        <v>28044</v>
      </c>
      <c r="G543" s="5">
        <v>210</v>
      </c>
      <c r="H543" s="10">
        <f t="shared" si="16"/>
        <v>0.18519683938186141</v>
      </c>
      <c r="I543" s="15">
        <f t="shared" si="17"/>
        <v>5297</v>
      </c>
    </row>
    <row r="544" spans="1:9" hidden="1" x14ac:dyDescent="0.3">
      <c r="B544" s="5">
        <v>3592</v>
      </c>
      <c r="C544" s="5">
        <v>911</v>
      </c>
      <c r="D544" s="5">
        <v>375</v>
      </c>
      <c r="E544" s="5">
        <v>50288</v>
      </c>
      <c r="F544" s="5">
        <v>49490</v>
      </c>
      <c r="G544" s="5">
        <v>32</v>
      </c>
      <c r="H544" s="10">
        <f t="shared" si="16"/>
        <v>9.7001272669424113E-2</v>
      </c>
      <c r="I544" s="15">
        <f t="shared" si="17"/>
        <v>4878</v>
      </c>
    </row>
    <row r="545" spans="1:9" hidden="1" x14ac:dyDescent="0.3">
      <c r="B545" s="5">
        <v>4661</v>
      </c>
      <c r="C545" s="5">
        <v>935</v>
      </c>
      <c r="D545" s="5">
        <v>433</v>
      </c>
      <c r="E545" s="5">
        <v>23305</v>
      </c>
      <c r="F545" s="5">
        <v>22583</v>
      </c>
      <c r="G545" s="5">
        <v>63</v>
      </c>
      <c r="H545" s="10">
        <f t="shared" si="16"/>
        <v>0.25869984981763572</v>
      </c>
      <c r="I545" s="15">
        <f t="shared" si="17"/>
        <v>6029</v>
      </c>
    </row>
    <row r="546" spans="1:9" hidden="1" x14ac:dyDescent="0.3">
      <c r="B546" s="5">
        <v>4134</v>
      </c>
      <c r="C546" s="5">
        <v>824</v>
      </c>
      <c r="D546" s="5">
        <v>99</v>
      </c>
      <c r="E546" s="5">
        <v>41340</v>
      </c>
      <c r="F546" s="5">
        <v>41050</v>
      </c>
      <c r="G546" s="5">
        <v>177</v>
      </c>
      <c r="H546" s="10">
        <f t="shared" si="16"/>
        <v>0.12232704402515723</v>
      </c>
      <c r="I546" s="15">
        <f t="shared" si="17"/>
        <v>5057</v>
      </c>
    </row>
    <row r="547" spans="1:9" hidden="1" x14ac:dyDescent="0.3">
      <c r="B547" s="5">
        <v>400</v>
      </c>
      <c r="C547" s="5">
        <v>680</v>
      </c>
      <c r="D547" s="5">
        <v>434</v>
      </c>
      <c r="E547" s="5">
        <v>6400</v>
      </c>
      <c r="F547" s="5">
        <v>5472</v>
      </c>
      <c r="G547" s="5">
        <v>160</v>
      </c>
      <c r="H547" s="10">
        <f t="shared" si="16"/>
        <v>0.23656250000000001</v>
      </c>
      <c r="I547" s="15">
        <f t="shared" si="17"/>
        <v>1514</v>
      </c>
    </row>
    <row r="548" spans="1:9" x14ac:dyDescent="0.3">
      <c r="A548" s="29" t="s">
        <v>34</v>
      </c>
      <c r="B548" s="52">
        <v>3960</v>
      </c>
      <c r="C548" s="52">
        <v>266</v>
      </c>
      <c r="D548" s="52">
        <v>8</v>
      </c>
      <c r="E548" s="52">
        <v>35640</v>
      </c>
      <c r="F548" s="52">
        <v>34850</v>
      </c>
      <c r="G548" s="52">
        <v>208</v>
      </c>
      <c r="H548" s="32">
        <f t="shared" si="16"/>
        <v>0.11879910213243547</v>
      </c>
      <c r="I548" s="31">
        <f t="shared" si="17"/>
        <v>4234</v>
      </c>
    </row>
    <row r="549" spans="1:9" hidden="1" x14ac:dyDescent="0.3">
      <c r="B549" s="5">
        <v>886</v>
      </c>
      <c r="C549" s="5">
        <v>126</v>
      </c>
      <c r="D549" s="5">
        <v>153</v>
      </c>
      <c r="E549" s="5">
        <v>4430</v>
      </c>
      <c r="F549" s="5">
        <v>4037</v>
      </c>
      <c r="G549" s="5">
        <v>212</v>
      </c>
      <c r="H549" s="10">
        <f t="shared" si="16"/>
        <v>0.26297968397291194</v>
      </c>
      <c r="I549" s="15">
        <f t="shared" si="17"/>
        <v>1165</v>
      </c>
    </row>
    <row r="550" spans="1:9" hidden="1" x14ac:dyDescent="0.3">
      <c r="B550" s="5">
        <v>827</v>
      </c>
      <c r="C550" s="5">
        <v>77</v>
      </c>
      <c r="D550" s="5">
        <v>402</v>
      </c>
      <c r="E550" s="5">
        <v>14886</v>
      </c>
      <c r="F550" s="5">
        <v>14129</v>
      </c>
      <c r="G550" s="5">
        <v>254</v>
      </c>
      <c r="H550" s="10">
        <f t="shared" si="16"/>
        <v>8.7733440816874911E-2</v>
      </c>
      <c r="I550" s="15">
        <f t="shared" si="17"/>
        <v>1306</v>
      </c>
    </row>
    <row r="551" spans="1:9" hidden="1" x14ac:dyDescent="0.3">
      <c r="B551" s="5">
        <v>3813</v>
      </c>
      <c r="C551" s="5">
        <v>935</v>
      </c>
      <c r="D551" s="5">
        <v>274</v>
      </c>
      <c r="E551" s="5">
        <v>68634</v>
      </c>
      <c r="F551" s="5">
        <v>68488</v>
      </c>
      <c r="G551" s="5">
        <v>251</v>
      </c>
      <c r="H551" s="10">
        <f t="shared" si="16"/>
        <v>7.3170731707317069E-2</v>
      </c>
      <c r="I551" s="15">
        <f t="shared" si="17"/>
        <v>5022</v>
      </c>
    </row>
    <row r="552" spans="1:9" hidden="1" x14ac:dyDescent="0.3">
      <c r="B552" s="5">
        <v>1377</v>
      </c>
      <c r="C552" s="5">
        <v>796</v>
      </c>
      <c r="D552" s="5">
        <v>387</v>
      </c>
      <c r="E552" s="5">
        <v>22032</v>
      </c>
      <c r="F552" s="5">
        <v>21869</v>
      </c>
      <c r="G552" s="5">
        <v>189</v>
      </c>
      <c r="H552" s="10">
        <f t="shared" si="16"/>
        <v>0.11619462599854757</v>
      </c>
      <c r="I552" s="15">
        <f t="shared" si="17"/>
        <v>2560</v>
      </c>
    </row>
    <row r="553" spans="1:9" hidden="1" x14ac:dyDescent="0.3">
      <c r="B553" s="5">
        <v>2089</v>
      </c>
      <c r="C553" s="5">
        <v>476</v>
      </c>
      <c r="D553" s="5">
        <v>69</v>
      </c>
      <c r="E553" s="5">
        <v>16712</v>
      </c>
      <c r="F553" s="5">
        <v>16309</v>
      </c>
      <c r="G553" s="5">
        <v>64</v>
      </c>
      <c r="H553" s="10">
        <f t="shared" si="16"/>
        <v>0.15761129727142173</v>
      </c>
      <c r="I553" s="15">
        <f t="shared" si="17"/>
        <v>2634</v>
      </c>
    </row>
    <row r="554" spans="1:9" hidden="1" x14ac:dyDescent="0.3">
      <c r="B554" s="5">
        <v>3791</v>
      </c>
      <c r="C554" s="5">
        <v>593</v>
      </c>
      <c r="D554" s="5">
        <v>228</v>
      </c>
      <c r="E554" s="5">
        <v>53074</v>
      </c>
      <c r="F554" s="5">
        <v>52613</v>
      </c>
      <c r="G554" s="5">
        <v>205</v>
      </c>
      <c r="H554" s="10">
        <f t="shared" si="16"/>
        <v>8.6897539284772202E-2</v>
      </c>
      <c r="I554" s="15">
        <f t="shared" si="17"/>
        <v>4612</v>
      </c>
    </row>
    <row r="555" spans="1:9" hidden="1" x14ac:dyDescent="0.3">
      <c r="B555" s="5">
        <v>2692</v>
      </c>
      <c r="C555" s="5">
        <v>115</v>
      </c>
      <c r="D555" s="5">
        <v>64</v>
      </c>
      <c r="E555" s="5">
        <v>21536</v>
      </c>
      <c r="F555" s="5">
        <v>21120</v>
      </c>
      <c r="G555" s="5">
        <v>224</v>
      </c>
      <c r="H555" s="10">
        <f t="shared" si="16"/>
        <v>0.13331166419019316</v>
      </c>
      <c r="I555" s="15">
        <f t="shared" si="17"/>
        <v>2871</v>
      </c>
    </row>
    <row r="556" spans="1:9" hidden="1" x14ac:dyDescent="0.3">
      <c r="B556" s="5">
        <v>3767</v>
      </c>
      <c r="C556" s="5">
        <v>514</v>
      </c>
      <c r="D556" s="5">
        <v>238</v>
      </c>
      <c r="E556" s="5">
        <v>37670</v>
      </c>
      <c r="F556" s="5">
        <v>36807</v>
      </c>
      <c r="G556" s="5">
        <v>226</v>
      </c>
      <c r="H556" s="10">
        <f t="shared" si="16"/>
        <v>0.11996283514733209</v>
      </c>
      <c r="I556" s="15">
        <f t="shared" si="17"/>
        <v>4519</v>
      </c>
    </row>
    <row r="557" spans="1:9" hidden="1" x14ac:dyDescent="0.3">
      <c r="B557" s="5">
        <v>2143</v>
      </c>
      <c r="C557" s="5">
        <v>12</v>
      </c>
      <c r="D557" s="5">
        <v>204</v>
      </c>
      <c r="E557" s="5">
        <v>40717</v>
      </c>
      <c r="F557" s="5">
        <v>40125</v>
      </c>
      <c r="G557" s="5">
        <v>248</v>
      </c>
      <c r="H557" s="10">
        <f t="shared" si="16"/>
        <v>5.7936488444630008E-2</v>
      </c>
      <c r="I557" s="15">
        <f t="shared" si="17"/>
        <v>2359</v>
      </c>
    </row>
    <row r="558" spans="1:9" x14ac:dyDescent="0.3">
      <c r="A558" s="29" t="s">
        <v>34</v>
      </c>
      <c r="B558" s="52">
        <v>3090</v>
      </c>
      <c r="C558" s="52">
        <v>697</v>
      </c>
      <c r="D558" s="52">
        <v>164</v>
      </c>
      <c r="E558" s="52">
        <v>49440</v>
      </c>
      <c r="F558" s="52">
        <v>48524</v>
      </c>
      <c r="G558" s="52">
        <v>25</v>
      </c>
      <c r="H558" s="32">
        <f t="shared" si="16"/>
        <v>7.9915048543689318E-2</v>
      </c>
      <c r="I558" s="31">
        <f t="shared" si="17"/>
        <v>3951</v>
      </c>
    </row>
    <row r="559" spans="1:9" hidden="1" x14ac:dyDescent="0.3">
      <c r="B559" s="5">
        <v>3601</v>
      </c>
      <c r="C559" s="5">
        <v>695</v>
      </c>
      <c r="D559" s="5">
        <v>75</v>
      </c>
      <c r="E559" s="5">
        <v>21606</v>
      </c>
      <c r="F559" s="5">
        <v>21454</v>
      </c>
      <c r="G559" s="5">
        <v>172</v>
      </c>
      <c r="H559" s="10">
        <f t="shared" si="16"/>
        <v>0.2023049153013052</v>
      </c>
      <c r="I559" s="15">
        <f t="shared" si="17"/>
        <v>4371</v>
      </c>
    </row>
    <row r="560" spans="1:9" hidden="1" x14ac:dyDescent="0.3">
      <c r="B560" s="5">
        <v>562</v>
      </c>
      <c r="C560" s="5">
        <v>158</v>
      </c>
      <c r="D560" s="5">
        <v>149</v>
      </c>
      <c r="E560" s="5">
        <v>3372</v>
      </c>
      <c r="F560" s="5">
        <v>2940</v>
      </c>
      <c r="G560" s="5">
        <v>93</v>
      </c>
      <c r="H560" s="10">
        <f t="shared" si="16"/>
        <v>0.25771055753262156</v>
      </c>
      <c r="I560" s="15">
        <f t="shared" si="17"/>
        <v>869</v>
      </c>
    </row>
    <row r="561" spans="1:9" x14ac:dyDescent="0.3">
      <c r="A561" s="29" t="s">
        <v>34</v>
      </c>
      <c r="B561" s="52">
        <v>4332</v>
      </c>
      <c r="C561" s="52">
        <v>771</v>
      </c>
      <c r="D561" s="52">
        <v>219</v>
      </c>
      <c r="E561" s="52">
        <v>60648</v>
      </c>
      <c r="F561" s="52">
        <v>60397</v>
      </c>
      <c r="G561" s="52">
        <v>10</v>
      </c>
      <c r="H561" s="32">
        <f t="shared" si="16"/>
        <v>8.7752275425405618E-2</v>
      </c>
      <c r="I561" s="31">
        <f t="shared" si="17"/>
        <v>5322</v>
      </c>
    </row>
    <row r="562" spans="1:9" hidden="1" x14ac:dyDescent="0.3">
      <c r="B562" s="5">
        <v>4853</v>
      </c>
      <c r="C562" s="5">
        <v>837</v>
      </c>
      <c r="D562" s="5">
        <v>340</v>
      </c>
      <c r="E562" s="5">
        <v>72795</v>
      </c>
      <c r="F562" s="5">
        <v>72237</v>
      </c>
      <c r="G562" s="5">
        <v>170</v>
      </c>
      <c r="H562" s="10">
        <f t="shared" si="16"/>
        <v>8.2835359571399134E-2</v>
      </c>
      <c r="I562" s="15">
        <f t="shared" si="17"/>
        <v>6030</v>
      </c>
    </row>
    <row r="563" spans="1:9" hidden="1" x14ac:dyDescent="0.3">
      <c r="B563" s="5">
        <v>1206</v>
      </c>
      <c r="C563" s="5">
        <v>238</v>
      </c>
      <c r="D563" s="5">
        <v>36</v>
      </c>
      <c r="E563" s="5">
        <v>9648</v>
      </c>
      <c r="F563" s="5">
        <v>9417</v>
      </c>
      <c r="G563" s="5">
        <v>237</v>
      </c>
      <c r="H563" s="10">
        <f t="shared" si="16"/>
        <v>0.15339966832504145</v>
      </c>
      <c r="I563" s="15">
        <f t="shared" si="17"/>
        <v>1480</v>
      </c>
    </row>
    <row r="564" spans="1:9" hidden="1" x14ac:dyDescent="0.3">
      <c r="B564" s="5">
        <v>2603</v>
      </c>
      <c r="C564" s="5">
        <v>690</v>
      </c>
      <c r="D564" s="5">
        <v>205</v>
      </c>
      <c r="E564" s="5">
        <v>13015</v>
      </c>
      <c r="F564" s="5">
        <v>12130</v>
      </c>
      <c r="G564" s="5">
        <v>20</v>
      </c>
      <c r="H564" s="10">
        <f t="shared" si="16"/>
        <v>0.26876680752977333</v>
      </c>
      <c r="I564" s="15">
        <f t="shared" si="17"/>
        <v>3498</v>
      </c>
    </row>
    <row r="565" spans="1:9" hidden="1" x14ac:dyDescent="0.3">
      <c r="B565" s="5">
        <v>59</v>
      </c>
      <c r="C565" s="5">
        <v>163</v>
      </c>
      <c r="D565" s="5">
        <v>93</v>
      </c>
      <c r="E565" s="5">
        <v>590</v>
      </c>
      <c r="F565" s="5">
        <v>475</v>
      </c>
      <c r="G565" s="5">
        <v>293</v>
      </c>
      <c r="H565" s="10">
        <f t="shared" si="16"/>
        <v>0.53389830508474578</v>
      </c>
      <c r="I565" s="15">
        <f t="shared" si="17"/>
        <v>315</v>
      </c>
    </row>
    <row r="566" spans="1:9" hidden="1" x14ac:dyDescent="0.3">
      <c r="B566" s="5">
        <v>1877</v>
      </c>
      <c r="C566" s="5">
        <v>745</v>
      </c>
      <c r="D566" s="5">
        <v>225</v>
      </c>
      <c r="E566" s="5">
        <v>11262</v>
      </c>
      <c r="F566" s="5">
        <v>10967</v>
      </c>
      <c r="G566" s="5">
        <v>41</v>
      </c>
      <c r="H566" s="10">
        <f t="shared" si="16"/>
        <v>0.25279701651571657</v>
      </c>
      <c r="I566" s="15">
        <f t="shared" si="17"/>
        <v>2847</v>
      </c>
    </row>
    <row r="567" spans="1:9" hidden="1" x14ac:dyDescent="0.3">
      <c r="B567" s="5">
        <v>4182</v>
      </c>
      <c r="C567" s="5">
        <v>640</v>
      </c>
      <c r="D567" s="5">
        <v>240</v>
      </c>
      <c r="E567" s="5">
        <v>50184</v>
      </c>
      <c r="F567" s="5">
        <v>49351</v>
      </c>
      <c r="G567" s="5">
        <v>10</v>
      </c>
      <c r="H567" s="10">
        <f t="shared" si="16"/>
        <v>0.10086880280567512</v>
      </c>
      <c r="I567" s="15">
        <f t="shared" si="17"/>
        <v>5062</v>
      </c>
    </row>
    <row r="568" spans="1:9" hidden="1" x14ac:dyDescent="0.3">
      <c r="B568" s="5">
        <v>4187</v>
      </c>
      <c r="C568" s="5">
        <v>66</v>
      </c>
      <c r="D568" s="5">
        <v>31</v>
      </c>
      <c r="E568" s="5">
        <v>66992</v>
      </c>
      <c r="F568" s="5">
        <v>66614</v>
      </c>
      <c r="G568" s="5">
        <v>62</v>
      </c>
      <c r="H568" s="10">
        <f t="shared" si="16"/>
        <v>6.3947934081681396E-2</v>
      </c>
      <c r="I568" s="15">
        <f t="shared" si="17"/>
        <v>4284</v>
      </c>
    </row>
    <row r="569" spans="1:9" hidden="1" x14ac:dyDescent="0.3">
      <c r="B569" s="5">
        <v>4579</v>
      </c>
      <c r="C569" s="5">
        <v>125</v>
      </c>
      <c r="D569" s="5">
        <v>300</v>
      </c>
      <c r="E569" s="5">
        <v>59527</v>
      </c>
      <c r="F569" s="5">
        <v>59400</v>
      </c>
      <c r="G569" s="5">
        <v>269</v>
      </c>
      <c r="H569" s="10">
        <f t="shared" si="16"/>
        <v>8.4062694239588759E-2</v>
      </c>
      <c r="I569" s="15">
        <f t="shared" si="17"/>
        <v>5004</v>
      </c>
    </row>
    <row r="570" spans="1:9" hidden="1" x14ac:dyDescent="0.3">
      <c r="B570" s="5">
        <v>4561</v>
      </c>
      <c r="C570" s="5">
        <v>51</v>
      </c>
      <c r="D570" s="5">
        <v>441</v>
      </c>
      <c r="E570" s="5">
        <v>22805</v>
      </c>
      <c r="F570" s="5">
        <v>21890</v>
      </c>
      <c r="G570" s="5">
        <v>45</v>
      </c>
      <c r="H570" s="10">
        <f t="shared" si="16"/>
        <v>0.22157421618066214</v>
      </c>
      <c r="I570" s="15">
        <f t="shared" si="17"/>
        <v>5053</v>
      </c>
    </row>
    <row r="571" spans="1:9" hidden="1" x14ac:dyDescent="0.3">
      <c r="B571" s="5">
        <v>3774</v>
      </c>
      <c r="C571" s="5">
        <v>239</v>
      </c>
      <c r="D571" s="5">
        <v>39</v>
      </c>
      <c r="E571" s="5">
        <v>60384</v>
      </c>
      <c r="F571" s="5">
        <v>59490</v>
      </c>
      <c r="G571" s="5">
        <v>241</v>
      </c>
      <c r="H571" s="10">
        <f t="shared" si="16"/>
        <v>6.7103868574456813E-2</v>
      </c>
      <c r="I571" s="15">
        <f t="shared" si="17"/>
        <v>4052</v>
      </c>
    </row>
    <row r="572" spans="1:9" hidden="1" x14ac:dyDescent="0.3">
      <c r="B572" s="5">
        <v>3575</v>
      </c>
      <c r="C572" s="5">
        <v>749</v>
      </c>
      <c r="D572" s="5">
        <v>111</v>
      </c>
      <c r="E572" s="5">
        <v>21450</v>
      </c>
      <c r="F572" s="5">
        <v>20785</v>
      </c>
      <c r="G572" s="5">
        <v>195</v>
      </c>
      <c r="H572" s="10">
        <f t="shared" si="16"/>
        <v>0.20675990675990677</v>
      </c>
      <c r="I572" s="15">
        <f t="shared" si="17"/>
        <v>4435</v>
      </c>
    </row>
    <row r="573" spans="1:9" hidden="1" x14ac:dyDescent="0.3">
      <c r="B573" s="5">
        <v>4941</v>
      </c>
      <c r="C573" s="5">
        <v>414</v>
      </c>
      <c r="D573" s="5">
        <v>266</v>
      </c>
      <c r="E573" s="5">
        <v>39528</v>
      </c>
      <c r="F573" s="5">
        <v>39154</v>
      </c>
      <c r="G573" s="5">
        <v>217</v>
      </c>
      <c r="H573" s="10">
        <f t="shared" si="16"/>
        <v>0.14220299534507186</v>
      </c>
      <c r="I573" s="15">
        <f t="shared" si="17"/>
        <v>5621</v>
      </c>
    </row>
    <row r="574" spans="1:9" hidden="1" x14ac:dyDescent="0.3">
      <c r="B574" s="5">
        <v>3641</v>
      </c>
      <c r="C574" s="5">
        <v>226</v>
      </c>
      <c r="D574" s="5">
        <v>46</v>
      </c>
      <c r="E574" s="5">
        <v>40051</v>
      </c>
      <c r="F574" s="5">
        <v>39319</v>
      </c>
      <c r="G574" s="5">
        <v>296</v>
      </c>
      <c r="H574" s="10">
        <f t="shared" si="16"/>
        <v>9.7700431949264685E-2</v>
      </c>
      <c r="I574" s="15">
        <f t="shared" si="17"/>
        <v>3913</v>
      </c>
    </row>
    <row r="575" spans="1:9" hidden="1" x14ac:dyDescent="0.3">
      <c r="B575" s="5">
        <v>3535</v>
      </c>
      <c r="C575" s="5">
        <v>494</v>
      </c>
      <c r="D575" s="5">
        <v>152</v>
      </c>
      <c r="E575" s="5">
        <v>53025</v>
      </c>
      <c r="F575" s="5">
        <v>52791</v>
      </c>
      <c r="G575" s="5">
        <v>44</v>
      </c>
      <c r="H575" s="10">
        <f t="shared" si="16"/>
        <v>7.8849599245638849E-2</v>
      </c>
      <c r="I575" s="15">
        <f t="shared" si="17"/>
        <v>4181</v>
      </c>
    </row>
    <row r="576" spans="1:9" hidden="1" x14ac:dyDescent="0.3">
      <c r="B576" s="5">
        <v>1741</v>
      </c>
      <c r="C576" s="5">
        <v>831</v>
      </c>
      <c r="D576" s="5">
        <v>345</v>
      </c>
      <c r="E576" s="5">
        <v>17410</v>
      </c>
      <c r="F576" s="5">
        <v>16844</v>
      </c>
      <c r="G576" s="5">
        <v>58</v>
      </c>
      <c r="H576" s="10">
        <f t="shared" si="16"/>
        <v>0.16754738655944859</v>
      </c>
      <c r="I576" s="15">
        <f t="shared" si="17"/>
        <v>2917</v>
      </c>
    </row>
    <row r="577" spans="1:9" hidden="1" x14ac:dyDescent="0.3">
      <c r="B577" s="5">
        <v>1556</v>
      </c>
      <c r="C577" s="5">
        <v>195</v>
      </c>
      <c r="D577" s="5">
        <v>131</v>
      </c>
      <c r="E577" s="5">
        <v>9336</v>
      </c>
      <c r="F577" s="5">
        <v>8875</v>
      </c>
      <c r="G577" s="5">
        <v>137</v>
      </c>
      <c r="H577" s="10">
        <f t="shared" si="16"/>
        <v>0.2015852613538989</v>
      </c>
      <c r="I577" s="15">
        <f t="shared" si="17"/>
        <v>1882</v>
      </c>
    </row>
    <row r="578" spans="1:9" hidden="1" x14ac:dyDescent="0.3">
      <c r="B578" s="5">
        <v>4236</v>
      </c>
      <c r="C578" s="5">
        <v>711</v>
      </c>
      <c r="D578" s="5">
        <v>298</v>
      </c>
      <c r="E578" s="5">
        <v>21180</v>
      </c>
      <c r="F578" s="5">
        <v>20516</v>
      </c>
      <c r="G578" s="5">
        <v>238</v>
      </c>
      <c r="H578" s="10">
        <f t="shared" ref="H578:H641" si="18">(B578+C578+D578)/E578</f>
        <v>0.24763928234183191</v>
      </c>
      <c r="I578" s="15">
        <f t="shared" ref="I578:I641" si="19">B578+C578+D578</f>
        <v>5245</v>
      </c>
    </row>
    <row r="579" spans="1:9" hidden="1" x14ac:dyDescent="0.3">
      <c r="B579" s="5">
        <v>4516</v>
      </c>
      <c r="C579" s="5">
        <v>836</v>
      </c>
      <c r="D579" s="5">
        <v>169</v>
      </c>
      <c r="E579" s="5">
        <v>49676</v>
      </c>
      <c r="F579" s="5">
        <v>49257</v>
      </c>
      <c r="G579" s="5">
        <v>282</v>
      </c>
      <c r="H579" s="10">
        <f t="shared" si="18"/>
        <v>0.11114018842096787</v>
      </c>
      <c r="I579" s="15">
        <f t="shared" si="19"/>
        <v>5521</v>
      </c>
    </row>
    <row r="580" spans="1:9" hidden="1" x14ac:dyDescent="0.3">
      <c r="B580" s="5">
        <v>4905</v>
      </c>
      <c r="C580" s="5">
        <v>845</v>
      </c>
      <c r="D580" s="5">
        <v>129</v>
      </c>
      <c r="E580" s="5">
        <v>98100</v>
      </c>
      <c r="F580" s="5">
        <v>97772</v>
      </c>
      <c r="G580" s="5">
        <v>279</v>
      </c>
      <c r="H580" s="10">
        <f t="shared" si="18"/>
        <v>5.9928644240570844E-2</v>
      </c>
      <c r="I580" s="15">
        <f t="shared" si="19"/>
        <v>5879</v>
      </c>
    </row>
    <row r="581" spans="1:9" x14ac:dyDescent="0.3">
      <c r="A581" s="29" t="s">
        <v>27</v>
      </c>
      <c r="B581" s="52">
        <v>4275</v>
      </c>
      <c r="C581" s="52">
        <v>680</v>
      </c>
      <c r="D581" s="52">
        <v>385</v>
      </c>
      <c r="E581" s="52">
        <v>64125</v>
      </c>
      <c r="F581" s="52">
        <v>63650</v>
      </c>
      <c r="G581" s="52">
        <v>104</v>
      </c>
      <c r="H581" s="32">
        <f t="shared" si="18"/>
        <v>8.3274853801169585E-2</v>
      </c>
      <c r="I581" s="31">
        <f t="shared" si="19"/>
        <v>5340</v>
      </c>
    </row>
    <row r="582" spans="1:9" hidden="1" x14ac:dyDescent="0.3">
      <c r="B582" s="5">
        <v>3166</v>
      </c>
      <c r="C582" s="5">
        <v>90</v>
      </c>
      <c r="D582" s="5">
        <v>341</v>
      </c>
      <c r="E582" s="5">
        <v>56988</v>
      </c>
      <c r="F582" s="5">
        <v>56125</v>
      </c>
      <c r="G582" s="5">
        <v>135</v>
      </c>
      <c r="H582" s="10">
        <f t="shared" si="18"/>
        <v>6.3118551273952411E-2</v>
      </c>
      <c r="I582" s="15">
        <f t="shared" si="19"/>
        <v>3597</v>
      </c>
    </row>
    <row r="583" spans="1:9" hidden="1" x14ac:dyDescent="0.3">
      <c r="B583" s="5">
        <v>1488</v>
      </c>
      <c r="C583" s="5">
        <v>417</v>
      </c>
      <c r="D583" s="5">
        <v>168</v>
      </c>
      <c r="E583" s="5">
        <v>19344</v>
      </c>
      <c r="F583" s="5">
        <v>18395</v>
      </c>
      <c r="G583" s="5">
        <v>30</v>
      </c>
      <c r="H583" s="10">
        <f t="shared" si="18"/>
        <v>0.1071650124069479</v>
      </c>
      <c r="I583" s="15">
        <f t="shared" si="19"/>
        <v>2073</v>
      </c>
    </row>
    <row r="584" spans="1:9" hidden="1" x14ac:dyDescent="0.3">
      <c r="B584" s="5">
        <v>3367</v>
      </c>
      <c r="C584" s="5">
        <v>302</v>
      </c>
      <c r="D584" s="5">
        <v>57</v>
      </c>
      <c r="E584" s="5">
        <v>63973</v>
      </c>
      <c r="F584" s="5">
        <v>63789</v>
      </c>
      <c r="G584" s="5">
        <v>157</v>
      </c>
      <c r="H584" s="10">
        <f t="shared" si="18"/>
        <v>5.8243321401216137E-2</v>
      </c>
      <c r="I584" s="15">
        <f t="shared" si="19"/>
        <v>3726</v>
      </c>
    </row>
    <row r="585" spans="1:9" hidden="1" x14ac:dyDescent="0.3">
      <c r="B585" s="5">
        <v>571</v>
      </c>
      <c r="C585" s="5">
        <v>190</v>
      </c>
      <c r="D585" s="5">
        <v>352</v>
      </c>
      <c r="E585" s="5">
        <v>9707</v>
      </c>
      <c r="F585" s="5">
        <v>9418</v>
      </c>
      <c r="G585" s="5">
        <v>231</v>
      </c>
      <c r="H585" s="10">
        <f t="shared" si="18"/>
        <v>0.11465952405480581</v>
      </c>
      <c r="I585" s="15">
        <f t="shared" si="19"/>
        <v>1113</v>
      </c>
    </row>
    <row r="586" spans="1:9" hidden="1" x14ac:dyDescent="0.3">
      <c r="B586" s="5">
        <v>4021</v>
      </c>
      <c r="C586" s="5">
        <v>794</v>
      </c>
      <c r="D586" s="5">
        <v>77</v>
      </c>
      <c r="E586" s="5">
        <v>36189</v>
      </c>
      <c r="F586" s="5">
        <v>35505</v>
      </c>
      <c r="G586" s="5">
        <v>174</v>
      </c>
      <c r="H586" s="10">
        <f t="shared" si="18"/>
        <v>0.13517919809886983</v>
      </c>
      <c r="I586" s="15">
        <f t="shared" si="19"/>
        <v>4892</v>
      </c>
    </row>
    <row r="587" spans="1:9" hidden="1" x14ac:dyDescent="0.3">
      <c r="B587" s="5">
        <v>3389</v>
      </c>
      <c r="C587" s="5">
        <v>344</v>
      </c>
      <c r="D587" s="5">
        <v>229</v>
      </c>
      <c r="E587" s="5">
        <v>20334</v>
      </c>
      <c r="F587" s="5">
        <v>19443</v>
      </c>
      <c r="G587" s="5">
        <v>228</v>
      </c>
      <c r="H587" s="10">
        <f t="shared" si="18"/>
        <v>0.19484607062063539</v>
      </c>
      <c r="I587" s="15">
        <f t="shared" si="19"/>
        <v>3962</v>
      </c>
    </row>
    <row r="588" spans="1:9" hidden="1" x14ac:dyDescent="0.3">
      <c r="B588" s="5">
        <v>1164</v>
      </c>
      <c r="C588" s="5">
        <v>616</v>
      </c>
      <c r="D588" s="5">
        <v>324</v>
      </c>
      <c r="E588" s="5">
        <v>6984</v>
      </c>
      <c r="F588" s="5">
        <v>6636</v>
      </c>
      <c r="G588" s="5">
        <v>82</v>
      </c>
      <c r="H588" s="10">
        <f t="shared" si="18"/>
        <v>0.30126002290950743</v>
      </c>
      <c r="I588" s="15">
        <f t="shared" si="19"/>
        <v>2104</v>
      </c>
    </row>
    <row r="589" spans="1:9" hidden="1" x14ac:dyDescent="0.3">
      <c r="B589" s="5">
        <v>4780</v>
      </c>
      <c r="C589" s="5">
        <v>691</v>
      </c>
      <c r="D589" s="5">
        <v>380</v>
      </c>
      <c r="E589" s="5">
        <v>86040</v>
      </c>
      <c r="F589" s="5">
        <v>85743</v>
      </c>
      <c r="G589" s="5">
        <v>262</v>
      </c>
      <c r="H589" s="10">
        <f t="shared" si="18"/>
        <v>6.800325430032543E-2</v>
      </c>
      <c r="I589" s="15">
        <f t="shared" si="19"/>
        <v>5851</v>
      </c>
    </row>
    <row r="590" spans="1:9" hidden="1" x14ac:dyDescent="0.3">
      <c r="B590" s="5">
        <v>2751</v>
      </c>
      <c r="C590" s="5">
        <v>33</v>
      </c>
      <c r="D590" s="5">
        <v>430</v>
      </c>
      <c r="E590" s="5">
        <v>44016</v>
      </c>
      <c r="F590" s="5">
        <v>43415</v>
      </c>
      <c r="G590" s="5">
        <v>129</v>
      </c>
      <c r="H590" s="10">
        <f t="shared" si="18"/>
        <v>7.3018902217375503E-2</v>
      </c>
      <c r="I590" s="15">
        <f t="shared" si="19"/>
        <v>3214</v>
      </c>
    </row>
    <row r="591" spans="1:9" hidden="1" x14ac:dyDescent="0.3">
      <c r="B591" s="5">
        <v>2107</v>
      </c>
      <c r="C591" s="5">
        <v>550</v>
      </c>
      <c r="D591" s="5">
        <v>349</v>
      </c>
      <c r="E591" s="5">
        <v>35819</v>
      </c>
      <c r="F591" s="5">
        <v>35340</v>
      </c>
      <c r="G591" s="5">
        <v>191</v>
      </c>
      <c r="H591" s="10">
        <f t="shared" si="18"/>
        <v>8.3921940869371006E-2</v>
      </c>
      <c r="I591" s="15">
        <f t="shared" si="19"/>
        <v>3006</v>
      </c>
    </row>
    <row r="592" spans="1:9" hidden="1" x14ac:dyDescent="0.3">
      <c r="B592" s="5">
        <v>4663</v>
      </c>
      <c r="C592" s="5">
        <v>145</v>
      </c>
      <c r="D592" s="5">
        <v>225</v>
      </c>
      <c r="E592" s="5">
        <v>69945</v>
      </c>
      <c r="F592" s="5">
        <v>69596</v>
      </c>
      <c r="G592" s="5">
        <v>35</v>
      </c>
      <c r="H592" s="10">
        <f t="shared" si="18"/>
        <v>7.1956537279290869E-2</v>
      </c>
      <c r="I592" s="15">
        <f t="shared" si="19"/>
        <v>5033</v>
      </c>
    </row>
    <row r="593" spans="1:10" x14ac:dyDescent="0.3">
      <c r="A593" s="29" t="s">
        <v>600</v>
      </c>
      <c r="B593" s="52">
        <v>880</v>
      </c>
      <c r="C593" s="52">
        <v>297</v>
      </c>
      <c r="D593" s="52">
        <v>345</v>
      </c>
      <c r="E593" s="52">
        <v>12320</v>
      </c>
      <c r="F593" s="52">
        <v>11978</v>
      </c>
      <c r="G593" s="52">
        <v>238</v>
      </c>
      <c r="H593" s="32">
        <f t="shared" si="18"/>
        <v>0.12353896103896105</v>
      </c>
      <c r="I593" s="31">
        <f t="shared" si="19"/>
        <v>1522</v>
      </c>
    </row>
    <row r="594" spans="1:10" hidden="1" x14ac:dyDescent="0.3">
      <c r="B594" s="5">
        <v>2634</v>
      </c>
      <c r="C594" s="5">
        <v>726</v>
      </c>
      <c r="D594" s="5">
        <v>241</v>
      </c>
      <c r="E594" s="5">
        <v>28974</v>
      </c>
      <c r="F594" s="5">
        <v>28102</v>
      </c>
      <c r="G594" s="5">
        <v>277</v>
      </c>
      <c r="H594" s="10">
        <f t="shared" si="18"/>
        <v>0.12428384068475185</v>
      </c>
      <c r="I594" s="15">
        <f t="shared" si="19"/>
        <v>3601</v>
      </c>
    </row>
    <row r="595" spans="1:10" hidden="1" x14ac:dyDescent="0.3">
      <c r="B595" s="5">
        <v>4731</v>
      </c>
      <c r="C595" s="5">
        <v>173</v>
      </c>
      <c r="D595" s="5">
        <v>276</v>
      </c>
      <c r="E595" s="5">
        <v>28386</v>
      </c>
      <c r="F595" s="5">
        <v>28185</v>
      </c>
      <c r="G595" s="5">
        <v>89</v>
      </c>
      <c r="H595" s="10">
        <f t="shared" si="18"/>
        <v>0.18248432325794406</v>
      </c>
      <c r="I595" s="15">
        <f t="shared" si="19"/>
        <v>5180</v>
      </c>
    </row>
    <row r="596" spans="1:10" x14ac:dyDescent="0.3">
      <c r="A596" s="29" t="s">
        <v>27</v>
      </c>
      <c r="B596" s="52">
        <v>1952</v>
      </c>
      <c r="C596" s="52">
        <v>344</v>
      </c>
      <c r="D596" s="52">
        <v>287</v>
      </c>
      <c r="E596" s="52">
        <v>15616</v>
      </c>
      <c r="F596" s="52">
        <v>15403</v>
      </c>
      <c r="G596" s="52">
        <v>235</v>
      </c>
      <c r="H596" s="32">
        <f t="shared" si="18"/>
        <v>0.16540727459016394</v>
      </c>
      <c r="I596" s="31">
        <f t="shared" si="19"/>
        <v>2583</v>
      </c>
    </row>
    <row r="597" spans="1:10" x14ac:dyDescent="0.3">
      <c r="A597" s="29" t="s">
        <v>592</v>
      </c>
      <c r="B597" s="52">
        <v>3440</v>
      </c>
      <c r="C597" s="52">
        <v>13</v>
      </c>
      <c r="D597" s="52">
        <v>20</v>
      </c>
      <c r="E597" s="52">
        <v>58480</v>
      </c>
      <c r="F597" s="52">
        <v>58146</v>
      </c>
      <c r="G597" s="52">
        <v>210</v>
      </c>
      <c r="H597" s="32">
        <f t="shared" si="18"/>
        <v>5.9387824897400819E-2</v>
      </c>
      <c r="I597" s="31">
        <f t="shared" si="19"/>
        <v>3473</v>
      </c>
    </row>
    <row r="598" spans="1:10" hidden="1" x14ac:dyDescent="0.3">
      <c r="B598" s="5">
        <v>2166</v>
      </c>
      <c r="C598" s="5">
        <v>354</v>
      </c>
      <c r="D598" s="5">
        <v>117</v>
      </c>
      <c r="E598" s="5">
        <v>10830</v>
      </c>
      <c r="F598" s="5">
        <v>10245</v>
      </c>
      <c r="G598" s="5">
        <v>24</v>
      </c>
      <c r="H598" s="10">
        <f t="shared" si="18"/>
        <v>0.24349030470914126</v>
      </c>
      <c r="I598" s="15">
        <f t="shared" si="19"/>
        <v>2637</v>
      </c>
    </row>
    <row r="599" spans="1:10" hidden="1" x14ac:dyDescent="0.3">
      <c r="B599" s="5">
        <v>4303</v>
      </c>
      <c r="C599" s="5">
        <v>451</v>
      </c>
      <c r="D599" s="5">
        <v>286</v>
      </c>
      <c r="E599" s="5">
        <v>86060</v>
      </c>
      <c r="F599" s="5">
        <v>85823</v>
      </c>
      <c r="G599" s="5">
        <v>14</v>
      </c>
      <c r="H599" s="10">
        <f t="shared" si="18"/>
        <v>5.8563792702765516E-2</v>
      </c>
      <c r="I599" s="15">
        <f t="shared" si="19"/>
        <v>5040</v>
      </c>
    </row>
    <row r="600" spans="1:10" hidden="1" x14ac:dyDescent="0.3">
      <c r="B600" s="5">
        <v>2581</v>
      </c>
      <c r="C600" s="5">
        <v>517</v>
      </c>
      <c r="D600" s="5">
        <v>117</v>
      </c>
      <c r="E600" s="5">
        <v>23229</v>
      </c>
      <c r="F600" s="5">
        <v>22331</v>
      </c>
      <c r="G600" s="5">
        <v>70</v>
      </c>
      <c r="H600" s="10">
        <f t="shared" si="18"/>
        <v>0.13840458048129492</v>
      </c>
      <c r="I600" s="15">
        <f t="shared" si="19"/>
        <v>3215</v>
      </c>
    </row>
    <row r="601" spans="1:10" x14ac:dyDescent="0.3">
      <c r="A601" s="29" t="s">
        <v>34</v>
      </c>
      <c r="B601" s="52">
        <v>4494</v>
      </c>
      <c r="C601" s="52">
        <v>717</v>
      </c>
      <c r="D601" s="52">
        <v>45</v>
      </c>
      <c r="E601" s="52">
        <v>62916</v>
      </c>
      <c r="F601" s="52">
        <v>62688</v>
      </c>
      <c r="G601" s="52">
        <v>191</v>
      </c>
      <c r="H601" s="32">
        <f t="shared" si="18"/>
        <v>8.3539958039290485E-2</v>
      </c>
      <c r="I601" s="31">
        <f t="shared" si="19"/>
        <v>5256</v>
      </c>
    </row>
    <row r="602" spans="1:10" hidden="1" x14ac:dyDescent="0.3">
      <c r="B602" s="5">
        <v>1461</v>
      </c>
      <c r="C602" s="5">
        <v>184</v>
      </c>
      <c r="D602" s="5">
        <v>344</v>
      </c>
      <c r="E602" s="5">
        <v>21915</v>
      </c>
      <c r="F602" s="5">
        <v>21675</v>
      </c>
      <c r="G602" s="5">
        <v>15</v>
      </c>
      <c r="H602" s="10">
        <f t="shared" si="18"/>
        <v>9.0759753593429152E-2</v>
      </c>
      <c r="I602" s="15">
        <f t="shared" si="19"/>
        <v>1989</v>
      </c>
      <c r="J602" t="s">
        <v>600</v>
      </c>
    </row>
    <row r="603" spans="1:10" hidden="1" x14ac:dyDescent="0.3">
      <c r="B603" s="5">
        <v>4054</v>
      </c>
      <c r="C603" s="5">
        <v>389</v>
      </c>
      <c r="D603" s="5">
        <v>493</v>
      </c>
      <c r="E603" s="5">
        <v>64864</v>
      </c>
      <c r="F603" s="5">
        <v>64383</v>
      </c>
      <c r="G603" s="5">
        <v>117</v>
      </c>
      <c r="H603" s="10">
        <f t="shared" si="18"/>
        <v>7.6097681302417369E-2</v>
      </c>
      <c r="I603" s="15">
        <f t="shared" si="19"/>
        <v>4936</v>
      </c>
      <c r="J603" t="s">
        <v>601</v>
      </c>
    </row>
    <row r="604" spans="1:10" hidden="1" x14ac:dyDescent="0.3">
      <c r="B604" s="5">
        <v>2795</v>
      </c>
      <c r="C604" s="5">
        <v>105</v>
      </c>
      <c r="D604" s="5">
        <v>49</v>
      </c>
      <c r="E604" s="5">
        <v>53105</v>
      </c>
      <c r="F604" s="5">
        <v>52307</v>
      </c>
      <c r="G604" s="5">
        <v>204</v>
      </c>
      <c r="H604" s="10">
        <f t="shared" si="18"/>
        <v>5.5531494209584788E-2</v>
      </c>
      <c r="I604" s="15">
        <f t="shared" si="19"/>
        <v>2949</v>
      </c>
    </row>
    <row r="605" spans="1:10" hidden="1" x14ac:dyDescent="0.3">
      <c r="B605" s="5">
        <v>2404</v>
      </c>
      <c r="C605" s="5">
        <v>363</v>
      </c>
      <c r="D605" s="5">
        <v>138</v>
      </c>
      <c r="E605" s="5">
        <v>19232</v>
      </c>
      <c r="F605" s="5">
        <v>18636</v>
      </c>
      <c r="G605" s="5">
        <v>128</v>
      </c>
      <c r="H605" s="10">
        <f t="shared" si="18"/>
        <v>0.15105033277870217</v>
      </c>
      <c r="I605" s="15">
        <f t="shared" si="19"/>
        <v>2905</v>
      </c>
    </row>
    <row r="606" spans="1:10" hidden="1" x14ac:dyDescent="0.3">
      <c r="B606" s="5">
        <v>3557</v>
      </c>
      <c r="C606" s="5">
        <v>687</v>
      </c>
      <c r="D606" s="5">
        <v>424</v>
      </c>
      <c r="E606" s="5">
        <v>71140</v>
      </c>
      <c r="F606" s="5">
        <v>70701</v>
      </c>
      <c r="G606" s="5">
        <v>224</v>
      </c>
      <c r="H606" s="10">
        <f t="shared" si="18"/>
        <v>6.5617093055946027E-2</v>
      </c>
      <c r="I606" s="15">
        <f t="shared" si="19"/>
        <v>4668</v>
      </c>
      <c r="J606" t="s">
        <v>27</v>
      </c>
    </row>
    <row r="607" spans="1:10" hidden="1" x14ac:dyDescent="0.3">
      <c r="B607" s="5">
        <v>2945</v>
      </c>
      <c r="C607" s="5">
        <v>930</v>
      </c>
      <c r="D607" s="5">
        <v>355</v>
      </c>
      <c r="E607" s="5">
        <v>23560</v>
      </c>
      <c r="F607" s="5">
        <v>23275</v>
      </c>
      <c r="G607" s="5">
        <v>256</v>
      </c>
      <c r="H607" s="10">
        <f t="shared" si="18"/>
        <v>0.17954159592529711</v>
      </c>
      <c r="I607" s="15">
        <f t="shared" si="19"/>
        <v>4230</v>
      </c>
    </row>
    <row r="608" spans="1:10" hidden="1" x14ac:dyDescent="0.3">
      <c r="B608" s="5">
        <v>3860</v>
      </c>
      <c r="C608" s="5">
        <v>201</v>
      </c>
      <c r="D608" s="5">
        <v>279</v>
      </c>
      <c r="E608" s="5">
        <v>61760</v>
      </c>
      <c r="F608" s="5">
        <v>61660</v>
      </c>
      <c r="G608" s="5">
        <v>235</v>
      </c>
      <c r="H608" s="10">
        <f t="shared" si="18"/>
        <v>7.0272020725388601E-2</v>
      </c>
      <c r="I608" s="15">
        <f t="shared" si="19"/>
        <v>4340</v>
      </c>
    </row>
    <row r="609" spans="2:10" hidden="1" x14ac:dyDescent="0.3">
      <c r="B609" s="5">
        <v>3929</v>
      </c>
      <c r="C609" s="5">
        <v>262</v>
      </c>
      <c r="D609" s="5">
        <v>278</v>
      </c>
      <c r="E609" s="5">
        <v>43219</v>
      </c>
      <c r="F609" s="5">
        <v>42841</v>
      </c>
      <c r="G609" s="5">
        <v>39</v>
      </c>
      <c r="H609" s="10">
        <f t="shared" si="18"/>
        <v>0.10340359564080613</v>
      </c>
      <c r="I609" s="15">
        <f t="shared" si="19"/>
        <v>4469</v>
      </c>
    </row>
    <row r="610" spans="2:10" hidden="1" x14ac:dyDescent="0.3">
      <c r="B610" s="5">
        <v>3784</v>
      </c>
      <c r="C610" s="5">
        <v>808</v>
      </c>
      <c r="D610" s="5">
        <v>404</v>
      </c>
      <c r="E610" s="5">
        <v>56760</v>
      </c>
      <c r="F610" s="5">
        <v>56343</v>
      </c>
      <c r="G610" s="5">
        <v>131</v>
      </c>
      <c r="H610" s="10">
        <f t="shared" si="18"/>
        <v>8.8019732205778717E-2</v>
      </c>
      <c r="I610" s="15">
        <f t="shared" si="19"/>
        <v>4996</v>
      </c>
    </row>
    <row r="611" spans="2:10" hidden="1" x14ac:dyDescent="0.3">
      <c r="B611" s="5">
        <v>4241</v>
      </c>
      <c r="C611" s="5">
        <v>902</v>
      </c>
      <c r="D611" s="5">
        <v>47</v>
      </c>
      <c r="E611" s="5">
        <v>72097</v>
      </c>
      <c r="F611" s="5">
        <v>71598</v>
      </c>
      <c r="G611" s="5">
        <v>167</v>
      </c>
      <c r="H611" s="10">
        <f t="shared" si="18"/>
        <v>7.198635172059864E-2</v>
      </c>
      <c r="I611" s="15">
        <f t="shared" si="19"/>
        <v>5190</v>
      </c>
    </row>
    <row r="612" spans="2:10" hidden="1" x14ac:dyDescent="0.3">
      <c r="B612" s="5">
        <v>1792</v>
      </c>
      <c r="C612" s="5">
        <v>614</v>
      </c>
      <c r="D612" s="5">
        <v>497</v>
      </c>
      <c r="E612" s="5">
        <v>25088</v>
      </c>
      <c r="F612" s="5">
        <v>24675</v>
      </c>
      <c r="G612" s="5">
        <v>65</v>
      </c>
      <c r="H612" s="10">
        <f t="shared" si="18"/>
        <v>0.11571269132653061</v>
      </c>
      <c r="I612" s="15">
        <f t="shared" si="19"/>
        <v>2903</v>
      </c>
    </row>
    <row r="613" spans="2:10" hidden="1" x14ac:dyDescent="0.3">
      <c r="B613" s="5">
        <v>1946</v>
      </c>
      <c r="C613" s="5">
        <v>686</v>
      </c>
      <c r="D613" s="5">
        <v>377</v>
      </c>
      <c r="E613" s="5">
        <v>23352</v>
      </c>
      <c r="F613" s="5">
        <v>22982</v>
      </c>
      <c r="G613" s="5">
        <v>213</v>
      </c>
      <c r="H613" s="10">
        <f t="shared" si="18"/>
        <v>0.12885405960945528</v>
      </c>
      <c r="I613" s="15">
        <f t="shared" si="19"/>
        <v>3009</v>
      </c>
    </row>
    <row r="614" spans="2:10" hidden="1" x14ac:dyDescent="0.3">
      <c r="B614" s="5">
        <v>1171</v>
      </c>
      <c r="C614" s="5">
        <v>286</v>
      </c>
      <c r="D614" s="5">
        <v>231</v>
      </c>
      <c r="E614" s="5">
        <v>22249</v>
      </c>
      <c r="F614" s="5">
        <v>21282</v>
      </c>
      <c r="G614" s="5">
        <v>114</v>
      </c>
      <c r="H614" s="10">
        <f t="shared" si="18"/>
        <v>7.5868578363072495E-2</v>
      </c>
      <c r="I614" s="15">
        <f t="shared" si="19"/>
        <v>1688</v>
      </c>
    </row>
    <row r="615" spans="2:10" hidden="1" x14ac:dyDescent="0.3">
      <c r="B615" s="5">
        <v>4242</v>
      </c>
      <c r="C615" s="5">
        <v>555</v>
      </c>
      <c r="D615" s="5">
        <v>131</v>
      </c>
      <c r="E615" s="5">
        <v>33936</v>
      </c>
      <c r="F615" s="5">
        <v>33802</v>
      </c>
      <c r="G615" s="5">
        <v>265</v>
      </c>
      <c r="H615" s="10">
        <f t="shared" si="18"/>
        <v>0.14521452145214522</v>
      </c>
      <c r="I615" s="15">
        <f t="shared" si="19"/>
        <v>4928</v>
      </c>
    </row>
    <row r="616" spans="2:10" hidden="1" x14ac:dyDescent="0.3">
      <c r="B616" s="5">
        <v>3888</v>
      </c>
      <c r="C616" s="5">
        <v>604</v>
      </c>
      <c r="D616" s="5">
        <v>128</v>
      </c>
      <c r="E616" s="5">
        <v>77760</v>
      </c>
      <c r="F616" s="5">
        <v>77167</v>
      </c>
      <c r="G616" s="5">
        <v>20</v>
      </c>
      <c r="H616" s="10">
        <f t="shared" si="18"/>
        <v>5.941358024691358E-2</v>
      </c>
      <c r="I616" s="15">
        <f t="shared" si="19"/>
        <v>4620</v>
      </c>
    </row>
    <row r="617" spans="2:10" hidden="1" x14ac:dyDescent="0.3">
      <c r="B617" s="5">
        <v>3452</v>
      </c>
      <c r="C617" s="5">
        <v>377</v>
      </c>
      <c r="D617" s="5">
        <v>360</v>
      </c>
      <c r="E617" s="5">
        <v>55232</v>
      </c>
      <c r="F617" s="5">
        <v>55075</v>
      </c>
      <c r="G617" s="5">
        <v>87</v>
      </c>
      <c r="H617" s="10">
        <f t="shared" si="18"/>
        <v>7.5843713789107758E-2</v>
      </c>
      <c r="I617" s="15">
        <f t="shared" si="19"/>
        <v>4189</v>
      </c>
    </row>
    <row r="618" spans="2:10" hidden="1" x14ac:dyDescent="0.3">
      <c r="B618" s="5">
        <v>4441</v>
      </c>
      <c r="C618" s="5">
        <v>511</v>
      </c>
      <c r="D618" s="5">
        <v>70</v>
      </c>
      <c r="E618" s="5">
        <v>53292</v>
      </c>
      <c r="F618" s="5">
        <v>53082</v>
      </c>
      <c r="G618" s="5">
        <v>159</v>
      </c>
      <c r="H618" s="10">
        <f t="shared" si="18"/>
        <v>9.4235532537716729E-2</v>
      </c>
      <c r="I618" s="15">
        <f t="shared" si="19"/>
        <v>5022</v>
      </c>
    </row>
    <row r="619" spans="2:10" hidden="1" x14ac:dyDescent="0.3">
      <c r="B619" s="5">
        <v>3000</v>
      </c>
      <c r="C619" s="5">
        <v>382</v>
      </c>
      <c r="D619" s="5">
        <v>325</v>
      </c>
      <c r="E619" s="5">
        <v>36000</v>
      </c>
      <c r="F619" s="5">
        <v>35819</v>
      </c>
      <c r="G619" s="5">
        <v>19</v>
      </c>
      <c r="H619" s="10">
        <f t="shared" si="18"/>
        <v>0.10297222222222223</v>
      </c>
      <c r="I619" s="15">
        <f t="shared" si="19"/>
        <v>3707</v>
      </c>
    </row>
    <row r="620" spans="2:10" hidden="1" x14ac:dyDescent="0.3">
      <c r="B620" s="5">
        <v>1071</v>
      </c>
      <c r="C620" s="5">
        <v>519</v>
      </c>
      <c r="D620" s="5">
        <v>22</v>
      </c>
      <c r="E620" s="5">
        <v>16065</v>
      </c>
      <c r="F620" s="5">
        <v>15865</v>
      </c>
      <c r="G620" s="5">
        <v>103</v>
      </c>
      <c r="H620" s="10">
        <f t="shared" si="18"/>
        <v>0.10034235916588857</v>
      </c>
      <c r="I620" s="15">
        <f t="shared" si="19"/>
        <v>1612</v>
      </c>
    </row>
    <row r="621" spans="2:10" hidden="1" x14ac:dyDescent="0.3">
      <c r="B621" s="5">
        <v>4054</v>
      </c>
      <c r="C621" s="5">
        <v>488</v>
      </c>
      <c r="D621" s="5">
        <v>373</v>
      </c>
      <c r="E621" s="5">
        <v>77026</v>
      </c>
      <c r="F621" s="5">
        <v>76881</v>
      </c>
      <c r="G621" s="5">
        <v>25</v>
      </c>
      <c r="H621" s="10">
        <f t="shared" si="18"/>
        <v>6.3809622724794221E-2</v>
      </c>
      <c r="I621" s="15">
        <f t="shared" si="19"/>
        <v>4915</v>
      </c>
    </row>
    <row r="622" spans="2:10" hidden="1" x14ac:dyDescent="0.3">
      <c r="B622" s="5">
        <v>4838</v>
      </c>
      <c r="C622" s="5">
        <v>640</v>
      </c>
      <c r="D622" s="5">
        <v>128</v>
      </c>
      <c r="E622" s="5">
        <v>72570</v>
      </c>
      <c r="F622" s="5">
        <v>72396</v>
      </c>
      <c r="G622" s="5">
        <v>83</v>
      </c>
      <c r="H622" s="10">
        <f t="shared" si="18"/>
        <v>7.7249552156538517E-2</v>
      </c>
      <c r="I622" s="15">
        <f t="shared" si="19"/>
        <v>5606</v>
      </c>
    </row>
    <row r="623" spans="2:10" hidden="1" x14ac:dyDescent="0.3">
      <c r="B623" s="5">
        <v>1570</v>
      </c>
      <c r="C623" s="5">
        <v>187</v>
      </c>
      <c r="D623" s="5">
        <v>260</v>
      </c>
      <c r="E623" s="5">
        <v>25120</v>
      </c>
      <c r="F623" s="5">
        <v>24613</v>
      </c>
      <c r="G623" s="5">
        <v>133</v>
      </c>
      <c r="H623" s="10">
        <f t="shared" si="18"/>
        <v>8.0294585987261149E-2</v>
      </c>
      <c r="I623" s="15">
        <f t="shared" si="19"/>
        <v>2017</v>
      </c>
    </row>
    <row r="624" spans="2:10" hidden="1" x14ac:dyDescent="0.3">
      <c r="B624" s="5">
        <v>1606</v>
      </c>
      <c r="C624" s="5">
        <v>547</v>
      </c>
      <c r="D624" s="5">
        <v>316</v>
      </c>
      <c r="E624" s="5">
        <v>32120</v>
      </c>
      <c r="F624" s="5">
        <v>31736</v>
      </c>
      <c r="G624" s="5">
        <v>225</v>
      </c>
      <c r="H624" s="10">
        <f t="shared" si="18"/>
        <v>7.6867995018679955E-2</v>
      </c>
      <c r="I624" s="15">
        <f t="shared" si="19"/>
        <v>2469</v>
      </c>
      <c r="J624" t="s">
        <v>600</v>
      </c>
    </row>
    <row r="625" spans="2:9" hidden="1" x14ac:dyDescent="0.3">
      <c r="B625" s="5">
        <v>3961</v>
      </c>
      <c r="C625" s="5">
        <v>761</v>
      </c>
      <c r="D625" s="5">
        <v>131</v>
      </c>
      <c r="E625" s="5">
        <v>67337</v>
      </c>
      <c r="F625" s="5">
        <v>66615</v>
      </c>
      <c r="G625" s="5">
        <v>161</v>
      </c>
      <c r="H625" s="10">
        <f t="shared" si="18"/>
        <v>7.2070332803659209E-2</v>
      </c>
      <c r="I625" s="15">
        <f t="shared" si="19"/>
        <v>4853</v>
      </c>
    </row>
    <row r="626" spans="2:9" hidden="1" x14ac:dyDescent="0.3">
      <c r="B626" s="5">
        <v>3128</v>
      </c>
      <c r="C626" s="5">
        <v>211</v>
      </c>
      <c r="D626" s="5">
        <v>197</v>
      </c>
      <c r="E626" s="5">
        <v>59432</v>
      </c>
      <c r="F626" s="5">
        <v>59182</v>
      </c>
      <c r="G626" s="5">
        <v>238</v>
      </c>
      <c r="H626" s="10">
        <f t="shared" si="18"/>
        <v>5.9496567505720827E-2</v>
      </c>
      <c r="I626" s="15">
        <f t="shared" si="19"/>
        <v>3536</v>
      </c>
    </row>
    <row r="627" spans="2:9" hidden="1" x14ac:dyDescent="0.3">
      <c r="B627" s="5">
        <v>3009</v>
      </c>
      <c r="C627" s="5">
        <v>413</v>
      </c>
      <c r="D627" s="5">
        <v>358</v>
      </c>
      <c r="E627" s="5">
        <v>42126</v>
      </c>
      <c r="F627" s="5">
        <v>41309</v>
      </c>
      <c r="G627" s="5">
        <v>211</v>
      </c>
      <c r="H627" s="10">
        <f t="shared" si="18"/>
        <v>8.9730807577268201E-2</v>
      </c>
      <c r="I627" s="15">
        <f t="shared" si="19"/>
        <v>3780</v>
      </c>
    </row>
    <row r="628" spans="2:9" hidden="1" x14ac:dyDescent="0.3">
      <c r="B628" s="5">
        <v>2076</v>
      </c>
      <c r="C628" s="5">
        <v>195</v>
      </c>
      <c r="D628" s="5">
        <v>104</v>
      </c>
      <c r="E628" s="5">
        <v>33216</v>
      </c>
      <c r="F628" s="5">
        <v>32244</v>
      </c>
      <c r="G628" s="5">
        <v>51</v>
      </c>
      <c r="H628" s="10">
        <f t="shared" si="18"/>
        <v>7.1501685934489398E-2</v>
      </c>
      <c r="I628" s="15">
        <f t="shared" si="19"/>
        <v>2375</v>
      </c>
    </row>
    <row r="629" spans="2:9" hidden="1" x14ac:dyDescent="0.3">
      <c r="B629" s="5">
        <v>432</v>
      </c>
      <c r="C629" s="5">
        <v>624</v>
      </c>
      <c r="D629" s="5">
        <v>123</v>
      </c>
      <c r="E629" s="5">
        <v>6912</v>
      </c>
      <c r="F629" s="5">
        <v>6259</v>
      </c>
      <c r="G629" s="5">
        <v>79</v>
      </c>
      <c r="H629" s="10">
        <f t="shared" si="18"/>
        <v>0.17057291666666666</v>
      </c>
      <c r="I629" s="15">
        <f t="shared" si="19"/>
        <v>1179</v>
      </c>
    </row>
    <row r="630" spans="2:9" hidden="1" x14ac:dyDescent="0.3">
      <c r="B630" s="5">
        <v>2566</v>
      </c>
      <c r="C630" s="5">
        <v>118</v>
      </c>
      <c r="D630" s="5">
        <v>37</v>
      </c>
      <c r="E630" s="5">
        <v>12830</v>
      </c>
      <c r="F630" s="5">
        <v>12264</v>
      </c>
      <c r="G630" s="5">
        <v>221</v>
      </c>
      <c r="H630" s="10">
        <f t="shared" si="18"/>
        <v>0.21208106001558846</v>
      </c>
      <c r="I630" s="15">
        <f t="shared" si="19"/>
        <v>2721</v>
      </c>
    </row>
    <row r="631" spans="2:9" hidden="1" x14ac:dyDescent="0.3">
      <c r="B631" s="5">
        <v>3095</v>
      </c>
      <c r="C631" s="5">
        <v>39</v>
      </c>
      <c r="D631" s="5">
        <v>78</v>
      </c>
      <c r="E631" s="5">
        <v>55710</v>
      </c>
      <c r="F631" s="5">
        <v>54808</v>
      </c>
      <c r="G631" s="5">
        <v>93</v>
      </c>
      <c r="H631" s="10">
        <f t="shared" si="18"/>
        <v>5.7655717106444085E-2</v>
      </c>
      <c r="I631" s="15">
        <f t="shared" si="19"/>
        <v>3212</v>
      </c>
    </row>
    <row r="632" spans="2:9" hidden="1" x14ac:dyDescent="0.3">
      <c r="B632" s="5">
        <v>438</v>
      </c>
      <c r="C632" s="5">
        <v>153</v>
      </c>
      <c r="D632" s="5">
        <v>275</v>
      </c>
      <c r="E632" s="5">
        <v>3066</v>
      </c>
      <c r="F632" s="5">
        <v>2701</v>
      </c>
      <c r="G632" s="5">
        <v>282</v>
      </c>
      <c r="H632" s="10">
        <f t="shared" si="18"/>
        <v>0.28245270711024134</v>
      </c>
      <c r="I632" s="15">
        <f t="shared" si="19"/>
        <v>866</v>
      </c>
    </row>
    <row r="633" spans="2:9" hidden="1" x14ac:dyDescent="0.3">
      <c r="B633" s="5">
        <v>2278</v>
      </c>
      <c r="C633" s="5">
        <v>10</v>
      </c>
      <c r="D633" s="5">
        <v>321</v>
      </c>
      <c r="E633" s="5">
        <v>13668</v>
      </c>
      <c r="F633" s="5">
        <v>12676</v>
      </c>
      <c r="G633" s="5">
        <v>275</v>
      </c>
      <c r="H633" s="10">
        <f t="shared" si="18"/>
        <v>0.19088381621305239</v>
      </c>
      <c r="I633" s="15">
        <f t="shared" si="19"/>
        <v>2609</v>
      </c>
    </row>
    <row r="634" spans="2:9" hidden="1" x14ac:dyDescent="0.3">
      <c r="B634" s="5">
        <v>1407</v>
      </c>
      <c r="C634" s="5">
        <v>400</v>
      </c>
      <c r="D634" s="5">
        <v>351</v>
      </c>
      <c r="E634" s="5">
        <v>16884</v>
      </c>
      <c r="F634" s="5">
        <v>15954</v>
      </c>
      <c r="G634" s="5">
        <v>113</v>
      </c>
      <c r="H634" s="10">
        <f t="shared" si="18"/>
        <v>0.12781331438047855</v>
      </c>
      <c r="I634" s="15">
        <f t="shared" si="19"/>
        <v>2158</v>
      </c>
    </row>
    <row r="635" spans="2:9" hidden="1" x14ac:dyDescent="0.3">
      <c r="B635" s="5">
        <v>1652</v>
      </c>
      <c r="C635" s="5">
        <v>89</v>
      </c>
      <c r="D635" s="5">
        <v>357</v>
      </c>
      <c r="E635" s="5">
        <v>29736</v>
      </c>
      <c r="F635" s="5">
        <v>28771</v>
      </c>
      <c r="G635" s="5">
        <v>215</v>
      </c>
      <c r="H635" s="10">
        <f t="shared" si="18"/>
        <v>7.055421038471886E-2</v>
      </c>
      <c r="I635" s="15">
        <f t="shared" si="19"/>
        <v>2098</v>
      </c>
    </row>
    <row r="636" spans="2:9" hidden="1" x14ac:dyDescent="0.3">
      <c r="B636" s="5">
        <v>3775</v>
      </c>
      <c r="C636" s="5">
        <v>16</v>
      </c>
      <c r="D636" s="5">
        <v>239</v>
      </c>
      <c r="E636" s="5">
        <v>33975</v>
      </c>
      <c r="F636" s="5">
        <v>33310</v>
      </c>
      <c r="G636" s="5">
        <v>271</v>
      </c>
      <c r="H636" s="10">
        <f t="shared" si="18"/>
        <v>0.11861662987490802</v>
      </c>
      <c r="I636" s="15">
        <f t="shared" si="19"/>
        <v>4030</v>
      </c>
    </row>
    <row r="637" spans="2:9" hidden="1" x14ac:dyDescent="0.3">
      <c r="B637" s="5">
        <v>4518</v>
      </c>
      <c r="C637" s="5">
        <v>285</v>
      </c>
      <c r="D637" s="5">
        <v>383</v>
      </c>
      <c r="E637" s="5">
        <v>67770</v>
      </c>
      <c r="F637" s="5">
        <v>67621</v>
      </c>
      <c r="G637" s="5">
        <v>31</v>
      </c>
      <c r="H637" s="10">
        <f t="shared" si="18"/>
        <v>7.6523535487678915E-2</v>
      </c>
      <c r="I637" s="15">
        <f t="shared" si="19"/>
        <v>5186</v>
      </c>
    </row>
    <row r="638" spans="2:9" hidden="1" x14ac:dyDescent="0.3">
      <c r="B638" s="5">
        <v>3024</v>
      </c>
      <c r="C638" s="5">
        <v>925</v>
      </c>
      <c r="D638" s="5">
        <v>350</v>
      </c>
      <c r="E638" s="5">
        <v>24192</v>
      </c>
      <c r="F638" s="5">
        <v>23518</v>
      </c>
      <c r="G638" s="5">
        <v>36</v>
      </c>
      <c r="H638" s="10">
        <f t="shared" si="18"/>
        <v>0.17770337301587302</v>
      </c>
      <c r="I638" s="15">
        <f t="shared" si="19"/>
        <v>4299</v>
      </c>
    </row>
    <row r="639" spans="2:9" hidden="1" x14ac:dyDescent="0.3">
      <c r="B639" s="5">
        <v>3138</v>
      </c>
      <c r="C639" s="5">
        <v>123</v>
      </c>
      <c r="D639" s="5">
        <v>291</v>
      </c>
      <c r="E639" s="5">
        <v>28242</v>
      </c>
      <c r="F639" s="5">
        <v>27550</v>
      </c>
      <c r="G639" s="5">
        <v>87</v>
      </c>
      <c r="H639" s="10">
        <f t="shared" si="18"/>
        <v>0.12577012959422137</v>
      </c>
      <c r="I639" s="15">
        <f t="shared" si="19"/>
        <v>3552</v>
      </c>
    </row>
    <row r="640" spans="2:9" hidden="1" x14ac:dyDescent="0.3">
      <c r="B640" s="5">
        <v>3564</v>
      </c>
      <c r="C640" s="5">
        <v>629</v>
      </c>
      <c r="D640" s="5">
        <v>177</v>
      </c>
      <c r="E640" s="5">
        <v>60588</v>
      </c>
      <c r="F640" s="5">
        <v>59627</v>
      </c>
      <c r="G640" s="5">
        <v>92</v>
      </c>
      <c r="H640" s="10">
        <f t="shared" si="18"/>
        <v>7.2126493695121141E-2</v>
      </c>
      <c r="I640" s="15">
        <f t="shared" si="19"/>
        <v>4370</v>
      </c>
    </row>
    <row r="641" spans="2:10" hidden="1" x14ac:dyDescent="0.3">
      <c r="B641" s="5">
        <v>4750</v>
      </c>
      <c r="C641" s="5">
        <v>151</v>
      </c>
      <c r="D641" s="5">
        <v>415</v>
      </c>
      <c r="E641" s="5">
        <v>38000</v>
      </c>
      <c r="F641" s="5">
        <v>37792</v>
      </c>
      <c r="G641" s="5">
        <v>299</v>
      </c>
      <c r="H641" s="10">
        <f t="shared" si="18"/>
        <v>0.13989473684210527</v>
      </c>
      <c r="I641" s="15">
        <f t="shared" si="19"/>
        <v>5316</v>
      </c>
    </row>
    <row r="642" spans="2:10" hidden="1" x14ac:dyDescent="0.3">
      <c r="B642" s="5">
        <v>456</v>
      </c>
      <c r="C642" s="5">
        <v>629</v>
      </c>
      <c r="D642" s="5">
        <v>428</v>
      </c>
      <c r="E642" s="5">
        <v>8208</v>
      </c>
      <c r="F642" s="5">
        <v>7377</v>
      </c>
      <c r="G642" s="5">
        <v>205</v>
      </c>
      <c r="H642" s="10">
        <f t="shared" ref="H642:H705" si="20">(B642+C642+D642)/E642</f>
        <v>0.18433235867446393</v>
      </c>
      <c r="I642" s="15">
        <f t="shared" ref="I642:I705" si="21">B642+C642+D642</f>
        <v>1513</v>
      </c>
    </row>
    <row r="643" spans="2:10" hidden="1" x14ac:dyDescent="0.3">
      <c r="B643" s="5">
        <v>1543</v>
      </c>
      <c r="C643" s="5">
        <v>820</v>
      </c>
      <c r="D643" s="5">
        <v>333</v>
      </c>
      <c r="E643" s="5">
        <v>12344</v>
      </c>
      <c r="F643" s="5">
        <v>11496</v>
      </c>
      <c r="G643" s="5">
        <v>241</v>
      </c>
      <c r="H643" s="10">
        <f t="shared" si="20"/>
        <v>0.21840570317563188</v>
      </c>
      <c r="I643" s="15">
        <f t="shared" si="21"/>
        <v>2696</v>
      </c>
    </row>
    <row r="644" spans="2:10" hidden="1" x14ac:dyDescent="0.3">
      <c r="B644" s="5">
        <v>2174</v>
      </c>
      <c r="C644" s="5">
        <v>658</v>
      </c>
      <c r="D644" s="5">
        <v>15</v>
      </c>
      <c r="E644" s="5">
        <v>13044</v>
      </c>
      <c r="F644" s="5">
        <v>12206</v>
      </c>
      <c r="G644" s="5">
        <v>137</v>
      </c>
      <c r="H644" s="10">
        <f t="shared" si="20"/>
        <v>0.21826126954921804</v>
      </c>
      <c r="I644" s="15">
        <f t="shared" si="21"/>
        <v>2847</v>
      </c>
    </row>
    <row r="645" spans="2:10" hidden="1" x14ac:dyDescent="0.3">
      <c r="B645" s="5">
        <v>2358</v>
      </c>
      <c r="C645" s="5">
        <v>784</v>
      </c>
      <c r="D645" s="5">
        <v>344</v>
      </c>
      <c r="E645" s="5">
        <v>35370</v>
      </c>
      <c r="F645" s="5">
        <v>34475</v>
      </c>
      <c r="G645" s="5">
        <v>216</v>
      </c>
      <c r="H645" s="10">
        <f t="shared" si="20"/>
        <v>9.8558100084817649E-2</v>
      </c>
      <c r="I645" s="15">
        <f t="shared" si="21"/>
        <v>3486</v>
      </c>
    </row>
    <row r="646" spans="2:10" hidden="1" x14ac:dyDescent="0.3">
      <c r="B646" s="5">
        <v>3371</v>
      </c>
      <c r="C646" s="5">
        <v>106</v>
      </c>
      <c r="D646" s="5">
        <v>327</v>
      </c>
      <c r="E646" s="5">
        <v>50565</v>
      </c>
      <c r="F646" s="5">
        <v>49816</v>
      </c>
      <c r="G646" s="5">
        <v>176</v>
      </c>
      <c r="H646" s="10">
        <f t="shared" si="20"/>
        <v>7.5229902106199939E-2</v>
      </c>
      <c r="I646" s="15">
        <f t="shared" si="21"/>
        <v>3804</v>
      </c>
    </row>
    <row r="647" spans="2:10" hidden="1" x14ac:dyDescent="0.3">
      <c r="B647" s="5">
        <v>1108</v>
      </c>
      <c r="C647" s="5">
        <v>177</v>
      </c>
      <c r="D647" s="5">
        <v>212</v>
      </c>
      <c r="E647" s="5">
        <v>8864</v>
      </c>
      <c r="F647" s="5">
        <v>8710</v>
      </c>
      <c r="G647" s="5">
        <v>97</v>
      </c>
      <c r="H647" s="10">
        <f t="shared" si="20"/>
        <v>0.16888537906137185</v>
      </c>
      <c r="I647" s="15">
        <f t="shared" si="21"/>
        <v>1497</v>
      </c>
    </row>
    <row r="648" spans="2:10" hidden="1" x14ac:dyDescent="0.3">
      <c r="B648" s="5">
        <v>2704</v>
      </c>
      <c r="C648" s="5">
        <v>752</v>
      </c>
      <c r="D648" s="5">
        <v>153</v>
      </c>
      <c r="E648" s="5">
        <v>21632</v>
      </c>
      <c r="F648" s="5">
        <v>20792</v>
      </c>
      <c r="G648" s="5">
        <v>127</v>
      </c>
      <c r="H648" s="10">
        <f t="shared" si="20"/>
        <v>0.16683616863905326</v>
      </c>
      <c r="I648" s="15">
        <f t="shared" si="21"/>
        <v>3609</v>
      </c>
    </row>
    <row r="649" spans="2:10" hidden="1" x14ac:dyDescent="0.3">
      <c r="B649" s="5">
        <v>1950</v>
      </c>
      <c r="C649" s="5">
        <v>295</v>
      </c>
      <c r="D649" s="5">
        <v>478</v>
      </c>
      <c r="E649" s="5">
        <v>37050</v>
      </c>
      <c r="F649" s="5">
        <v>36272</v>
      </c>
      <c r="G649" s="5">
        <v>119</v>
      </c>
      <c r="H649" s="10">
        <f t="shared" si="20"/>
        <v>7.349527665317139E-2</v>
      </c>
      <c r="I649" s="15">
        <f t="shared" si="21"/>
        <v>2723</v>
      </c>
    </row>
    <row r="650" spans="2:10" hidden="1" x14ac:dyDescent="0.3">
      <c r="B650" s="5">
        <v>2164</v>
      </c>
      <c r="C650" s="5">
        <v>549</v>
      </c>
      <c r="D650" s="5">
        <v>274</v>
      </c>
      <c r="E650" s="5">
        <v>28132</v>
      </c>
      <c r="F650" s="5">
        <v>27361</v>
      </c>
      <c r="G650" s="5">
        <v>177</v>
      </c>
      <c r="H650" s="10">
        <f t="shared" si="20"/>
        <v>0.10617801791554102</v>
      </c>
      <c r="I650" s="15">
        <f t="shared" si="21"/>
        <v>2987</v>
      </c>
    </row>
    <row r="651" spans="2:10" hidden="1" x14ac:dyDescent="0.3">
      <c r="B651" s="5">
        <v>2754</v>
      </c>
      <c r="C651" s="5">
        <v>130</v>
      </c>
      <c r="D651" s="5">
        <v>90</v>
      </c>
      <c r="E651" s="5">
        <v>22032</v>
      </c>
      <c r="F651" s="5">
        <v>21288</v>
      </c>
      <c r="G651" s="5">
        <v>112</v>
      </c>
      <c r="H651" s="10">
        <f t="shared" si="20"/>
        <v>0.13498547567175018</v>
      </c>
      <c r="I651" s="15">
        <f t="shared" si="21"/>
        <v>2974</v>
      </c>
    </row>
    <row r="652" spans="2:10" hidden="1" x14ac:dyDescent="0.3">
      <c r="B652" s="5">
        <v>2200</v>
      </c>
      <c r="C652" s="5">
        <v>504</v>
      </c>
      <c r="D652" s="5">
        <v>239</v>
      </c>
      <c r="E652" s="5">
        <v>37400</v>
      </c>
      <c r="F652" s="5">
        <v>36938</v>
      </c>
      <c r="G652" s="5">
        <v>225</v>
      </c>
      <c r="H652" s="10">
        <f t="shared" si="20"/>
        <v>7.8689839572192513E-2</v>
      </c>
      <c r="I652" s="15">
        <f t="shared" si="21"/>
        <v>2943</v>
      </c>
    </row>
    <row r="653" spans="2:10" hidden="1" x14ac:dyDescent="0.3">
      <c r="B653" s="5">
        <v>947</v>
      </c>
      <c r="C653" s="5">
        <v>338</v>
      </c>
      <c r="D653" s="5">
        <v>350</v>
      </c>
      <c r="E653" s="5">
        <v>10417</v>
      </c>
      <c r="F653" s="5">
        <v>9730</v>
      </c>
      <c r="G653" s="5">
        <v>34</v>
      </c>
      <c r="H653" s="10">
        <f t="shared" si="20"/>
        <v>0.1569549774407219</v>
      </c>
      <c r="I653" s="15">
        <f t="shared" si="21"/>
        <v>1635</v>
      </c>
    </row>
    <row r="654" spans="2:10" hidden="1" x14ac:dyDescent="0.3">
      <c r="B654" s="5">
        <v>804</v>
      </c>
      <c r="C654" s="5">
        <v>639</v>
      </c>
      <c r="D654" s="5">
        <v>43</v>
      </c>
      <c r="E654" s="5">
        <v>4020</v>
      </c>
      <c r="F654" s="5">
        <v>3144</v>
      </c>
      <c r="G654" s="5">
        <v>11</v>
      </c>
      <c r="H654" s="10">
        <f t="shared" si="20"/>
        <v>0.36965174129353234</v>
      </c>
      <c r="I654" s="15">
        <f t="shared" si="21"/>
        <v>1486</v>
      </c>
      <c r="J654" t="s">
        <v>601</v>
      </c>
    </row>
    <row r="655" spans="2:10" hidden="1" x14ac:dyDescent="0.3">
      <c r="B655" s="5">
        <v>1686</v>
      </c>
      <c r="C655" s="5">
        <v>904</v>
      </c>
      <c r="D655" s="5">
        <v>472</v>
      </c>
      <c r="E655" s="5">
        <v>18546</v>
      </c>
      <c r="F655" s="5">
        <v>18171</v>
      </c>
      <c r="G655" s="5">
        <v>52</v>
      </c>
      <c r="H655" s="10">
        <f t="shared" si="20"/>
        <v>0.16510298716704411</v>
      </c>
      <c r="I655" s="15">
        <f t="shared" si="21"/>
        <v>3062</v>
      </c>
    </row>
    <row r="656" spans="2:10" hidden="1" x14ac:dyDescent="0.3">
      <c r="B656" s="5">
        <v>1226</v>
      </c>
      <c r="C656" s="5">
        <v>119</v>
      </c>
      <c r="D656" s="5">
        <v>7</v>
      </c>
      <c r="E656" s="5">
        <v>14712</v>
      </c>
      <c r="F656" s="5">
        <v>14049</v>
      </c>
      <c r="G656" s="5">
        <v>123</v>
      </c>
      <c r="H656" s="10">
        <f t="shared" si="20"/>
        <v>9.1897770527460579E-2</v>
      </c>
      <c r="I656" s="15">
        <f t="shared" si="21"/>
        <v>1352</v>
      </c>
    </row>
    <row r="657" spans="1:9" hidden="1" x14ac:dyDescent="0.3">
      <c r="B657" s="5">
        <v>2946</v>
      </c>
      <c r="C657" s="5">
        <v>498</v>
      </c>
      <c r="D657" s="5">
        <v>367</v>
      </c>
      <c r="E657" s="5">
        <v>29460</v>
      </c>
      <c r="F657" s="5">
        <v>28527</v>
      </c>
      <c r="G657" s="5">
        <v>60</v>
      </c>
      <c r="H657" s="10">
        <f t="shared" si="20"/>
        <v>0.12936184657162253</v>
      </c>
      <c r="I657" s="15">
        <f t="shared" si="21"/>
        <v>3811</v>
      </c>
    </row>
    <row r="658" spans="1:9" hidden="1" x14ac:dyDescent="0.3">
      <c r="B658" s="5">
        <v>2825</v>
      </c>
      <c r="C658" s="5">
        <v>535</v>
      </c>
      <c r="D658" s="5">
        <v>295</v>
      </c>
      <c r="E658" s="5">
        <v>45200</v>
      </c>
      <c r="F658" s="5">
        <v>44739</v>
      </c>
      <c r="G658" s="5">
        <v>169</v>
      </c>
      <c r="H658" s="10">
        <f t="shared" si="20"/>
        <v>8.0862831858407078E-2</v>
      </c>
      <c r="I658" s="15">
        <f t="shared" si="21"/>
        <v>3655</v>
      </c>
    </row>
    <row r="659" spans="1:9" hidden="1" x14ac:dyDescent="0.3">
      <c r="B659" s="5">
        <v>103</v>
      </c>
      <c r="C659" s="5">
        <v>770</v>
      </c>
      <c r="D659" s="5">
        <v>19</v>
      </c>
      <c r="E659" s="5">
        <v>1030</v>
      </c>
      <c r="F659" s="5">
        <v>410</v>
      </c>
      <c r="G659" s="5">
        <v>262</v>
      </c>
      <c r="H659" s="10">
        <f t="shared" si="20"/>
        <v>0.86601941747572819</v>
      </c>
      <c r="I659" s="15">
        <f t="shared" si="21"/>
        <v>892</v>
      </c>
    </row>
    <row r="660" spans="1:9" hidden="1" x14ac:dyDescent="0.3">
      <c r="B660" s="5">
        <v>2180</v>
      </c>
      <c r="C660" s="5">
        <v>263</v>
      </c>
      <c r="D660" s="5">
        <v>387</v>
      </c>
      <c r="E660" s="5">
        <v>30520</v>
      </c>
      <c r="F660" s="5">
        <v>30059</v>
      </c>
      <c r="G660" s="5">
        <v>174</v>
      </c>
      <c r="H660" s="10">
        <f t="shared" si="20"/>
        <v>9.2726081258191345E-2</v>
      </c>
      <c r="I660" s="15">
        <f t="shared" si="21"/>
        <v>2830</v>
      </c>
    </row>
    <row r="661" spans="1:9" x14ac:dyDescent="0.3">
      <c r="A661" s="29" t="s">
        <v>600</v>
      </c>
      <c r="B661" s="52">
        <v>904</v>
      </c>
      <c r="C661" s="52">
        <v>973</v>
      </c>
      <c r="D661" s="52">
        <v>63</v>
      </c>
      <c r="E661" s="52">
        <v>11752</v>
      </c>
      <c r="F661" s="52">
        <v>11580</v>
      </c>
      <c r="G661" s="52">
        <v>84</v>
      </c>
      <c r="H661" s="32">
        <f t="shared" si="20"/>
        <v>0.1650782845473111</v>
      </c>
      <c r="I661" s="31">
        <f t="shared" si="21"/>
        <v>1940</v>
      </c>
    </row>
    <row r="662" spans="1:9" hidden="1" x14ac:dyDescent="0.3">
      <c r="B662" s="5">
        <v>4886</v>
      </c>
      <c r="C662" s="5">
        <v>983</v>
      </c>
      <c r="D662" s="5">
        <v>409</v>
      </c>
      <c r="E662" s="5">
        <v>43974</v>
      </c>
      <c r="F662" s="5">
        <v>43239</v>
      </c>
      <c r="G662" s="5">
        <v>65</v>
      </c>
      <c r="H662" s="10">
        <f t="shared" si="20"/>
        <v>0.14276618001546368</v>
      </c>
      <c r="I662" s="15">
        <f t="shared" si="21"/>
        <v>6278</v>
      </c>
    </row>
    <row r="663" spans="1:9" hidden="1" x14ac:dyDescent="0.3">
      <c r="B663" s="5">
        <v>53</v>
      </c>
      <c r="C663" s="5">
        <v>81</v>
      </c>
      <c r="D663" s="5">
        <v>379</v>
      </c>
      <c r="E663" s="5">
        <v>954</v>
      </c>
      <c r="F663" s="5">
        <v>7</v>
      </c>
      <c r="G663" s="5">
        <v>148</v>
      </c>
      <c r="H663" s="10">
        <f t="shared" si="20"/>
        <v>0.53773584905660377</v>
      </c>
      <c r="I663" s="15">
        <f t="shared" si="21"/>
        <v>513</v>
      </c>
    </row>
    <row r="664" spans="1:9" hidden="1" x14ac:dyDescent="0.3">
      <c r="B664" s="5">
        <v>4507</v>
      </c>
      <c r="C664" s="5">
        <v>217</v>
      </c>
      <c r="D664" s="5">
        <v>13</v>
      </c>
      <c r="E664" s="5">
        <v>90140</v>
      </c>
      <c r="F664" s="5">
        <v>89591</v>
      </c>
      <c r="G664" s="5">
        <v>125</v>
      </c>
      <c r="H664" s="10">
        <f t="shared" si="20"/>
        <v>5.2551586421122697E-2</v>
      </c>
      <c r="I664" s="15">
        <f t="shared" si="21"/>
        <v>4737</v>
      </c>
    </row>
    <row r="665" spans="1:9" hidden="1" x14ac:dyDescent="0.3">
      <c r="B665" s="5">
        <v>2878</v>
      </c>
      <c r="C665" s="5">
        <v>248</v>
      </c>
      <c r="D665" s="5">
        <v>416</v>
      </c>
      <c r="E665" s="5">
        <v>43170</v>
      </c>
      <c r="F665" s="5">
        <v>42667</v>
      </c>
      <c r="G665" s="5">
        <v>75</v>
      </c>
      <c r="H665" s="10">
        <f t="shared" si="20"/>
        <v>8.2047718322909427E-2</v>
      </c>
      <c r="I665" s="15">
        <f t="shared" si="21"/>
        <v>3542</v>
      </c>
    </row>
    <row r="666" spans="1:9" hidden="1" x14ac:dyDescent="0.3">
      <c r="B666" s="5">
        <v>1881</v>
      </c>
      <c r="C666" s="5">
        <v>501</v>
      </c>
      <c r="D666" s="5">
        <v>99</v>
      </c>
      <c r="E666" s="5">
        <v>20691</v>
      </c>
      <c r="F666" s="5">
        <v>19987</v>
      </c>
      <c r="G666" s="5">
        <v>289</v>
      </c>
      <c r="H666" s="10">
        <f t="shared" si="20"/>
        <v>0.11990720603160794</v>
      </c>
      <c r="I666" s="15">
        <f t="shared" si="21"/>
        <v>2481</v>
      </c>
    </row>
    <row r="667" spans="1:9" hidden="1" x14ac:dyDescent="0.3">
      <c r="B667" s="5">
        <v>432</v>
      </c>
      <c r="C667" s="5">
        <v>171</v>
      </c>
      <c r="D667" s="5">
        <v>280</v>
      </c>
      <c r="E667" s="5">
        <v>3024</v>
      </c>
      <c r="F667" s="5">
        <v>2285</v>
      </c>
      <c r="G667" s="5">
        <v>184</v>
      </c>
      <c r="H667" s="10">
        <f t="shared" si="20"/>
        <v>0.29199735449735448</v>
      </c>
      <c r="I667" s="15">
        <f t="shared" si="21"/>
        <v>883</v>
      </c>
    </row>
    <row r="668" spans="1:9" hidden="1" x14ac:dyDescent="0.3">
      <c r="B668" s="5">
        <v>4712</v>
      </c>
      <c r="C668" s="5">
        <v>568</v>
      </c>
      <c r="D668" s="5">
        <v>127</v>
      </c>
      <c r="E668" s="5">
        <v>84816</v>
      </c>
      <c r="F668" s="5">
        <v>84691</v>
      </c>
      <c r="G668" s="5">
        <v>100</v>
      </c>
      <c r="H668" s="10">
        <f t="shared" si="20"/>
        <v>6.3749764195434822E-2</v>
      </c>
      <c r="I668" s="15">
        <f t="shared" si="21"/>
        <v>5407</v>
      </c>
    </row>
    <row r="669" spans="1:9" hidden="1" x14ac:dyDescent="0.3">
      <c r="B669" s="5">
        <v>2610</v>
      </c>
      <c r="C669" s="5">
        <v>126</v>
      </c>
      <c r="D669" s="5">
        <v>288</v>
      </c>
      <c r="E669" s="5">
        <v>15660</v>
      </c>
      <c r="F669" s="5">
        <v>15145</v>
      </c>
      <c r="G669" s="5">
        <v>73</v>
      </c>
      <c r="H669" s="10">
        <f t="shared" si="20"/>
        <v>0.19310344827586207</v>
      </c>
      <c r="I669" s="15">
        <f t="shared" si="21"/>
        <v>3024</v>
      </c>
    </row>
    <row r="670" spans="1:9" hidden="1" x14ac:dyDescent="0.3">
      <c r="B670" s="5">
        <v>1292</v>
      </c>
      <c r="C670" s="5">
        <v>626</v>
      </c>
      <c r="D670" s="5">
        <v>496</v>
      </c>
      <c r="E670" s="5">
        <v>25840</v>
      </c>
      <c r="F670" s="5">
        <v>24916</v>
      </c>
      <c r="G670" s="5">
        <v>149</v>
      </c>
      <c r="H670" s="10">
        <f t="shared" si="20"/>
        <v>9.3421052631578946E-2</v>
      </c>
      <c r="I670" s="15">
        <f t="shared" si="21"/>
        <v>2414</v>
      </c>
    </row>
    <row r="671" spans="1:9" hidden="1" x14ac:dyDescent="0.3">
      <c r="B671" s="5">
        <v>199</v>
      </c>
      <c r="C671" s="5">
        <v>772</v>
      </c>
      <c r="D671" s="5">
        <v>400</v>
      </c>
      <c r="E671" s="5">
        <v>3582</v>
      </c>
      <c r="F671" s="5">
        <v>2988</v>
      </c>
      <c r="G671" s="5">
        <v>43</v>
      </c>
      <c r="H671" s="10">
        <f t="shared" si="20"/>
        <v>0.38274706867671693</v>
      </c>
      <c r="I671" s="15">
        <f t="shared" si="21"/>
        <v>1371</v>
      </c>
    </row>
    <row r="672" spans="1:9" hidden="1" x14ac:dyDescent="0.3">
      <c r="B672" s="5">
        <v>2551</v>
      </c>
      <c r="C672" s="5">
        <v>915</v>
      </c>
      <c r="D672" s="5">
        <v>205</v>
      </c>
      <c r="E672" s="5">
        <v>30612</v>
      </c>
      <c r="F672" s="5">
        <v>30360</v>
      </c>
      <c r="G672" s="5">
        <v>227</v>
      </c>
      <c r="H672" s="10">
        <f t="shared" si="20"/>
        <v>0.1199202926956749</v>
      </c>
      <c r="I672" s="15">
        <f t="shared" si="21"/>
        <v>3671</v>
      </c>
    </row>
    <row r="673" spans="1:10" hidden="1" x14ac:dyDescent="0.3">
      <c r="B673" s="5">
        <v>296</v>
      </c>
      <c r="C673" s="5">
        <v>60</v>
      </c>
      <c r="D673" s="5">
        <v>141</v>
      </c>
      <c r="E673" s="5">
        <v>5624</v>
      </c>
      <c r="F673" s="5">
        <v>5239</v>
      </c>
      <c r="G673" s="5">
        <v>88</v>
      </c>
      <c r="H673" s="10">
        <f t="shared" si="20"/>
        <v>8.837126600284495E-2</v>
      </c>
      <c r="I673" s="15">
        <f t="shared" si="21"/>
        <v>497</v>
      </c>
    </row>
    <row r="674" spans="1:10" hidden="1" x14ac:dyDescent="0.3">
      <c r="B674" s="5">
        <v>4126</v>
      </c>
      <c r="C674" s="5">
        <v>426</v>
      </c>
      <c r="D674" s="5">
        <v>486</v>
      </c>
      <c r="E674" s="5">
        <v>78394</v>
      </c>
      <c r="F674" s="5">
        <v>77798</v>
      </c>
      <c r="G674" s="5">
        <v>88</v>
      </c>
      <c r="H674" s="10">
        <f t="shared" si="20"/>
        <v>6.4265122330790625E-2</v>
      </c>
      <c r="I674" s="15">
        <f t="shared" si="21"/>
        <v>5038</v>
      </c>
    </row>
    <row r="675" spans="1:10" hidden="1" x14ac:dyDescent="0.3">
      <c r="B675" s="5">
        <v>1855</v>
      </c>
      <c r="C675" s="5">
        <v>200</v>
      </c>
      <c r="D675" s="5">
        <v>174</v>
      </c>
      <c r="E675" s="5">
        <v>16695</v>
      </c>
      <c r="F675" s="5">
        <v>16330</v>
      </c>
      <c r="G675" s="5">
        <v>123</v>
      </c>
      <c r="H675" s="10">
        <f t="shared" si="20"/>
        <v>0.13351302785265048</v>
      </c>
      <c r="I675" s="15">
        <f t="shared" si="21"/>
        <v>2229</v>
      </c>
    </row>
    <row r="676" spans="1:10" hidden="1" x14ac:dyDescent="0.3">
      <c r="B676" s="5">
        <v>1674</v>
      </c>
      <c r="C676" s="5">
        <v>929</v>
      </c>
      <c r="D676" s="5">
        <v>37</v>
      </c>
      <c r="E676" s="5">
        <v>21762</v>
      </c>
      <c r="F676" s="5">
        <v>20998</v>
      </c>
      <c r="G676" s="5">
        <v>255</v>
      </c>
      <c r="H676" s="10">
        <f t="shared" si="20"/>
        <v>0.12131237937689551</v>
      </c>
      <c r="I676" s="15">
        <f t="shared" si="21"/>
        <v>2640</v>
      </c>
    </row>
    <row r="677" spans="1:10" hidden="1" x14ac:dyDescent="0.3">
      <c r="B677" s="5">
        <v>1121</v>
      </c>
      <c r="C677" s="5">
        <v>135</v>
      </c>
      <c r="D677" s="5">
        <v>18</v>
      </c>
      <c r="E677" s="5">
        <v>15694</v>
      </c>
      <c r="F677" s="5">
        <v>14957</v>
      </c>
      <c r="G677" s="5">
        <v>99</v>
      </c>
      <c r="H677" s="10">
        <f t="shared" si="20"/>
        <v>8.1177520071364848E-2</v>
      </c>
      <c r="I677" s="15">
        <f t="shared" si="21"/>
        <v>1274</v>
      </c>
    </row>
    <row r="678" spans="1:10" hidden="1" x14ac:dyDescent="0.3">
      <c r="B678" s="5">
        <v>1249</v>
      </c>
      <c r="C678" s="5">
        <v>116</v>
      </c>
      <c r="D678" s="5">
        <v>420</v>
      </c>
      <c r="E678" s="5">
        <v>8743</v>
      </c>
      <c r="F678" s="5">
        <v>8538</v>
      </c>
      <c r="G678" s="5">
        <v>63</v>
      </c>
      <c r="H678" s="10">
        <f t="shared" si="20"/>
        <v>0.20416333066453163</v>
      </c>
      <c r="I678" s="15">
        <f t="shared" si="21"/>
        <v>1785</v>
      </c>
    </row>
    <row r="679" spans="1:10" hidden="1" x14ac:dyDescent="0.3">
      <c r="B679" s="5">
        <v>954</v>
      </c>
      <c r="C679" s="5">
        <v>324</v>
      </c>
      <c r="D679" s="5">
        <v>288</v>
      </c>
      <c r="E679" s="5">
        <v>19080</v>
      </c>
      <c r="F679" s="5">
        <v>18859</v>
      </c>
      <c r="G679" s="5">
        <v>21</v>
      </c>
      <c r="H679" s="10">
        <f t="shared" si="20"/>
        <v>8.2075471698113203E-2</v>
      </c>
      <c r="I679" s="15">
        <f t="shared" si="21"/>
        <v>1566</v>
      </c>
    </row>
    <row r="680" spans="1:10" hidden="1" x14ac:dyDescent="0.3">
      <c r="B680" s="5">
        <v>3068</v>
      </c>
      <c r="C680" s="5">
        <v>137</v>
      </c>
      <c r="D680" s="5">
        <v>329</v>
      </c>
      <c r="E680" s="5">
        <v>39884</v>
      </c>
      <c r="F680" s="5">
        <v>39404</v>
      </c>
      <c r="G680" s="5">
        <v>266</v>
      </c>
      <c r="H680" s="10">
        <f t="shared" si="20"/>
        <v>8.860696018453515E-2</v>
      </c>
      <c r="I680" s="15">
        <f t="shared" si="21"/>
        <v>3534</v>
      </c>
    </row>
    <row r="681" spans="1:10" hidden="1" x14ac:dyDescent="0.3">
      <c r="B681" s="5">
        <v>2103</v>
      </c>
      <c r="C681" s="5">
        <v>892</v>
      </c>
      <c r="D681" s="5">
        <v>103</v>
      </c>
      <c r="E681" s="5">
        <v>39957</v>
      </c>
      <c r="F681" s="5">
        <v>39466</v>
      </c>
      <c r="G681" s="5">
        <v>28</v>
      </c>
      <c r="H681" s="10">
        <f t="shared" si="20"/>
        <v>7.7533348349475686E-2</v>
      </c>
      <c r="I681" s="15">
        <f t="shared" si="21"/>
        <v>3098</v>
      </c>
    </row>
    <row r="682" spans="1:10" hidden="1" x14ac:dyDescent="0.3">
      <c r="B682" s="5">
        <v>1816</v>
      </c>
      <c r="C682" s="5">
        <v>29</v>
      </c>
      <c r="D682" s="5">
        <v>41</v>
      </c>
      <c r="E682" s="5">
        <v>19976</v>
      </c>
      <c r="F682" s="5">
        <v>19262</v>
      </c>
      <c r="G682" s="5">
        <v>283</v>
      </c>
      <c r="H682" s="10">
        <f t="shared" si="20"/>
        <v>9.4413295955146179E-2</v>
      </c>
      <c r="I682" s="15">
        <f t="shared" si="21"/>
        <v>1886</v>
      </c>
    </row>
    <row r="683" spans="1:10" x14ac:dyDescent="0.3">
      <c r="A683" s="29" t="s">
        <v>600</v>
      </c>
      <c r="B683" s="52">
        <v>725</v>
      </c>
      <c r="C683" s="52">
        <v>88</v>
      </c>
      <c r="D683" s="52">
        <v>428</v>
      </c>
      <c r="E683" s="52">
        <v>14500</v>
      </c>
      <c r="F683" s="52">
        <v>13637</v>
      </c>
      <c r="G683" s="52">
        <v>200</v>
      </c>
      <c r="H683" s="32">
        <f t="shared" si="20"/>
        <v>8.558620689655172E-2</v>
      </c>
      <c r="I683" s="31">
        <f t="shared" si="21"/>
        <v>1241</v>
      </c>
    </row>
    <row r="684" spans="1:10" hidden="1" x14ac:dyDescent="0.3">
      <c r="B684" s="5">
        <v>1094</v>
      </c>
      <c r="C684" s="5">
        <v>472</v>
      </c>
      <c r="D684" s="5">
        <v>21</v>
      </c>
      <c r="E684" s="5">
        <v>9846</v>
      </c>
      <c r="F684" s="5">
        <v>9609</v>
      </c>
      <c r="G684" s="5">
        <v>112</v>
      </c>
      <c r="H684" s="10">
        <f t="shared" si="20"/>
        <v>0.16118220597196831</v>
      </c>
      <c r="I684" s="15">
        <f t="shared" si="21"/>
        <v>1587</v>
      </c>
    </row>
    <row r="685" spans="1:10" hidden="1" x14ac:dyDescent="0.3">
      <c r="B685" s="5">
        <v>1841</v>
      </c>
      <c r="C685" s="5">
        <v>851</v>
      </c>
      <c r="D685" s="5">
        <v>342</v>
      </c>
      <c r="E685" s="5">
        <v>34979</v>
      </c>
      <c r="F685" s="5">
        <v>34154</v>
      </c>
      <c r="G685" s="5">
        <v>255</v>
      </c>
      <c r="H685" s="10">
        <f t="shared" si="20"/>
        <v>8.6737756939878216E-2</v>
      </c>
      <c r="I685" s="15">
        <f t="shared" si="21"/>
        <v>3034</v>
      </c>
    </row>
    <row r="686" spans="1:10" hidden="1" x14ac:dyDescent="0.3">
      <c r="B686" s="5">
        <v>4177</v>
      </c>
      <c r="C686" s="5">
        <v>569</v>
      </c>
      <c r="D686" s="5">
        <v>55</v>
      </c>
      <c r="E686" s="5">
        <v>25062</v>
      </c>
      <c r="F686" s="5">
        <v>24847</v>
      </c>
      <c r="G686" s="5">
        <v>230</v>
      </c>
      <c r="H686" s="10">
        <f t="shared" si="20"/>
        <v>0.19156491900087783</v>
      </c>
      <c r="I686" s="15">
        <f t="shared" si="21"/>
        <v>4801</v>
      </c>
    </row>
    <row r="687" spans="1:10" hidden="1" x14ac:dyDescent="0.3">
      <c r="B687" s="5">
        <v>3428</v>
      </c>
      <c r="C687" s="5">
        <v>305</v>
      </c>
      <c r="D687" s="5">
        <v>85</v>
      </c>
      <c r="E687" s="5">
        <v>58276</v>
      </c>
      <c r="F687" s="5">
        <v>58052</v>
      </c>
      <c r="G687" s="5">
        <v>242</v>
      </c>
      <c r="H687" s="10">
        <f t="shared" si="20"/>
        <v>6.5515821264328367E-2</v>
      </c>
      <c r="I687" s="15">
        <f t="shared" si="21"/>
        <v>3818</v>
      </c>
      <c r="J687" t="s">
        <v>601</v>
      </c>
    </row>
    <row r="688" spans="1:10" hidden="1" x14ac:dyDescent="0.3">
      <c r="B688" s="5">
        <v>1436</v>
      </c>
      <c r="C688" s="5">
        <v>765</v>
      </c>
      <c r="D688" s="5">
        <v>496</v>
      </c>
      <c r="E688" s="5">
        <v>12924</v>
      </c>
      <c r="F688" s="5">
        <v>12701</v>
      </c>
      <c r="G688" s="5">
        <v>197</v>
      </c>
      <c r="H688" s="10">
        <f t="shared" si="20"/>
        <v>0.20868152274837512</v>
      </c>
      <c r="I688" s="15">
        <f t="shared" si="21"/>
        <v>2697</v>
      </c>
    </row>
    <row r="689" spans="2:10" hidden="1" x14ac:dyDescent="0.3">
      <c r="B689" s="5">
        <v>302</v>
      </c>
      <c r="C689" s="5">
        <v>47</v>
      </c>
      <c r="D689" s="5">
        <v>430</v>
      </c>
      <c r="E689" s="5">
        <v>5738</v>
      </c>
      <c r="F689" s="5">
        <v>4890</v>
      </c>
      <c r="G689" s="5">
        <v>25</v>
      </c>
      <c r="H689" s="10">
        <f t="shared" si="20"/>
        <v>0.13576158940397351</v>
      </c>
      <c r="I689" s="15">
        <f t="shared" si="21"/>
        <v>779</v>
      </c>
    </row>
    <row r="690" spans="2:10" hidden="1" x14ac:dyDescent="0.3">
      <c r="B690" s="5">
        <v>2214</v>
      </c>
      <c r="C690" s="5">
        <v>249</v>
      </c>
      <c r="D690" s="5">
        <v>152</v>
      </c>
      <c r="E690" s="5">
        <v>15498</v>
      </c>
      <c r="F690" s="5">
        <v>14800</v>
      </c>
      <c r="G690" s="5">
        <v>180</v>
      </c>
      <c r="H690" s="10">
        <f t="shared" si="20"/>
        <v>0.16873144921925409</v>
      </c>
      <c r="I690" s="15">
        <f t="shared" si="21"/>
        <v>2615</v>
      </c>
    </row>
    <row r="691" spans="2:10" hidden="1" x14ac:dyDescent="0.3">
      <c r="B691" s="5">
        <v>3861</v>
      </c>
      <c r="C691" s="5">
        <v>960</v>
      </c>
      <c r="D691" s="5">
        <v>101</v>
      </c>
      <c r="E691" s="5">
        <v>69498</v>
      </c>
      <c r="F691" s="5">
        <v>68817</v>
      </c>
      <c r="G691" s="5">
        <v>297</v>
      </c>
      <c r="H691" s="10">
        <f t="shared" si="20"/>
        <v>7.0822181933293038E-2</v>
      </c>
      <c r="I691" s="15">
        <f t="shared" si="21"/>
        <v>4922</v>
      </c>
    </row>
    <row r="692" spans="2:10" hidden="1" x14ac:dyDescent="0.3">
      <c r="B692" s="5">
        <v>1263</v>
      </c>
      <c r="C692" s="5">
        <v>397</v>
      </c>
      <c r="D692" s="5">
        <v>357</v>
      </c>
      <c r="E692" s="5">
        <v>25260</v>
      </c>
      <c r="F692" s="5">
        <v>24615</v>
      </c>
      <c r="G692" s="5">
        <v>137</v>
      </c>
      <c r="H692" s="10">
        <f t="shared" si="20"/>
        <v>7.984956452889945E-2</v>
      </c>
      <c r="I692" s="15">
        <f t="shared" si="21"/>
        <v>2017</v>
      </c>
    </row>
    <row r="693" spans="2:10" hidden="1" x14ac:dyDescent="0.3">
      <c r="B693" s="5">
        <v>3801</v>
      </c>
      <c r="C693" s="5">
        <v>967</v>
      </c>
      <c r="D693" s="5">
        <v>401</v>
      </c>
      <c r="E693" s="5">
        <v>38010</v>
      </c>
      <c r="F693" s="5">
        <v>37625</v>
      </c>
      <c r="G693" s="5">
        <v>236</v>
      </c>
      <c r="H693" s="10">
        <f t="shared" si="20"/>
        <v>0.13599052880820836</v>
      </c>
      <c r="I693" s="15">
        <f t="shared" si="21"/>
        <v>5169</v>
      </c>
    </row>
    <row r="694" spans="2:10" hidden="1" x14ac:dyDescent="0.3">
      <c r="B694" s="5">
        <v>1431</v>
      </c>
      <c r="C694" s="5">
        <v>951</v>
      </c>
      <c r="D694" s="5">
        <v>26</v>
      </c>
      <c r="E694" s="5">
        <v>8586</v>
      </c>
      <c r="F694" s="5">
        <v>8396</v>
      </c>
      <c r="G694" s="5">
        <v>150</v>
      </c>
      <c r="H694" s="10">
        <f t="shared" si="20"/>
        <v>0.28045655718611695</v>
      </c>
      <c r="I694" s="15">
        <f t="shared" si="21"/>
        <v>2408</v>
      </c>
    </row>
    <row r="695" spans="2:10" hidden="1" x14ac:dyDescent="0.3">
      <c r="B695" s="5">
        <v>2647</v>
      </c>
      <c r="C695" s="5">
        <v>304</v>
      </c>
      <c r="D695" s="5">
        <v>170</v>
      </c>
      <c r="E695" s="5">
        <v>18529</v>
      </c>
      <c r="F695" s="5">
        <v>17841</v>
      </c>
      <c r="G695" s="5">
        <v>46</v>
      </c>
      <c r="H695" s="10">
        <f t="shared" si="20"/>
        <v>0.16843866371633656</v>
      </c>
      <c r="I695" s="15">
        <f t="shared" si="21"/>
        <v>3121</v>
      </c>
    </row>
    <row r="696" spans="2:10" hidden="1" x14ac:dyDescent="0.3">
      <c r="B696" s="5">
        <v>3182</v>
      </c>
      <c r="C696" s="5">
        <v>559</v>
      </c>
      <c r="D696" s="5">
        <v>160</v>
      </c>
      <c r="E696" s="5">
        <v>57276</v>
      </c>
      <c r="F696" s="5">
        <v>56890</v>
      </c>
      <c r="G696" s="5">
        <v>163</v>
      </c>
      <c r="H696" s="10">
        <f t="shared" si="20"/>
        <v>6.8108806480899509E-2</v>
      </c>
      <c r="I696" s="15">
        <f t="shared" si="21"/>
        <v>3901</v>
      </c>
    </row>
    <row r="697" spans="2:10" hidden="1" x14ac:dyDescent="0.3">
      <c r="B697" s="5">
        <v>1238</v>
      </c>
      <c r="C697" s="5">
        <v>366</v>
      </c>
      <c r="D697" s="5">
        <v>444</v>
      </c>
      <c r="E697" s="5">
        <v>19808</v>
      </c>
      <c r="F697" s="5">
        <v>19334</v>
      </c>
      <c r="G697" s="5">
        <v>123</v>
      </c>
      <c r="H697" s="10">
        <f t="shared" si="20"/>
        <v>0.10339256865912763</v>
      </c>
      <c r="I697" s="15">
        <f t="shared" si="21"/>
        <v>2048</v>
      </c>
    </row>
    <row r="698" spans="2:10" hidden="1" x14ac:dyDescent="0.3">
      <c r="B698" s="5">
        <v>4739</v>
      </c>
      <c r="C698" s="5">
        <v>527</v>
      </c>
      <c r="D698" s="5">
        <v>135</v>
      </c>
      <c r="E698" s="5">
        <v>61607</v>
      </c>
      <c r="F698" s="5">
        <v>61333</v>
      </c>
      <c r="G698" s="5">
        <v>36</v>
      </c>
      <c r="H698" s="10">
        <f t="shared" si="20"/>
        <v>8.7668609086629767E-2</v>
      </c>
      <c r="I698" s="15">
        <f t="shared" si="21"/>
        <v>5401</v>
      </c>
      <c r="J698" t="s">
        <v>600</v>
      </c>
    </row>
    <row r="699" spans="2:10" hidden="1" x14ac:dyDescent="0.3">
      <c r="B699" s="5">
        <v>1575</v>
      </c>
      <c r="C699" s="5">
        <v>771</v>
      </c>
      <c r="D699" s="5">
        <v>486</v>
      </c>
      <c r="E699" s="5">
        <v>25200</v>
      </c>
      <c r="F699" s="5">
        <v>24826</v>
      </c>
      <c r="G699" s="5">
        <v>17</v>
      </c>
      <c r="H699" s="10">
        <f t="shared" si="20"/>
        <v>0.11238095238095239</v>
      </c>
      <c r="I699" s="15">
        <f t="shared" si="21"/>
        <v>2832</v>
      </c>
    </row>
    <row r="700" spans="2:10" hidden="1" x14ac:dyDescent="0.3">
      <c r="B700" s="5">
        <v>4171</v>
      </c>
      <c r="C700" s="5">
        <v>548</v>
      </c>
      <c r="D700" s="5">
        <v>86</v>
      </c>
      <c r="E700" s="5">
        <v>66736</v>
      </c>
      <c r="F700" s="5">
        <v>66634</v>
      </c>
      <c r="G700" s="5">
        <v>173</v>
      </c>
      <c r="H700" s="10">
        <f t="shared" si="20"/>
        <v>7.2000119875329657E-2</v>
      </c>
      <c r="I700" s="15">
        <f t="shared" si="21"/>
        <v>4805</v>
      </c>
    </row>
    <row r="701" spans="2:10" hidden="1" x14ac:dyDescent="0.3">
      <c r="B701" s="5">
        <v>1766</v>
      </c>
      <c r="C701" s="5">
        <v>92</v>
      </c>
      <c r="D701" s="5">
        <v>424</v>
      </c>
      <c r="E701" s="5">
        <v>24724</v>
      </c>
      <c r="F701" s="5">
        <v>24333</v>
      </c>
      <c r="G701" s="5">
        <v>52</v>
      </c>
      <c r="H701" s="10">
        <f t="shared" si="20"/>
        <v>9.2298980747451867E-2</v>
      </c>
      <c r="I701" s="15">
        <f t="shared" si="21"/>
        <v>2282</v>
      </c>
    </row>
    <row r="702" spans="2:10" hidden="1" x14ac:dyDescent="0.3">
      <c r="B702" s="5">
        <v>4450</v>
      </c>
      <c r="C702" s="5">
        <v>983</v>
      </c>
      <c r="D702" s="5">
        <v>143</v>
      </c>
      <c r="E702" s="5">
        <v>75650</v>
      </c>
      <c r="F702" s="5">
        <v>75008</v>
      </c>
      <c r="G702" s="5">
        <v>12</v>
      </c>
      <c r="H702" s="10">
        <f t="shared" si="20"/>
        <v>7.3707865168539333E-2</v>
      </c>
      <c r="I702" s="15">
        <f t="shared" si="21"/>
        <v>5576</v>
      </c>
    </row>
    <row r="703" spans="2:10" hidden="1" x14ac:dyDescent="0.3">
      <c r="B703" s="5">
        <v>1000</v>
      </c>
      <c r="C703" s="5">
        <v>978</v>
      </c>
      <c r="D703" s="5">
        <v>162</v>
      </c>
      <c r="E703" s="5">
        <v>6000</v>
      </c>
      <c r="F703" s="5">
        <v>5221</v>
      </c>
      <c r="G703" s="5">
        <v>223</v>
      </c>
      <c r="H703" s="10">
        <f t="shared" si="20"/>
        <v>0.35666666666666669</v>
      </c>
      <c r="I703" s="15">
        <f t="shared" si="21"/>
        <v>2140</v>
      </c>
    </row>
    <row r="704" spans="2:10" hidden="1" x14ac:dyDescent="0.3">
      <c r="B704" s="5">
        <v>3689</v>
      </c>
      <c r="C704" s="5">
        <v>48</v>
      </c>
      <c r="D704" s="5">
        <v>306</v>
      </c>
      <c r="E704" s="5">
        <v>40579</v>
      </c>
      <c r="F704" s="5">
        <v>39588</v>
      </c>
      <c r="G704" s="5">
        <v>212</v>
      </c>
      <c r="H704" s="10">
        <f t="shared" si="20"/>
        <v>9.9632815002833983E-2</v>
      </c>
      <c r="I704" s="15">
        <f t="shared" si="21"/>
        <v>4043</v>
      </c>
    </row>
    <row r="705" spans="2:10" hidden="1" x14ac:dyDescent="0.3">
      <c r="B705" s="5">
        <v>3655</v>
      </c>
      <c r="C705" s="5">
        <v>568</v>
      </c>
      <c r="D705" s="5">
        <v>286</v>
      </c>
      <c r="E705" s="5">
        <v>32895</v>
      </c>
      <c r="F705" s="5">
        <v>32015</v>
      </c>
      <c r="G705" s="5">
        <v>199</v>
      </c>
      <c r="H705" s="10">
        <f t="shared" si="20"/>
        <v>0.13707250341997265</v>
      </c>
      <c r="I705" s="15">
        <f t="shared" si="21"/>
        <v>4509</v>
      </c>
    </row>
    <row r="706" spans="2:10" hidden="1" x14ac:dyDescent="0.3">
      <c r="B706" s="5">
        <v>498</v>
      </c>
      <c r="C706" s="5">
        <v>38</v>
      </c>
      <c r="D706" s="5">
        <v>42</v>
      </c>
      <c r="E706" s="5">
        <v>4482</v>
      </c>
      <c r="F706" s="5">
        <v>3647</v>
      </c>
      <c r="G706" s="5">
        <v>32</v>
      </c>
      <c r="H706" s="10">
        <f t="shared" ref="H706:H769" si="22">(B706+C706+D706)/E706</f>
        <v>0.12896028558679162</v>
      </c>
      <c r="I706" s="15">
        <f t="shared" ref="I706:I769" si="23">B706+C706+D706</f>
        <v>578</v>
      </c>
    </row>
    <row r="707" spans="2:10" hidden="1" x14ac:dyDescent="0.3">
      <c r="B707" s="5">
        <v>4619</v>
      </c>
      <c r="C707" s="5">
        <v>821</v>
      </c>
      <c r="D707" s="5">
        <v>499</v>
      </c>
      <c r="E707" s="5">
        <v>69285</v>
      </c>
      <c r="F707" s="5">
        <v>69141</v>
      </c>
      <c r="G707" s="5">
        <v>298</v>
      </c>
      <c r="H707" s="10">
        <f t="shared" si="22"/>
        <v>8.5718409468138843E-2</v>
      </c>
      <c r="I707" s="15">
        <f t="shared" si="23"/>
        <v>5939</v>
      </c>
    </row>
    <row r="708" spans="2:10" hidden="1" x14ac:dyDescent="0.3">
      <c r="B708" s="5">
        <v>4832</v>
      </c>
      <c r="C708" s="5">
        <v>893</v>
      </c>
      <c r="D708" s="5">
        <v>10</v>
      </c>
      <c r="E708" s="5">
        <v>91808</v>
      </c>
      <c r="F708" s="5">
        <v>91296</v>
      </c>
      <c r="G708" s="5">
        <v>182</v>
      </c>
      <c r="H708" s="10">
        <f t="shared" si="22"/>
        <v>6.2467323109097243E-2</v>
      </c>
      <c r="I708" s="15">
        <f t="shared" si="23"/>
        <v>5735</v>
      </c>
    </row>
    <row r="709" spans="2:10" hidden="1" x14ac:dyDescent="0.3">
      <c r="B709" s="5">
        <v>4050</v>
      </c>
      <c r="C709" s="5">
        <v>871</v>
      </c>
      <c r="D709" s="5">
        <v>347</v>
      </c>
      <c r="E709" s="5">
        <v>52650</v>
      </c>
      <c r="F709" s="5">
        <v>51755</v>
      </c>
      <c r="G709" s="5">
        <v>209</v>
      </c>
      <c r="H709" s="10">
        <f t="shared" si="22"/>
        <v>0.10005698005698006</v>
      </c>
      <c r="I709" s="15">
        <f t="shared" si="23"/>
        <v>5268</v>
      </c>
    </row>
    <row r="710" spans="2:10" hidden="1" x14ac:dyDescent="0.3">
      <c r="B710" s="5">
        <v>3649</v>
      </c>
      <c r="C710" s="5">
        <v>215</v>
      </c>
      <c r="D710" s="5">
        <v>413</v>
      </c>
      <c r="E710" s="5">
        <v>25543</v>
      </c>
      <c r="F710" s="5">
        <v>24963</v>
      </c>
      <c r="G710" s="5">
        <v>167</v>
      </c>
      <c r="H710" s="10">
        <f t="shared" si="22"/>
        <v>0.16744313510550835</v>
      </c>
      <c r="I710" s="15">
        <f t="shared" si="23"/>
        <v>4277</v>
      </c>
    </row>
    <row r="711" spans="2:10" hidden="1" x14ac:dyDescent="0.3">
      <c r="B711" s="5">
        <v>3523</v>
      </c>
      <c r="C711" s="5">
        <v>753</v>
      </c>
      <c r="D711" s="5">
        <v>482</v>
      </c>
      <c r="E711" s="5">
        <v>38753</v>
      </c>
      <c r="F711" s="5">
        <v>38579</v>
      </c>
      <c r="G711" s="5">
        <v>270</v>
      </c>
      <c r="H711" s="10">
        <f t="shared" si="22"/>
        <v>0.12277759141227776</v>
      </c>
      <c r="I711" s="15">
        <f t="shared" si="23"/>
        <v>4758</v>
      </c>
    </row>
    <row r="712" spans="2:10" hidden="1" x14ac:dyDescent="0.3">
      <c r="B712" s="5">
        <v>2719</v>
      </c>
      <c r="C712" s="5">
        <v>17</v>
      </c>
      <c r="D712" s="5">
        <v>285</v>
      </c>
      <c r="E712" s="5">
        <v>40785</v>
      </c>
      <c r="F712" s="5">
        <v>40281</v>
      </c>
      <c r="G712" s="5">
        <v>40</v>
      </c>
      <c r="H712" s="10">
        <f t="shared" si="22"/>
        <v>7.4071349760941527E-2</v>
      </c>
      <c r="I712" s="15">
        <f t="shared" si="23"/>
        <v>3021</v>
      </c>
    </row>
    <row r="713" spans="2:10" hidden="1" x14ac:dyDescent="0.3">
      <c r="B713" s="5">
        <v>1957</v>
      </c>
      <c r="C713" s="5">
        <v>877</v>
      </c>
      <c r="D713" s="5">
        <v>238</v>
      </c>
      <c r="E713" s="5">
        <v>17613</v>
      </c>
      <c r="F713" s="5">
        <v>16865</v>
      </c>
      <c r="G713" s="5">
        <v>297</v>
      </c>
      <c r="H713" s="10">
        <f t="shared" si="22"/>
        <v>0.17441662408448305</v>
      </c>
      <c r="I713" s="15">
        <f t="shared" si="23"/>
        <v>3072</v>
      </c>
    </row>
    <row r="714" spans="2:10" hidden="1" x14ac:dyDescent="0.3">
      <c r="B714" s="5">
        <v>4419</v>
      </c>
      <c r="C714" s="5">
        <v>236</v>
      </c>
      <c r="D714" s="5">
        <v>369</v>
      </c>
      <c r="E714" s="5">
        <v>44190</v>
      </c>
      <c r="F714" s="5">
        <v>43582</v>
      </c>
      <c r="G714" s="5">
        <v>10</v>
      </c>
      <c r="H714" s="10">
        <f t="shared" si="22"/>
        <v>0.11369088028965829</v>
      </c>
      <c r="I714" s="15">
        <f t="shared" si="23"/>
        <v>5024</v>
      </c>
    </row>
    <row r="715" spans="2:10" hidden="1" x14ac:dyDescent="0.3">
      <c r="B715" s="5">
        <v>4000</v>
      </c>
      <c r="C715" s="5">
        <v>689</v>
      </c>
      <c r="D715" s="5">
        <v>488</v>
      </c>
      <c r="E715" s="5">
        <v>40000</v>
      </c>
      <c r="F715" s="5">
        <v>39569</v>
      </c>
      <c r="G715" s="5">
        <v>44</v>
      </c>
      <c r="H715" s="10">
        <f t="shared" si="22"/>
        <v>0.12942500000000001</v>
      </c>
      <c r="I715" s="15">
        <f t="shared" si="23"/>
        <v>5177</v>
      </c>
    </row>
    <row r="716" spans="2:10" hidden="1" x14ac:dyDescent="0.3">
      <c r="B716" s="5">
        <v>2493</v>
      </c>
      <c r="C716" s="5">
        <v>97</v>
      </c>
      <c r="D716" s="5">
        <v>44</v>
      </c>
      <c r="E716" s="5">
        <v>42381</v>
      </c>
      <c r="F716" s="5">
        <v>41991</v>
      </c>
      <c r="G716" s="5">
        <v>242</v>
      </c>
      <c r="H716" s="10">
        <f t="shared" si="22"/>
        <v>6.2150491965739366E-2</v>
      </c>
      <c r="I716" s="15">
        <f t="shared" si="23"/>
        <v>2634</v>
      </c>
      <c r="J716" t="s">
        <v>600</v>
      </c>
    </row>
    <row r="717" spans="2:10" hidden="1" x14ac:dyDescent="0.3">
      <c r="B717" s="5">
        <v>3704</v>
      </c>
      <c r="C717" s="5">
        <v>186</v>
      </c>
      <c r="D717" s="5">
        <v>458</v>
      </c>
      <c r="E717" s="5">
        <v>25928</v>
      </c>
      <c r="F717" s="5">
        <v>25081</v>
      </c>
      <c r="G717" s="5">
        <v>131</v>
      </c>
      <c r="H717" s="10">
        <f t="shared" si="22"/>
        <v>0.16769515581610614</v>
      </c>
      <c r="I717" s="15">
        <f t="shared" si="23"/>
        <v>4348</v>
      </c>
    </row>
    <row r="718" spans="2:10" hidden="1" x14ac:dyDescent="0.3">
      <c r="B718" s="5">
        <v>1606</v>
      </c>
      <c r="C718" s="5">
        <v>451</v>
      </c>
      <c r="D718" s="5">
        <v>405</v>
      </c>
      <c r="E718" s="5">
        <v>20878</v>
      </c>
      <c r="F718" s="5">
        <v>20190</v>
      </c>
      <c r="G718" s="5">
        <v>219</v>
      </c>
      <c r="H718" s="10">
        <f t="shared" si="22"/>
        <v>0.11792317271769326</v>
      </c>
      <c r="I718" s="15">
        <f t="shared" si="23"/>
        <v>2462</v>
      </c>
    </row>
    <row r="719" spans="2:10" hidden="1" x14ac:dyDescent="0.3">
      <c r="B719" s="5">
        <v>4551</v>
      </c>
      <c r="C719" s="5">
        <v>714</v>
      </c>
      <c r="D719" s="5">
        <v>207</v>
      </c>
      <c r="E719" s="5">
        <v>68265</v>
      </c>
      <c r="F719" s="5">
        <v>67754</v>
      </c>
      <c r="G719" s="5">
        <v>57</v>
      </c>
      <c r="H719" s="10">
        <f t="shared" si="22"/>
        <v>8.0158206987475278E-2</v>
      </c>
      <c r="I719" s="15">
        <f t="shared" si="23"/>
        <v>5472</v>
      </c>
    </row>
    <row r="720" spans="2:10" hidden="1" x14ac:dyDescent="0.3">
      <c r="B720" s="5">
        <v>1970</v>
      </c>
      <c r="C720" s="5">
        <v>675</v>
      </c>
      <c r="D720" s="5">
        <v>478</v>
      </c>
      <c r="E720" s="5">
        <v>9850</v>
      </c>
      <c r="F720" s="5">
        <v>8924</v>
      </c>
      <c r="G720" s="5">
        <v>117</v>
      </c>
      <c r="H720" s="10">
        <f t="shared" si="22"/>
        <v>0.31705583756345179</v>
      </c>
      <c r="I720" s="15">
        <f t="shared" si="23"/>
        <v>3123</v>
      </c>
    </row>
    <row r="721" spans="2:9" hidden="1" x14ac:dyDescent="0.3">
      <c r="B721" s="5">
        <v>780</v>
      </c>
      <c r="C721" s="5">
        <v>928</v>
      </c>
      <c r="D721" s="5">
        <v>301</v>
      </c>
      <c r="E721" s="5">
        <v>8580</v>
      </c>
      <c r="F721" s="5">
        <v>8081</v>
      </c>
      <c r="G721" s="5">
        <v>91</v>
      </c>
      <c r="H721" s="10">
        <f t="shared" si="22"/>
        <v>0.23414918414918415</v>
      </c>
      <c r="I721" s="15">
        <f t="shared" si="23"/>
        <v>2009</v>
      </c>
    </row>
    <row r="722" spans="2:9" hidden="1" x14ac:dyDescent="0.3">
      <c r="B722" s="5">
        <v>498</v>
      </c>
      <c r="C722" s="5">
        <v>701</v>
      </c>
      <c r="D722" s="5">
        <v>412</v>
      </c>
      <c r="E722" s="5">
        <v>4980</v>
      </c>
      <c r="F722" s="5">
        <v>4185</v>
      </c>
      <c r="G722" s="5">
        <v>185</v>
      </c>
      <c r="H722" s="10">
        <f t="shared" si="22"/>
        <v>0.32349397590361445</v>
      </c>
      <c r="I722" s="15">
        <f t="shared" si="23"/>
        <v>1611</v>
      </c>
    </row>
    <row r="723" spans="2:9" hidden="1" x14ac:dyDescent="0.3">
      <c r="B723" s="5">
        <v>3432</v>
      </c>
      <c r="C723" s="5">
        <v>869</v>
      </c>
      <c r="D723" s="5">
        <v>123</v>
      </c>
      <c r="E723" s="5">
        <v>54912</v>
      </c>
      <c r="F723" s="5">
        <v>53916</v>
      </c>
      <c r="G723" s="5">
        <v>264</v>
      </c>
      <c r="H723" s="10">
        <f t="shared" si="22"/>
        <v>8.0565268065268064E-2</v>
      </c>
      <c r="I723" s="15">
        <f t="shared" si="23"/>
        <v>4424</v>
      </c>
    </row>
    <row r="724" spans="2:9" hidden="1" x14ac:dyDescent="0.3">
      <c r="B724" s="5">
        <v>4363</v>
      </c>
      <c r="C724" s="5">
        <v>649</v>
      </c>
      <c r="D724" s="5">
        <v>140</v>
      </c>
      <c r="E724" s="5">
        <v>21815</v>
      </c>
      <c r="F724" s="5">
        <v>21481</v>
      </c>
      <c r="G724" s="5">
        <v>157</v>
      </c>
      <c r="H724" s="10">
        <f t="shared" si="22"/>
        <v>0.23616777446710979</v>
      </c>
      <c r="I724" s="15">
        <f t="shared" si="23"/>
        <v>5152</v>
      </c>
    </row>
    <row r="725" spans="2:9" hidden="1" x14ac:dyDescent="0.3">
      <c r="B725" s="5">
        <v>736</v>
      </c>
      <c r="C725" s="5">
        <v>771</v>
      </c>
      <c r="D725" s="5">
        <v>225</v>
      </c>
      <c r="E725" s="5">
        <v>5152</v>
      </c>
      <c r="F725" s="5">
        <v>4706</v>
      </c>
      <c r="G725" s="5">
        <v>19</v>
      </c>
      <c r="H725" s="10">
        <f t="shared" si="22"/>
        <v>0.33618012422360249</v>
      </c>
      <c r="I725" s="15">
        <f t="shared" si="23"/>
        <v>1732</v>
      </c>
    </row>
    <row r="726" spans="2:9" hidden="1" x14ac:dyDescent="0.3">
      <c r="B726" s="5">
        <v>3811</v>
      </c>
      <c r="C726" s="5">
        <v>866</v>
      </c>
      <c r="D726" s="5">
        <v>216</v>
      </c>
      <c r="E726" s="5">
        <v>34299</v>
      </c>
      <c r="F726" s="5">
        <v>34088</v>
      </c>
      <c r="G726" s="5">
        <v>233</v>
      </c>
      <c r="H726" s="10">
        <f t="shared" si="22"/>
        <v>0.14265722032712325</v>
      </c>
      <c r="I726" s="15">
        <f t="shared" si="23"/>
        <v>4893</v>
      </c>
    </row>
    <row r="727" spans="2:9" hidden="1" x14ac:dyDescent="0.3">
      <c r="B727" s="5">
        <v>4158</v>
      </c>
      <c r="C727" s="5">
        <v>167</v>
      </c>
      <c r="D727" s="5">
        <v>241</v>
      </c>
      <c r="E727" s="5">
        <v>45738</v>
      </c>
      <c r="F727" s="5">
        <v>45183</v>
      </c>
      <c r="G727" s="5">
        <v>142</v>
      </c>
      <c r="H727" s="10">
        <f t="shared" si="22"/>
        <v>9.9829463465827106E-2</v>
      </c>
      <c r="I727" s="15">
        <f t="shared" si="23"/>
        <v>4566</v>
      </c>
    </row>
    <row r="728" spans="2:9" hidden="1" x14ac:dyDescent="0.3">
      <c r="B728" s="5">
        <v>3452</v>
      </c>
      <c r="C728" s="5">
        <v>652</v>
      </c>
      <c r="D728" s="5">
        <v>442</v>
      </c>
      <c r="E728" s="5">
        <v>65588</v>
      </c>
      <c r="F728" s="5">
        <v>65049</v>
      </c>
      <c r="G728" s="5">
        <v>158</v>
      </c>
      <c r="H728" s="10">
        <f t="shared" si="22"/>
        <v>6.9311459413307311E-2</v>
      </c>
      <c r="I728" s="15">
        <f t="shared" si="23"/>
        <v>4546</v>
      </c>
    </row>
    <row r="729" spans="2:9" hidden="1" x14ac:dyDescent="0.3">
      <c r="B729" s="5">
        <v>3092</v>
      </c>
      <c r="C729" s="5">
        <v>106</v>
      </c>
      <c r="D729" s="5">
        <v>291</v>
      </c>
      <c r="E729" s="5">
        <v>27828</v>
      </c>
      <c r="F729" s="5">
        <v>27217</v>
      </c>
      <c r="G729" s="5">
        <v>102</v>
      </c>
      <c r="H729" s="10">
        <f t="shared" si="22"/>
        <v>0.12537731780940059</v>
      </c>
      <c r="I729" s="15">
        <f t="shared" si="23"/>
        <v>3489</v>
      </c>
    </row>
    <row r="730" spans="2:9" hidden="1" x14ac:dyDescent="0.3">
      <c r="B730" s="5">
        <v>2147</v>
      </c>
      <c r="C730" s="5">
        <v>430</v>
      </c>
      <c r="D730" s="5">
        <v>393</v>
      </c>
      <c r="E730" s="5">
        <v>17176</v>
      </c>
      <c r="F730" s="5">
        <v>16483</v>
      </c>
      <c r="G730" s="5">
        <v>170</v>
      </c>
      <c r="H730" s="10">
        <f t="shared" si="22"/>
        <v>0.17291569632044715</v>
      </c>
      <c r="I730" s="15">
        <f t="shared" si="23"/>
        <v>2970</v>
      </c>
    </row>
    <row r="731" spans="2:9" hidden="1" x14ac:dyDescent="0.3">
      <c r="B731" s="5">
        <v>2936</v>
      </c>
      <c r="C731" s="5">
        <v>439</v>
      </c>
      <c r="D731" s="5">
        <v>44</v>
      </c>
      <c r="E731" s="5">
        <v>38168</v>
      </c>
      <c r="F731" s="5">
        <v>37571</v>
      </c>
      <c r="G731" s="5">
        <v>22</v>
      </c>
      <c r="H731" s="10">
        <f t="shared" si="22"/>
        <v>8.9577656675749323E-2</v>
      </c>
      <c r="I731" s="15">
        <f t="shared" si="23"/>
        <v>3419</v>
      </c>
    </row>
    <row r="732" spans="2:9" hidden="1" x14ac:dyDescent="0.3">
      <c r="B732" s="5">
        <v>4840</v>
      </c>
      <c r="C732" s="5">
        <v>658</v>
      </c>
      <c r="D732" s="5">
        <v>211</v>
      </c>
      <c r="E732" s="5">
        <v>43560</v>
      </c>
      <c r="F732" s="5">
        <v>43225</v>
      </c>
      <c r="G732" s="5">
        <v>57</v>
      </c>
      <c r="H732" s="10">
        <f t="shared" si="22"/>
        <v>0.13106060606060607</v>
      </c>
      <c r="I732" s="15">
        <f t="shared" si="23"/>
        <v>5709</v>
      </c>
    </row>
    <row r="733" spans="2:9" hidden="1" x14ac:dyDescent="0.3">
      <c r="B733" s="5">
        <v>1947</v>
      </c>
      <c r="C733" s="5">
        <v>842</v>
      </c>
      <c r="D733" s="5">
        <v>101</v>
      </c>
      <c r="E733" s="5">
        <v>21417</v>
      </c>
      <c r="F733" s="5">
        <v>20967</v>
      </c>
      <c r="G733" s="5">
        <v>186</v>
      </c>
      <c r="H733" s="10">
        <f t="shared" si="22"/>
        <v>0.13493953401503478</v>
      </c>
      <c r="I733" s="15">
        <f t="shared" si="23"/>
        <v>2890</v>
      </c>
    </row>
    <row r="734" spans="2:9" hidden="1" x14ac:dyDescent="0.3">
      <c r="B734" s="5">
        <v>2072</v>
      </c>
      <c r="C734" s="5">
        <v>532</v>
      </c>
      <c r="D734" s="5">
        <v>71</v>
      </c>
      <c r="E734" s="5">
        <v>37296</v>
      </c>
      <c r="F734" s="5">
        <v>36467</v>
      </c>
      <c r="G734" s="5">
        <v>25</v>
      </c>
      <c r="H734" s="10">
        <f t="shared" si="22"/>
        <v>7.172350922350923E-2</v>
      </c>
      <c r="I734" s="15">
        <f t="shared" si="23"/>
        <v>2675</v>
      </c>
    </row>
    <row r="735" spans="2:9" hidden="1" x14ac:dyDescent="0.3">
      <c r="B735" s="5">
        <v>3731</v>
      </c>
      <c r="C735" s="5">
        <v>115</v>
      </c>
      <c r="D735" s="5">
        <v>135</v>
      </c>
      <c r="E735" s="5">
        <v>55965</v>
      </c>
      <c r="F735" s="5">
        <v>55436</v>
      </c>
      <c r="G735" s="5">
        <v>103</v>
      </c>
      <c r="H735" s="10">
        <f t="shared" si="22"/>
        <v>7.1133744304476013E-2</v>
      </c>
      <c r="I735" s="15">
        <f t="shared" si="23"/>
        <v>3981</v>
      </c>
    </row>
    <row r="736" spans="2:9" hidden="1" x14ac:dyDescent="0.3">
      <c r="B736" s="5">
        <v>4213</v>
      </c>
      <c r="C736" s="5">
        <v>253</v>
      </c>
      <c r="D736" s="5">
        <v>434</v>
      </c>
      <c r="E736" s="5">
        <v>75834</v>
      </c>
      <c r="F736" s="5">
        <v>75437</v>
      </c>
      <c r="G736" s="5">
        <v>272</v>
      </c>
      <c r="H736" s="10">
        <f t="shared" si="22"/>
        <v>6.461481657304112E-2</v>
      </c>
      <c r="I736" s="15">
        <f t="shared" si="23"/>
        <v>4900</v>
      </c>
    </row>
    <row r="737" spans="2:10" hidden="1" x14ac:dyDescent="0.3">
      <c r="B737" s="5">
        <v>3134</v>
      </c>
      <c r="C737" s="5">
        <v>888</v>
      </c>
      <c r="D737" s="5">
        <v>444</v>
      </c>
      <c r="E737" s="5">
        <v>21938</v>
      </c>
      <c r="F737" s="5">
        <v>21337</v>
      </c>
      <c r="G737" s="5">
        <v>130</v>
      </c>
      <c r="H737" s="10">
        <f t="shared" si="22"/>
        <v>0.20357370772176134</v>
      </c>
      <c r="I737" s="15">
        <f t="shared" si="23"/>
        <v>4466</v>
      </c>
    </row>
    <row r="738" spans="2:10" hidden="1" x14ac:dyDescent="0.3">
      <c r="B738" s="5">
        <v>3008</v>
      </c>
      <c r="C738" s="5">
        <v>94</v>
      </c>
      <c r="D738" s="5">
        <v>37</v>
      </c>
      <c r="E738" s="5">
        <v>15040</v>
      </c>
      <c r="F738" s="5">
        <v>14639</v>
      </c>
      <c r="G738" s="5">
        <v>277</v>
      </c>
      <c r="H738" s="10">
        <f t="shared" si="22"/>
        <v>0.20871010638297871</v>
      </c>
      <c r="I738" s="15">
        <f t="shared" si="23"/>
        <v>3139</v>
      </c>
    </row>
    <row r="739" spans="2:10" hidden="1" x14ac:dyDescent="0.3">
      <c r="B739" s="5">
        <v>305</v>
      </c>
      <c r="C739" s="5">
        <v>187</v>
      </c>
      <c r="D739" s="5">
        <v>243</v>
      </c>
      <c r="E739" s="5">
        <v>4575</v>
      </c>
      <c r="F739" s="5">
        <v>3704</v>
      </c>
      <c r="G739" s="5">
        <v>234</v>
      </c>
      <c r="H739" s="10">
        <f t="shared" si="22"/>
        <v>0.16065573770491803</v>
      </c>
      <c r="I739" s="15">
        <f t="shared" si="23"/>
        <v>735</v>
      </c>
    </row>
    <row r="740" spans="2:10" hidden="1" x14ac:dyDescent="0.3">
      <c r="B740" s="5">
        <v>2746</v>
      </c>
      <c r="C740" s="5">
        <v>156</v>
      </c>
      <c r="D740" s="5">
        <v>203</v>
      </c>
      <c r="E740" s="5">
        <v>32952</v>
      </c>
      <c r="F740" s="5">
        <v>32147</v>
      </c>
      <c r="G740" s="5">
        <v>147</v>
      </c>
      <c r="H740" s="10">
        <f t="shared" si="22"/>
        <v>9.422796795338674E-2</v>
      </c>
      <c r="I740" s="15">
        <f t="shared" si="23"/>
        <v>3105</v>
      </c>
    </row>
    <row r="741" spans="2:10" hidden="1" x14ac:dyDescent="0.3">
      <c r="B741" s="5">
        <v>2291</v>
      </c>
      <c r="C741" s="5">
        <v>78</v>
      </c>
      <c r="D741" s="5">
        <v>485</v>
      </c>
      <c r="E741" s="5">
        <v>18328</v>
      </c>
      <c r="F741" s="5">
        <v>18101</v>
      </c>
      <c r="G741" s="5">
        <v>10</v>
      </c>
      <c r="H741" s="10">
        <f t="shared" si="22"/>
        <v>0.15571802706241816</v>
      </c>
      <c r="I741" s="15">
        <f t="shared" si="23"/>
        <v>2854</v>
      </c>
      <c r="J741" t="s">
        <v>592</v>
      </c>
    </row>
    <row r="742" spans="2:10" hidden="1" x14ac:dyDescent="0.3">
      <c r="B742" s="5">
        <v>3170</v>
      </c>
      <c r="C742" s="5">
        <v>857</v>
      </c>
      <c r="D742" s="5">
        <v>379</v>
      </c>
      <c r="E742" s="5">
        <v>19020</v>
      </c>
      <c r="F742" s="5">
        <v>18559</v>
      </c>
      <c r="G742" s="5">
        <v>240</v>
      </c>
      <c r="H742" s="10">
        <f t="shared" si="22"/>
        <v>0.2316508937960042</v>
      </c>
      <c r="I742" s="15">
        <f t="shared" si="23"/>
        <v>4406</v>
      </c>
    </row>
    <row r="743" spans="2:10" hidden="1" x14ac:dyDescent="0.3">
      <c r="B743" s="5">
        <v>2070</v>
      </c>
      <c r="C743" s="5">
        <v>275</v>
      </c>
      <c r="D743" s="5">
        <v>386</v>
      </c>
      <c r="E743" s="5">
        <v>39330</v>
      </c>
      <c r="F743" s="5">
        <v>38627</v>
      </c>
      <c r="G743" s="5">
        <v>114</v>
      </c>
      <c r="H743" s="10">
        <f t="shared" si="22"/>
        <v>6.9438087973557078E-2</v>
      </c>
      <c r="I743" s="15">
        <f t="shared" si="23"/>
        <v>2731</v>
      </c>
    </row>
    <row r="744" spans="2:10" hidden="1" x14ac:dyDescent="0.3">
      <c r="B744" s="5">
        <v>80</v>
      </c>
      <c r="C744" s="5">
        <v>362</v>
      </c>
      <c r="D744" s="5">
        <v>80</v>
      </c>
      <c r="E744" s="5">
        <v>1040</v>
      </c>
      <c r="F744" s="5">
        <v>349</v>
      </c>
      <c r="G744" s="5">
        <v>117</v>
      </c>
      <c r="H744" s="10">
        <f t="shared" si="22"/>
        <v>0.50192307692307692</v>
      </c>
      <c r="I744" s="15">
        <f t="shared" si="23"/>
        <v>522</v>
      </c>
    </row>
    <row r="745" spans="2:10" hidden="1" x14ac:dyDescent="0.3">
      <c r="B745" s="5">
        <v>4929</v>
      </c>
      <c r="C745" s="5">
        <v>749</v>
      </c>
      <c r="D745" s="5">
        <v>452</v>
      </c>
      <c r="E745" s="5">
        <v>93651</v>
      </c>
      <c r="F745" s="5">
        <v>92810</v>
      </c>
      <c r="G745" s="5">
        <v>66</v>
      </c>
      <c r="H745" s="10">
        <f t="shared" si="22"/>
        <v>6.5455787978772245E-2</v>
      </c>
      <c r="I745" s="15">
        <f t="shared" si="23"/>
        <v>6130</v>
      </c>
    </row>
    <row r="746" spans="2:10" hidden="1" x14ac:dyDescent="0.3">
      <c r="B746" s="5">
        <v>1878</v>
      </c>
      <c r="C746" s="5">
        <v>62</v>
      </c>
      <c r="D746" s="5">
        <v>179</v>
      </c>
      <c r="E746" s="5">
        <v>37560</v>
      </c>
      <c r="F746" s="5">
        <v>36874</v>
      </c>
      <c r="G746" s="5">
        <v>142</v>
      </c>
      <c r="H746" s="10">
        <f t="shared" si="22"/>
        <v>5.6416400425985093E-2</v>
      </c>
      <c r="I746" s="15">
        <f t="shared" si="23"/>
        <v>2119</v>
      </c>
    </row>
    <row r="747" spans="2:10" hidden="1" x14ac:dyDescent="0.3">
      <c r="B747" s="5">
        <v>3065</v>
      </c>
      <c r="C747" s="5">
        <v>772</v>
      </c>
      <c r="D747" s="5">
        <v>142</v>
      </c>
      <c r="E747" s="5">
        <v>18390</v>
      </c>
      <c r="F747" s="5">
        <v>17875</v>
      </c>
      <c r="G747" s="5">
        <v>200</v>
      </c>
      <c r="H747" s="10">
        <f t="shared" si="22"/>
        <v>0.21636759108210984</v>
      </c>
      <c r="I747" s="15">
        <f t="shared" si="23"/>
        <v>3979</v>
      </c>
      <c r="J747" t="s">
        <v>600</v>
      </c>
    </row>
    <row r="748" spans="2:10" hidden="1" x14ac:dyDescent="0.3">
      <c r="B748" s="5">
        <v>3256</v>
      </c>
      <c r="C748" s="5">
        <v>459</v>
      </c>
      <c r="D748" s="5">
        <v>266</v>
      </c>
      <c r="E748" s="5">
        <v>26048</v>
      </c>
      <c r="F748" s="5">
        <v>25529</v>
      </c>
      <c r="G748" s="5">
        <v>143</v>
      </c>
      <c r="H748" s="10">
        <f t="shared" si="22"/>
        <v>0.15283323095823095</v>
      </c>
      <c r="I748" s="15">
        <f t="shared" si="23"/>
        <v>3981</v>
      </c>
    </row>
    <row r="749" spans="2:10" hidden="1" x14ac:dyDescent="0.3">
      <c r="B749" s="5">
        <v>4133</v>
      </c>
      <c r="C749" s="5">
        <v>466</v>
      </c>
      <c r="D749" s="5">
        <v>327</v>
      </c>
      <c r="E749" s="5">
        <v>24798</v>
      </c>
      <c r="F749" s="5">
        <v>24620</v>
      </c>
      <c r="G749" s="5">
        <v>176</v>
      </c>
      <c r="H749" s="10">
        <f t="shared" si="22"/>
        <v>0.19864505202032423</v>
      </c>
      <c r="I749" s="15">
        <f t="shared" si="23"/>
        <v>4926</v>
      </c>
    </row>
    <row r="750" spans="2:10" hidden="1" x14ac:dyDescent="0.3">
      <c r="B750" s="5">
        <v>1702</v>
      </c>
      <c r="C750" s="5">
        <v>750</v>
      </c>
      <c r="D750" s="5">
        <v>179</v>
      </c>
      <c r="E750" s="5">
        <v>34040</v>
      </c>
      <c r="F750" s="5">
        <v>33174</v>
      </c>
      <c r="G750" s="5">
        <v>76</v>
      </c>
      <c r="H750" s="10">
        <f t="shared" si="22"/>
        <v>7.7291421856639245E-2</v>
      </c>
      <c r="I750" s="15">
        <f t="shared" si="23"/>
        <v>2631</v>
      </c>
    </row>
    <row r="751" spans="2:10" hidden="1" x14ac:dyDescent="0.3">
      <c r="B751" s="5">
        <v>4295</v>
      </c>
      <c r="C751" s="5">
        <v>853</v>
      </c>
      <c r="D751" s="5">
        <v>325</v>
      </c>
      <c r="E751" s="5">
        <v>85900</v>
      </c>
      <c r="F751" s="5">
        <v>85788</v>
      </c>
      <c r="G751" s="5">
        <v>290</v>
      </c>
      <c r="H751" s="10">
        <f t="shared" si="22"/>
        <v>6.3713620488940623E-2</v>
      </c>
      <c r="I751" s="15">
        <f t="shared" si="23"/>
        <v>5473</v>
      </c>
    </row>
    <row r="752" spans="2:10" hidden="1" x14ac:dyDescent="0.3">
      <c r="B752" s="5">
        <v>3559</v>
      </c>
      <c r="C752" s="5">
        <v>59</v>
      </c>
      <c r="D752" s="5">
        <v>289</v>
      </c>
      <c r="E752" s="5">
        <v>35590</v>
      </c>
      <c r="F752" s="5">
        <v>35105</v>
      </c>
      <c r="G752" s="5">
        <v>122</v>
      </c>
      <c r="H752" s="10">
        <f t="shared" si="22"/>
        <v>0.10977802753582468</v>
      </c>
      <c r="I752" s="15">
        <f t="shared" si="23"/>
        <v>3907</v>
      </c>
    </row>
    <row r="753" spans="2:10" hidden="1" x14ac:dyDescent="0.3">
      <c r="B753" s="5">
        <v>4804</v>
      </c>
      <c r="C753" s="5">
        <v>550</v>
      </c>
      <c r="D753" s="5">
        <v>270</v>
      </c>
      <c r="E753" s="5">
        <v>28824</v>
      </c>
      <c r="F753" s="5">
        <v>28370</v>
      </c>
      <c r="G753" s="5">
        <v>47</v>
      </c>
      <c r="H753" s="10">
        <f t="shared" si="22"/>
        <v>0.19511518179295032</v>
      </c>
      <c r="I753" s="15">
        <f t="shared" si="23"/>
        <v>5624</v>
      </c>
    </row>
    <row r="754" spans="2:10" hidden="1" x14ac:dyDescent="0.3">
      <c r="B754" s="5">
        <v>754</v>
      </c>
      <c r="C754" s="5">
        <v>197</v>
      </c>
      <c r="D754" s="5">
        <v>257</v>
      </c>
      <c r="E754" s="5">
        <v>6786</v>
      </c>
      <c r="F754" s="5">
        <v>6221</v>
      </c>
      <c r="G754" s="5">
        <v>212</v>
      </c>
      <c r="H754" s="10">
        <f t="shared" si="22"/>
        <v>0.17801355732390214</v>
      </c>
      <c r="I754" s="15">
        <f t="shared" si="23"/>
        <v>1208</v>
      </c>
    </row>
    <row r="755" spans="2:10" hidden="1" x14ac:dyDescent="0.3">
      <c r="B755" s="5">
        <v>985</v>
      </c>
      <c r="C755" s="5">
        <v>932</v>
      </c>
      <c r="D755" s="5">
        <v>287</v>
      </c>
      <c r="E755" s="5">
        <v>6895</v>
      </c>
      <c r="F755" s="5">
        <v>6757</v>
      </c>
      <c r="G755" s="5">
        <v>64</v>
      </c>
      <c r="H755" s="10">
        <f t="shared" si="22"/>
        <v>0.31965192168237855</v>
      </c>
      <c r="I755" s="15">
        <f t="shared" si="23"/>
        <v>2204</v>
      </c>
    </row>
    <row r="756" spans="2:10" hidden="1" x14ac:dyDescent="0.3">
      <c r="B756" s="5">
        <v>2283</v>
      </c>
      <c r="C756" s="5">
        <v>210</v>
      </c>
      <c r="D756" s="5">
        <v>130</v>
      </c>
      <c r="E756" s="5">
        <v>22830</v>
      </c>
      <c r="F756" s="5">
        <v>22617</v>
      </c>
      <c r="G756" s="5">
        <v>143</v>
      </c>
      <c r="H756" s="10">
        <f t="shared" si="22"/>
        <v>0.11489268506351293</v>
      </c>
      <c r="I756" s="15">
        <f t="shared" si="23"/>
        <v>2623</v>
      </c>
    </row>
    <row r="757" spans="2:10" hidden="1" x14ac:dyDescent="0.3">
      <c r="B757" s="5">
        <v>3352</v>
      </c>
      <c r="C757" s="5">
        <v>941</v>
      </c>
      <c r="D757" s="5">
        <v>482</v>
      </c>
      <c r="E757" s="5">
        <v>43576</v>
      </c>
      <c r="F757" s="5">
        <v>43338</v>
      </c>
      <c r="G757" s="5">
        <v>240</v>
      </c>
      <c r="H757" s="10">
        <f t="shared" si="22"/>
        <v>0.1095786671562328</v>
      </c>
      <c r="I757" s="15">
        <f t="shared" si="23"/>
        <v>4775</v>
      </c>
    </row>
    <row r="758" spans="2:10" hidden="1" x14ac:dyDescent="0.3">
      <c r="B758" s="5">
        <v>4775</v>
      </c>
      <c r="C758" s="5">
        <v>173</v>
      </c>
      <c r="D758" s="5">
        <v>206</v>
      </c>
      <c r="E758" s="5">
        <v>47750</v>
      </c>
      <c r="F758" s="5">
        <v>47544</v>
      </c>
      <c r="G758" s="5">
        <v>187</v>
      </c>
      <c r="H758" s="10">
        <f t="shared" si="22"/>
        <v>0.10793717277486911</v>
      </c>
      <c r="I758" s="15">
        <f t="shared" si="23"/>
        <v>5154</v>
      </c>
    </row>
    <row r="759" spans="2:10" hidden="1" x14ac:dyDescent="0.3">
      <c r="B759" s="5">
        <v>1762</v>
      </c>
      <c r="C759" s="5">
        <v>405</v>
      </c>
      <c r="D759" s="5">
        <v>423</v>
      </c>
      <c r="E759" s="5">
        <v>22906</v>
      </c>
      <c r="F759" s="5">
        <v>21925</v>
      </c>
      <c r="G759" s="5">
        <v>25</v>
      </c>
      <c r="H759" s="10">
        <f t="shared" si="22"/>
        <v>0.11307081114118571</v>
      </c>
      <c r="I759" s="15">
        <f t="shared" si="23"/>
        <v>2590</v>
      </c>
    </row>
    <row r="760" spans="2:10" hidden="1" x14ac:dyDescent="0.3">
      <c r="B760" s="5">
        <v>2120</v>
      </c>
      <c r="C760" s="5">
        <v>158</v>
      </c>
      <c r="D760" s="5">
        <v>488</v>
      </c>
      <c r="E760" s="5">
        <v>12720</v>
      </c>
      <c r="F760" s="5">
        <v>12085</v>
      </c>
      <c r="G760" s="5">
        <v>17</v>
      </c>
      <c r="H760" s="10">
        <f t="shared" si="22"/>
        <v>0.21745283018867925</v>
      </c>
      <c r="I760" s="15">
        <f t="shared" si="23"/>
        <v>2766</v>
      </c>
    </row>
    <row r="761" spans="2:10" hidden="1" x14ac:dyDescent="0.3">
      <c r="B761" s="5">
        <v>1082</v>
      </c>
      <c r="C761" s="5">
        <v>209</v>
      </c>
      <c r="D761" s="5">
        <v>484</v>
      </c>
      <c r="E761" s="5">
        <v>19476</v>
      </c>
      <c r="F761" s="5">
        <v>18654</v>
      </c>
      <c r="G761" s="5">
        <v>20</v>
      </c>
      <c r="H761" s="10">
        <f t="shared" si="22"/>
        <v>9.1137810638734856E-2</v>
      </c>
      <c r="I761" s="15">
        <f t="shared" si="23"/>
        <v>1775</v>
      </c>
    </row>
    <row r="762" spans="2:10" hidden="1" x14ac:dyDescent="0.3">
      <c r="B762" s="5">
        <v>4671</v>
      </c>
      <c r="C762" s="5">
        <v>876</v>
      </c>
      <c r="D762" s="5">
        <v>366</v>
      </c>
      <c r="E762" s="5">
        <v>51381</v>
      </c>
      <c r="F762" s="5">
        <v>50565</v>
      </c>
      <c r="G762" s="5">
        <v>245</v>
      </c>
      <c r="H762" s="10">
        <f t="shared" si="22"/>
        <v>0.11508145034156594</v>
      </c>
      <c r="I762" s="15">
        <f t="shared" si="23"/>
        <v>5913</v>
      </c>
    </row>
    <row r="763" spans="2:10" hidden="1" x14ac:dyDescent="0.3">
      <c r="B763" s="5">
        <v>3430</v>
      </c>
      <c r="C763" s="5">
        <v>566</v>
      </c>
      <c r="D763" s="5">
        <v>164</v>
      </c>
      <c r="E763" s="5">
        <v>48020</v>
      </c>
      <c r="F763" s="5">
        <v>47305</v>
      </c>
      <c r="G763" s="5">
        <v>120</v>
      </c>
      <c r="H763" s="10">
        <f t="shared" si="22"/>
        <v>8.6630570595585168E-2</v>
      </c>
      <c r="I763" s="15">
        <f t="shared" si="23"/>
        <v>4160</v>
      </c>
    </row>
    <row r="764" spans="2:10" hidden="1" x14ac:dyDescent="0.3">
      <c r="B764" s="5">
        <v>4501</v>
      </c>
      <c r="C764" s="5">
        <v>375</v>
      </c>
      <c r="D764" s="5">
        <v>323</v>
      </c>
      <c r="E764" s="5">
        <v>22505</v>
      </c>
      <c r="F764" s="5">
        <v>21836</v>
      </c>
      <c r="G764" s="5">
        <v>132</v>
      </c>
      <c r="H764" s="10">
        <f t="shared" si="22"/>
        <v>0.23101532992668297</v>
      </c>
      <c r="I764" s="15">
        <f t="shared" si="23"/>
        <v>5199</v>
      </c>
    </row>
    <row r="765" spans="2:10" hidden="1" x14ac:dyDescent="0.3">
      <c r="B765" s="5">
        <v>4934</v>
      </c>
      <c r="C765" s="5">
        <v>971</v>
      </c>
      <c r="D765" s="5">
        <v>156</v>
      </c>
      <c r="E765" s="5">
        <v>39472</v>
      </c>
      <c r="F765" s="5">
        <v>39025</v>
      </c>
      <c r="G765" s="5">
        <v>169</v>
      </c>
      <c r="H765" s="10">
        <f t="shared" si="22"/>
        <v>0.15355188488042157</v>
      </c>
      <c r="I765" s="15">
        <f t="shared" si="23"/>
        <v>6061</v>
      </c>
      <c r="J765" t="s">
        <v>600</v>
      </c>
    </row>
    <row r="766" spans="2:10" hidden="1" x14ac:dyDescent="0.3">
      <c r="B766" s="5">
        <v>3239</v>
      </c>
      <c r="C766" s="5">
        <v>43</v>
      </c>
      <c r="D766" s="5">
        <v>211</v>
      </c>
      <c r="E766" s="5">
        <v>22673</v>
      </c>
      <c r="F766" s="5">
        <v>22171</v>
      </c>
      <c r="G766" s="5">
        <v>230</v>
      </c>
      <c r="H766" s="10">
        <f t="shared" si="22"/>
        <v>0.15405989502933004</v>
      </c>
      <c r="I766" s="15">
        <f t="shared" si="23"/>
        <v>3493</v>
      </c>
    </row>
    <row r="767" spans="2:10" hidden="1" x14ac:dyDescent="0.3">
      <c r="B767" s="5">
        <v>1076</v>
      </c>
      <c r="C767" s="5">
        <v>313</v>
      </c>
      <c r="D767" s="5">
        <v>306</v>
      </c>
      <c r="E767" s="5">
        <v>11836</v>
      </c>
      <c r="F767" s="5">
        <v>11596</v>
      </c>
      <c r="G767" s="5">
        <v>104</v>
      </c>
      <c r="H767" s="10">
        <f t="shared" si="22"/>
        <v>0.14320716458262928</v>
      </c>
      <c r="I767" s="15">
        <f t="shared" si="23"/>
        <v>1695</v>
      </c>
    </row>
    <row r="768" spans="2:10" hidden="1" x14ac:dyDescent="0.3">
      <c r="B768" s="5">
        <v>4771</v>
      </c>
      <c r="C768" s="5">
        <v>818</v>
      </c>
      <c r="D768" s="5">
        <v>56</v>
      </c>
      <c r="E768" s="5">
        <v>57252</v>
      </c>
      <c r="F768" s="5">
        <v>56378</v>
      </c>
      <c r="G768" s="5">
        <v>150</v>
      </c>
      <c r="H768" s="10">
        <f t="shared" si="22"/>
        <v>9.859917557465242E-2</v>
      </c>
      <c r="I768" s="15">
        <f t="shared" si="23"/>
        <v>5645</v>
      </c>
    </row>
    <row r="769" spans="2:9" hidden="1" x14ac:dyDescent="0.3">
      <c r="B769" s="5">
        <v>2418</v>
      </c>
      <c r="C769" s="5">
        <v>754</v>
      </c>
      <c r="D769" s="5">
        <v>54</v>
      </c>
      <c r="E769" s="5">
        <v>43524</v>
      </c>
      <c r="F769" s="5">
        <v>42743</v>
      </c>
      <c r="G769" s="5">
        <v>182</v>
      </c>
      <c r="H769" s="10">
        <f t="shared" si="22"/>
        <v>7.412002573292896E-2</v>
      </c>
      <c r="I769" s="15">
        <f t="shared" si="23"/>
        <v>3226</v>
      </c>
    </row>
    <row r="770" spans="2:9" hidden="1" x14ac:dyDescent="0.3">
      <c r="B770" s="5">
        <v>3809</v>
      </c>
      <c r="C770" s="5">
        <v>273</v>
      </c>
      <c r="D770" s="5">
        <v>200</v>
      </c>
      <c r="E770" s="5">
        <v>34281</v>
      </c>
      <c r="F770" s="5">
        <v>33534</v>
      </c>
      <c r="G770" s="5">
        <v>83</v>
      </c>
      <c r="H770" s="10">
        <f t="shared" ref="H770:H833" si="24">(B770+C770+D770)/E770</f>
        <v>0.12490884163239112</v>
      </c>
      <c r="I770" s="15">
        <f t="shared" ref="I770:I833" si="25">B770+C770+D770</f>
        <v>4282</v>
      </c>
    </row>
    <row r="771" spans="2:9" hidden="1" x14ac:dyDescent="0.3">
      <c r="B771" s="5">
        <v>3577</v>
      </c>
      <c r="C771" s="5">
        <v>596</v>
      </c>
      <c r="D771" s="5">
        <v>493</v>
      </c>
      <c r="E771" s="5">
        <v>67963</v>
      </c>
      <c r="F771" s="5">
        <v>67839</v>
      </c>
      <c r="G771" s="5">
        <v>53</v>
      </c>
      <c r="H771" s="10">
        <f t="shared" si="24"/>
        <v>6.8655003457763777E-2</v>
      </c>
      <c r="I771" s="15">
        <f t="shared" si="25"/>
        <v>4666</v>
      </c>
    </row>
    <row r="772" spans="2:9" hidden="1" x14ac:dyDescent="0.3">
      <c r="B772" s="5">
        <v>1018</v>
      </c>
      <c r="C772" s="5">
        <v>447</v>
      </c>
      <c r="D772" s="5">
        <v>332</v>
      </c>
      <c r="E772" s="5">
        <v>18324</v>
      </c>
      <c r="F772" s="5">
        <v>18164</v>
      </c>
      <c r="G772" s="5">
        <v>38</v>
      </c>
      <c r="H772" s="10">
        <f t="shared" si="24"/>
        <v>9.8068107400130972E-2</v>
      </c>
      <c r="I772" s="15">
        <f t="shared" si="25"/>
        <v>1797</v>
      </c>
    </row>
    <row r="773" spans="2:9" hidden="1" x14ac:dyDescent="0.3">
      <c r="B773" s="5">
        <v>3073</v>
      </c>
      <c r="C773" s="5">
        <v>553</v>
      </c>
      <c r="D773" s="5">
        <v>174</v>
      </c>
      <c r="E773" s="5">
        <v>52241</v>
      </c>
      <c r="F773" s="5">
        <v>51605</v>
      </c>
      <c r="G773" s="5">
        <v>246</v>
      </c>
      <c r="H773" s="10">
        <f t="shared" si="24"/>
        <v>7.2739802071170159E-2</v>
      </c>
      <c r="I773" s="15">
        <f t="shared" si="25"/>
        <v>3800</v>
      </c>
    </row>
    <row r="774" spans="2:9" hidden="1" x14ac:dyDescent="0.3">
      <c r="B774" s="5">
        <v>1330</v>
      </c>
      <c r="C774" s="5">
        <v>925</v>
      </c>
      <c r="D774" s="5">
        <v>35</v>
      </c>
      <c r="E774" s="5">
        <v>15960</v>
      </c>
      <c r="F774" s="5">
        <v>15379</v>
      </c>
      <c r="G774" s="5">
        <v>229</v>
      </c>
      <c r="H774" s="10">
        <f t="shared" si="24"/>
        <v>0.14348370927318296</v>
      </c>
      <c r="I774" s="15">
        <f t="shared" si="25"/>
        <v>2290</v>
      </c>
    </row>
    <row r="775" spans="2:9" hidden="1" x14ac:dyDescent="0.3">
      <c r="B775" s="5">
        <v>3828</v>
      </c>
      <c r="C775" s="5">
        <v>148</v>
      </c>
      <c r="D775" s="5">
        <v>253</v>
      </c>
      <c r="E775" s="5">
        <v>30624</v>
      </c>
      <c r="F775" s="5">
        <v>30229</v>
      </c>
      <c r="G775" s="5">
        <v>235</v>
      </c>
      <c r="H775" s="10">
        <f t="shared" si="24"/>
        <v>0.13809430512016718</v>
      </c>
      <c r="I775" s="15">
        <f t="shared" si="25"/>
        <v>4229</v>
      </c>
    </row>
    <row r="776" spans="2:9" hidden="1" x14ac:dyDescent="0.3">
      <c r="B776" s="5">
        <v>142</v>
      </c>
      <c r="C776" s="5">
        <v>784</v>
      </c>
      <c r="D776" s="5">
        <v>183</v>
      </c>
      <c r="E776" s="5">
        <v>1704</v>
      </c>
      <c r="F776" s="5">
        <v>995</v>
      </c>
      <c r="G776" s="5">
        <v>154</v>
      </c>
      <c r="H776" s="10">
        <f t="shared" si="24"/>
        <v>0.6508215962441315</v>
      </c>
      <c r="I776" s="15">
        <f t="shared" si="25"/>
        <v>1109</v>
      </c>
    </row>
    <row r="777" spans="2:9" hidden="1" x14ac:dyDescent="0.3">
      <c r="B777" s="5">
        <v>3798</v>
      </c>
      <c r="C777" s="5">
        <v>31</v>
      </c>
      <c r="D777" s="5">
        <v>279</v>
      </c>
      <c r="E777" s="5">
        <v>75960</v>
      </c>
      <c r="F777" s="5">
        <v>75813</v>
      </c>
      <c r="G777" s="5">
        <v>266</v>
      </c>
      <c r="H777" s="10">
        <f t="shared" si="24"/>
        <v>5.4081095313322801E-2</v>
      </c>
      <c r="I777" s="15">
        <f t="shared" si="25"/>
        <v>4108</v>
      </c>
    </row>
    <row r="778" spans="2:9" hidden="1" x14ac:dyDescent="0.3">
      <c r="B778" s="5">
        <v>3099</v>
      </c>
      <c r="C778" s="5">
        <v>694</v>
      </c>
      <c r="D778" s="5">
        <v>171</v>
      </c>
      <c r="E778" s="5">
        <v>43386</v>
      </c>
      <c r="F778" s="5">
        <v>42921</v>
      </c>
      <c r="G778" s="5">
        <v>52</v>
      </c>
      <c r="H778" s="10">
        <f t="shared" si="24"/>
        <v>9.1365878393951966E-2</v>
      </c>
      <c r="I778" s="15">
        <f t="shared" si="25"/>
        <v>3964</v>
      </c>
    </row>
    <row r="779" spans="2:9" hidden="1" x14ac:dyDescent="0.3">
      <c r="B779" s="5">
        <v>129</v>
      </c>
      <c r="C779" s="5">
        <v>643</v>
      </c>
      <c r="D779" s="5">
        <v>136</v>
      </c>
      <c r="E779" s="5">
        <v>1290</v>
      </c>
      <c r="F779" s="5">
        <v>839</v>
      </c>
      <c r="G779" s="5">
        <v>238</v>
      </c>
      <c r="H779" s="10">
        <f t="shared" si="24"/>
        <v>0.70387596899224802</v>
      </c>
      <c r="I779" s="15">
        <f t="shared" si="25"/>
        <v>908</v>
      </c>
    </row>
    <row r="780" spans="2:9" hidden="1" x14ac:dyDescent="0.3">
      <c r="B780" s="5">
        <v>3796</v>
      </c>
      <c r="C780" s="5">
        <v>667</v>
      </c>
      <c r="D780" s="5">
        <v>395</v>
      </c>
      <c r="E780" s="5">
        <v>64532</v>
      </c>
      <c r="F780" s="5">
        <v>63550</v>
      </c>
      <c r="G780" s="5">
        <v>292</v>
      </c>
      <c r="H780" s="10">
        <f t="shared" si="24"/>
        <v>7.5280481001673588E-2</v>
      </c>
      <c r="I780" s="15">
        <f t="shared" si="25"/>
        <v>4858</v>
      </c>
    </row>
    <row r="781" spans="2:9" hidden="1" x14ac:dyDescent="0.3">
      <c r="B781" s="5">
        <v>3711</v>
      </c>
      <c r="C781" s="5">
        <v>352</v>
      </c>
      <c r="D781" s="5">
        <v>290</v>
      </c>
      <c r="E781" s="5">
        <v>48243</v>
      </c>
      <c r="F781" s="5">
        <v>47579</v>
      </c>
      <c r="G781" s="5">
        <v>11</v>
      </c>
      <c r="H781" s="10">
        <f t="shared" si="24"/>
        <v>9.023070704558174E-2</v>
      </c>
      <c r="I781" s="15">
        <f t="shared" si="25"/>
        <v>4353</v>
      </c>
    </row>
    <row r="782" spans="2:9" hidden="1" x14ac:dyDescent="0.3">
      <c r="B782" s="5">
        <v>606</v>
      </c>
      <c r="C782" s="5">
        <v>789</v>
      </c>
      <c r="D782" s="5">
        <v>470</v>
      </c>
      <c r="E782" s="5">
        <v>7878</v>
      </c>
      <c r="F782" s="5">
        <v>7389</v>
      </c>
      <c r="G782" s="5">
        <v>239</v>
      </c>
      <c r="H782" s="10">
        <f t="shared" si="24"/>
        <v>0.23673521198273673</v>
      </c>
      <c r="I782" s="15">
        <f t="shared" si="25"/>
        <v>1865</v>
      </c>
    </row>
    <row r="783" spans="2:9" hidden="1" x14ac:dyDescent="0.3">
      <c r="B783" s="5">
        <v>4689</v>
      </c>
      <c r="C783" s="5">
        <v>134</v>
      </c>
      <c r="D783" s="5">
        <v>403</v>
      </c>
      <c r="E783" s="5">
        <v>51579</v>
      </c>
      <c r="F783" s="5">
        <v>50924</v>
      </c>
      <c r="G783" s="5">
        <v>173</v>
      </c>
      <c r="H783" s="10">
        <f t="shared" si="24"/>
        <v>0.10132030477519921</v>
      </c>
      <c r="I783" s="15">
        <f t="shared" si="25"/>
        <v>5226</v>
      </c>
    </row>
    <row r="784" spans="2:9" hidden="1" x14ac:dyDescent="0.3">
      <c r="B784" s="5">
        <v>360</v>
      </c>
      <c r="C784" s="5">
        <v>590</v>
      </c>
      <c r="D784" s="5">
        <v>393</v>
      </c>
      <c r="E784" s="5">
        <v>4680</v>
      </c>
      <c r="F784" s="5">
        <v>4322</v>
      </c>
      <c r="G784" s="5">
        <v>208</v>
      </c>
      <c r="H784" s="10">
        <f t="shared" si="24"/>
        <v>0.28696581196581195</v>
      </c>
      <c r="I784" s="15">
        <f t="shared" si="25"/>
        <v>1343</v>
      </c>
    </row>
    <row r="785" spans="1:9" hidden="1" x14ac:dyDescent="0.3">
      <c r="B785" s="5">
        <v>3215</v>
      </c>
      <c r="C785" s="5">
        <v>960</v>
      </c>
      <c r="D785" s="5">
        <v>202</v>
      </c>
      <c r="E785" s="5">
        <v>32150</v>
      </c>
      <c r="F785" s="5">
        <v>31404</v>
      </c>
      <c r="G785" s="5">
        <v>251</v>
      </c>
      <c r="H785" s="10">
        <f t="shared" si="24"/>
        <v>0.13614307931570763</v>
      </c>
      <c r="I785" s="15">
        <f t="shared" si="25"/>
        <v>4377</v>
      </c>
    </row>
    <row r="786" spans="1:9" hidden="1" x14ac:dyDescent="0.3">
      <c r="B786" s="5">
        <v>4523</v>
      </c>
      <c r="C786" s="5">
        <v>61</v>
      </c>
      <c r="D786" s="5">
        <v>157</v>
      </c>
      <c r="E786" s="5">
        <v>49753</v>
      </c>
      <c r="F786" s="5">
        <v>49329</v>
      </c>
      <c r="G786" s="5">
        <v>71</v>
      </c>
      <c r="H786" s="10">
        <f t="shared" si="24"/>
        <v>9.5290736237010829E-2</v>
      </c>
      <c r="I786" s="15">
        <f t="shared" si="25"/>
        <v>4741</v>
      </c>
    </row>
    <row r="787" spans="1:9" hidden="1" x14ac:dyDescent="0.3">
      <c r="B787" s="5">
        <v>4292</v>
      </c>
      <c r="C787" s="5">
        <v>51</v>
      </c>
      <c r="D787" s="5">
        <v>392</v>
      </c>
      <c r="E787" s="5">
        <v>55796</v>
      </c>
      <c r="F787" s="5">
        <v>54826</v>
      </c>
      <c r="G787" s="5">
        <v>264</v>
      </c>
      <c r="H787" s="10">
        <f t="shared" si="24"/>
        <v>8.4862714173059003E-2</v>
      </c>
      <c r="I787" s="15">
        <f t="shared" si="25"/>
        <v>4735</v>
      </c>
    </row>
    <row r="788" spans="1:9" hidden="1" x14ac:dyDescent="0.3">
      <c r="B788" s="5">
        <v>1644</v>
      </c>
      <c r="C788" s="5">
        <v>546</v>
      </c>
      <c r="D788" s="5">
        <v>150</v>
      </c>
      <c r="E788" s="5">
        <v>27948</v>
      </c>
      <c r="F788" s="5">
        <v>27184</v>
      </c>
      <c r="G788" s="5">
        <v>300</v>
      </c>
      <c r="H788" s="10">
        <f t="shared" si="24"/>
        <v>8.3726921425504502E-2</v>
      </c>
      <c r="I788" s="15">
        <f t="shared" si="25"/>
        <v>2340</v>
      </c>
    </row>
    <row r="789" spans="1:9" hidden="1" x14ac:dyDescent="0.3">
      <c r="B789" s="5">
        <v>2728</v>
      </c>
      <c r="C789" s="5">
        <v>533</v>
      </c>
      <c r="D789" s="5">
        <v>215</v>
      </c>
      <c r="E789" s="5">
        <v>40920</v>
      </c>
      <c r="F789" s="5">
        <v>40816</v>
      </c>
      <c r="G789" s="5">
        <v>137</v>
      </c>
      <c r="H789" s="10">
        <f t="shared" si="24"/>
        <v>8.4946236559139784E-2</v>
      </c>
      <c r="I789" s="15">
        <f t="shared" si="25"/>
        <v>3476</v>
      </c>
    </row>
    <row r="790" spans="1:9" hidden="1" x14ac:dyDescent="0.3">
      <c r="B790" s="5">
        <v>3360</v>
      </c>
      <c r="C790" s="5">
        <v>525</v>
      </c>
      <c r="D790" s="5">
        <v>500</v>
      </c>
      <c r="E790" s="5">
        <v>60480</v>
      </c>
      <c r="F790" s="5">
        <v>59610</v>
      </c>
      <c r="G790" s="5">
        <v>192</v>
      </c>
      <c r="H790" s="10">
        <f t="shared" si="24"/>
        <v>7.2503306878306875E-2</v>
      </c>
      <c r="I790" s="15">
        <f t="shared" si="25"/>
        <v>4385</v>
      </c>
    </row>
    <row r="791" spans="1:9" hidden="1" x14ac:dyDescent="0.3">
      <c r="B791" s="5">
        <v>1963</v>
      </c>
      <c r="C791" s="5">
        <v>213</v>
      </c>
      <c r="D791" s="5">
        <v>19</v>
      </c>
      <c r="E791" s="5">
        <v>39260</v>
      </c>
      <c r="F791" s="5">
        <v>38771</v>
      </c>
      <c r="G791" s="5">
        <v>145</v>
      </c>
      <c r="H791" s="10">
        <f t="shared" si="24"/>
        <v>5.5909322465613857E-2</v>
      </c>
      <c r="I791" s="15">
        <f t="shared" si="25"/>
        <v>2195</v>
      </c>
    </row>
    <row r="792" spans="1:9" hidden="1" x14ac:dyDescent="0.3">
      <c r="B792" s="5">
        <v>4285</v>
      </c>
      <c r="C792" s="5">
        <v>886</v>
      </c>
      <c r="D792" s="5">
        <v>376</v>
      </c>
      <c r="E792" s="5">
        <v>55705</v>
      </c>
      <c r="F792" s="5">
        <v>55556</v>
      </c>
      <c r="G792" s="5">
        <v>51</v>
      </c>
      <c r="H792" s="10">
        <f t="shared" si="24"/>
        <v>9.9578134817341346E-2</v>
      </c>
      <c r="I792" s="15">
        <f t="shared" si="25"/>
        <v>5547</v>
      </c>
    </row>
    <row r="793" spans="1:9" hidden="1" x14ac:dyDescent="0.3">
      <c r="B793" s="5">
        <v>1176</v>
      </c>
      <c r="C793" s="5">
        <v>464</v>
      </c>
      <c r="D793" s="5">
        <v>394</v>
      </c>
      <c r="E793" s="5">
        <v>14112</v>
      </c>
      <c r="F793" s="5">
        <v>13588</v>
      </c>
      <c r="G793" s="5">
        <v>272</v>
      </c>
      <c r="H793" s="10">
        <f t="shared" si="24"/>
        <v>0.1441326530612245</v>
      </c>
      <c r="I793" s="15">
        <f t="shared" si="25"/>
        <v>2034</v>
      </c>
    </row>
    <row r="794" spans="1:9" hidden="1" x14ac:dyDescent="0.3">
      <c r="B794" s="5">
        <v>4858</v>
      </c>
      <c r="C794" s="5">
        <v>317</v>
      </c>
      <c r="D794" s="5">
        <v>129</v>
      </c>
      <c r="E794" s="5">
        <v>53438</v>
      </c>
      <c r="F794" s="5">
        <v>52687</v>
      </c>
      <c r="G794" s="5">
        <v>223</v>
      </c>
      <c r="H794" s="10">
        <f t="shared" si="24"/>
        <v>9.9255211647142488E-2</v>
      </c>
      <c r="I794" s="15">
        <f t="shared" si="25"/>
        <v>5304</v>
      </c>
    </row>
    <row r="795" spans="1:9" hidden="1" x14ac:dyDescent="0.3">
      <c r="B795" s="5">
        <v>4350</v>
      </c>
      <c r="C795" s="5">
        <v>771</v>
      </c>
      <c r="D795" s="5">
        <v>7</v>
      </c>
      <c r="E795" s="5">
        <v>60900</v>
      </c>
      <c r="F795" s="5">
        <v>60592</v>
      </c>
      <c r="G795" s="5">
        <v>195</v>
      </c>
      <c r="H795" s="10">
        <f t="shared" si="24"/>
        <v>8.4203612479474554E-2</v>
      </c>
      <c r="I795" s="15">
        <f t="shared" si="25"/>
        <v>5128</v>
      </c>
    </row>
    <row r="796" spans="1:9" x14ac:dyDescent="0.3">
      <c r="A796" s="29" t="s">
        <v>600</v>
      </c>
      <c r="B796" s="52">
        <v>914</v>
      </c>
      <c r="C796" s="52">
        <v>464</v>
      </c>
      <c r="D796" s="52">
        <v>246</v>
      </c>
      <c r="E796" s="52">
        <v>11882</v>
      </c>
      <c r="F796" s="52">
        <v>11500</v>
      </c>
      <c r="G796" s="52">
        <v>282</v>
      </c>
      <c r="H796" s="32">
        <f t="shared" si="24"/>
        <v>0.13667732704931829</v>
      </c>
      <c r="I796" s="31">
        <f t="shared" si="25"/>
        <v>1624</v>
      </c>
    </row>
    <row r="797" spans="1:9" hidden="1" x14ac:dyDescent="0.3">
      <c r="B797" s="5">
        <v>1813</v>
      </c>
      <c r="C797" s="5">
        <v>623</v>
      </c>
      <c r="D797" s="5">
        <v>72</v>
      </c>
      <c r="E797" s="5">
        <v>19943</v>
      </c>
      <c r="F797" s="5">
        <v>18959</v>
      </c>
      <c r="G797" s="5">
        <v>85</v>
      </c>
      <c r="H797" s="10">
        <f t="shared" si="24"/>
        <v>0.12575841147269717</v>
      </c>
      <c r="I797" s="15">
        <f t="shared" si="25"/>
        <v>2508</v>
      </c>
    </row>
    <row r="798" spans="1:9" hidden="1" x14ac:dyDescent="0.3">
      <c r="B798" s="5">
        <v>4782</v>
      </c>
      <c r="C798" s="5">
        <v>721</v>
      </c>
      <c r="D798" s="5">
        <v>82</v>
      </c>
      <c r="E798" s="5">
        <v>86076</v>
      </c>
      <c r="F798" s="5">
        <v>85339</v>
      </c>
      <c r="G798" s="5">
        <v>19</v>
      </c>
      <c r="H798" s="10">
        <f t="shared" si="24"/>
        <v>6.4884520656164318E-2</v>
      </c>
      <c r="I798" s="15">
        <f t="shared" si="25"/>
        <v>5585</v>
      </c>
    </row>
    <row r="799" spans="1:9" hidden="1" x14ac:dyDescent="0.3">
      <c r="B799" s="5">
        <v>1048</v>
      </c>
      <c r="C799" s="5">
        <v>374</v>
      </c>
      <c r="D799" s="5">
        <v>450</v>
      </c>
      <c r="E799" s="5">
        <v>9432</v>
      </c>
      <c r="F799" s="5">
        <v>8882</v>
      </c>
      <c r="G799" s="5">
        <v>158</v>
      </c>
      <c r="H799" s="10">
        <f t="shared" si="24"/>
        <v>0.19847328244274809</v>
      </c>
      <c r="I799" s="15">
        <f t="shared" si="25"/>
        <v>1872</v>
      </c>
    </row>
    <row r="800" spans="1:9" hidden="1" x14ac:dyDescent="0.3">
      <c r="B800" s="5">
        <v>2509</v>
      </c>
      <c r="C800" s="5">
        <v>324</v>
      </c>
      <c r="D800" s="5">
        <v>171</v>
      </c>
      <c r="E800" s="5">
        <v>35126</v>
      </c>
      <c r="F800" s="5">
        <v>34685</v>
      </c>
      <c r="G800" s="5">
        <v>277</v>
      </c>
      <c r="H800" s="10">
        <f t="shared" si="24"/>
        <v>8.5520696919660646E-2</v>
      </c>
      <c r="I800" s="15">
        <f t="shared" si="25"/>
        <v>3004</v>
      </c>
    </row>
    <row r="801" spans="2:10" hidden="1" x14ac:dyDescent="0.3">
      <c r="B801" s="5">
        <v>3718</v>
      </c>
      <c r="C801" s="5">
        <v>385</v>
      </c>
      <c r="D801" s="5">
        <v>310</v>
      </c>
      <c r="E801" s="5">
        <v>70642</v>
      </c>
      <c r="F801" s="5">
        <v>69749</v>
      </c>
      <c r="G801" s="5">
        <v>233</v>
      </c>
      <c r="H801" s="10">
        <f t="shared" si="24"/>
        <v>6.246991874522239E-2</v>
      </c>
      <c r="I801" s="15">
        <f t="shared" si="25"/>
        <v>4413</v>
      </c>
    </row>
    <row r="802" spans="2:10" hidden="1" x14ac:dyDescent="0.3">
      <c r="B802" s="5">
        <v>802</v>
      </c>
      <c r="C802" s="5">
        <v>262</v>
      </c>
      <c r="D802" s="5">
        <v>244</v>
      </c>
      <c r="E802" s="5">
        <v>14436</v>
      </c>
      <c r="F802" s="5">
        <v>14280</v>
      </c>
      <c r="G802" s="5">
        <v>49</v>
      </c>
      <c r="H802" s="10">
        <f t="shared" si="24"/>
        <v>9.0606816292601824E-2</v>
      </c>
      <c r="I802" s="15">
        <f t="shared" si="25"/>
        <v>1308</v>
      </c>
    </row>
    <row r="803" spans="2:10" hidden="1" x14ac:dyDescent="0.3">
      <c r="B803" s="5">
        <v>1871</v>
      </c>
      <c r="C803" s="5">
        <v>252</v>
      </c>
      <c r="D803" s="5">
        <v>335</v>
      </c>
      <c r="E803" s="5">
        <v>29936</v>
      </c>
      <c r="F803" s="5">
        <v>29576</v>
      </c>
      <c r="G803" s="5">
        <v>288</v>
      </c>
      <c r="H803" s="10">
        <f t="shared" si="24"/>
        <v>8.2108498129342594E-2</v>
      </c>
      <c r="I803" s="15">
        <f t="shared" si="25"/>
        <v>2458</v>
      </c>
    </row>
    <row r="804" spans="2:10" hidden="1" x14ac:dyDescent="0.3">
      <c r="B804" s="5">
        <v>3773</v>
      </c>
      <c r="C804" s="5">
        <v>299</v>
      </c>
      <c r="D804" s="5">
        <v>38</v>
      </c>
      <c r="E804" s="5">
        <v>71687</v>
      </c>
      <c r="F804" s="5">
        <v>71447</v>
      </c>
      <c r="G804" s="5">
        <v>286</v>
      </c>
      <c r="H804" s="10">
        <f t="shared" si="24"/>
        <v>5.7332570758993957E-2</v>
      </c>
      <c r="I804" s="15">
        <f t="shared" si="25"/>
        <v>4110</v>
      </c>
    </row>
    <row r="805" spans="2:10" hidden="1" x14ac:dyDescent="0.3">
      <c r="B805" s="5">
        <v>2234</v>
      </c>
      <c r="C805" s="5">
        <v>653</v>
      </c>
      <c r="D805" s="5">
        <v>432</v>
      </c>
      <c r="E805" s="5">
        <v>11170</v>
      </c>
      <c r="F805" s="5">
        <v>10569</v>
      </c>
      <c r="G805" s="5">
        <v>198</v>
      </c>
      <c r="H805" s="10">
        <f t="shared" si="24"/>
        <v>0.29713518352730528</v>
      </c>
      <c r="I805" s="15">
        <f t="shared" si="25"/>
        <v>3319</v>
      </c>
    </row>
    <row r="806" spans="2:10" hidden="1" x14ac:dyDescent="0.3">
      <c r="B806" s="5">
        <v>3820</v>
      </c>
      <c r="C806" s="5">
        <v>697</v>
      </c>
      <c r="D806" s="5">
        <v>268</v>
      </c>
      <c r="E806" s="5">
        <v>45840</v>
      </c>
      <c r="F806" s="5">
        <v>45631</v>
      </c>
      <c r="G806" s="5">
        <v>171</v>
      </c>
      <c r="H806" s="10">
        <f t="shared" si="24"/>
        <v>0.1043848167539267</v>
      </c>
      <c r="I806" s="15">
        <f t="shared" si="25"/>
        <v>4785</v>
      </c>
      <c r="J806" t="s">
        <v>592</v>
      </c>
    </row>
    <row r="807" spans="2:10" hidden="1" x14ac:dyDescent="0.3">
      <c r="B807" s="5">
        <v>941</v>
      </c>
      <c r="C807" s="5">
        <v>121</v>
      </c>
      <c r="D807" s="5">
        <v>458</v>
      </c>
      <c r="E807" s="5">
        <v>14115</v>
      </c>
      <c r="F807" s="5">
        <v>13838</v>
      </c>
      <c r="G807" s="5">
        <v>87</v>
      </c>
      <c r="H807" s="10">
        <f t="shared" si="24"/>
        <v>0.10768685795253277</v>
      </c>
      <c r="I807" s="15">
        <f t="shared" si="25"/>
        <v>1520</v>
      </c>
    </row>
    <row r="808" spans="2:10" hidden="1" x14ac:dyDescent="0.3">
      <c r="B808" s="5">
        <v>4274</v>
      </c>
      <c r="C808" s="5">
        <v>340</v>
      </c>
      <c r="D808" s="5">
        <v>281</v>
      </c>
      <c r="E808" s="5">
        <v>34192</v>
      </c>
      <c r="F808" s="5">
        <v>33446</v>
      </c>
      <c r="G808" s="5">
        <v>129</v>
      </c>
      <c r="H808" s="10">
        <f t="shared" si="24"/>
        <v>0.14316214319138981</v>
      </c>
      <c r="I808" s="15">
        <f t="shared" si="25"/>
        <v>4895</v>
      </c>
      <c r="J808" t="s">
        <v>592</v>
      </c>
    </row>
    <row r="809" spans="2:10" hidden="1" x14ac:dyDescent="0.3">
      <c r="B809" s="5">
        <v>2949</v>
      </c>
      <c r="C809" s="5">
        <v>476</v>
      </c>
      <c r="D809" s="5">
        <v>403</v>
      </c>
      <c r="E809" s="5">
        <v>44235</v>
      </c>
      <c r="F809" s="5">
        <v>43705</v>
      </c>
      <c r="G809" s="5">
        <v>135</v>
      </c>
      <c r="H809" s="10">
        <f t="shared" si="24"/>
        <v>8.6537809426924378E-2</v>
      </c>
      <c r="I809" s="15">
        <f t="shared" si="25"/>
        <v>3828</v>
      </c>
    </row>
    <row r="810" spans="2:10" hidden="1" x14ac:dyDescent="0.3">
      <c r="B810" s="5">
        <v>3160</v>
      </c>
      <c r="C810" s="5">
        <v>204</v>
      </c>
      <c r="D810" s="5">
        <v>297</v>
      </c>
      <c r="E810" s="5">
        <v>44240</v>
      </c>
      <c r="F810" s="5">
        <v>43666</v>
      </c>
      <c r="G810" s="5">
        <v>49</v>
      </c>
      <c r="H810" s="10">
        <f t="shared" si="24"/>
        <v>8.2753164556962022E-2</v>
      </c>
      <c r="I810" s="15">
        <f t="shared" si="25"/>
        <v>3661</v>
      </c>
      <c r="J810" t="s">
        <v>600</v>
      </c>
    </row>
    <row r="811" spans="2:10" hidden="1" x14ac:dyDescent="0.3">
      <c r="B811" s="5">
        <v>257</v>
      </c>
      <c r="C811" s="5">
        <v>966</v>
      </c>
      <c r="D811" s="5">
        <v>398</v>
      </c>
      <c r="E811" s="5">
        <v>3341</v>
      </c>
      <c r="F811" s="5">
        <v>2753</v>
      </c>
      <c r="G811" s="5">
        <v>287</v>
      </c>
      <c r="H811" s="10">
        <f t="shared" si="24"/>
        <v>0.48518407662376534</v>
      </c>
      <c r="I811" s="15">
        <f t="shared" si="25"/>
        <v>1621</v>
      </c>
    </row>
    <row r="812" spans="2:10" hidden="1" x14ac:dyDescent="0.3">
      <c r="B812" s="5">
        <v>2120</v>
      </c>
      <c r="C812" s="5">
        <v>38</v>
      </c>
      <c r="D812" s="5">
        <v>212</v>
      </c>
      <c r="E812" s="5">
        <v>12720</v>
      </c>
      <c r="F812" s="5">
        <v>12564</v>
      </c>
      <c r="G812" s="5">
        <v>21</v>
      </c>
      <c r="H812" s="10">
        <f t="shared" si="24"/>
        <v>0.18632075471698112</v>
      </c>
      <c r="I812" s="15">
        <f t="shared" si="25"/>
        <v>2370</v>
      </c>
    </row>
    <row r="813" spans="2:10" hidden="1" x14ac:dyDescent="0.3">
      <c r="B813" s="5">
        <v>3874</v>
      </c>
      <c r="C813" s="5">
        <v>884</v>
      </c>
      <c r="D813" s="5">
        <v>19</v>
      </c>
      <c r="E813" s="5">
        <v>38740</v>
      </c>
      <c r="F813" s="5">
        <v>38552</v>
      </c>
      <c r="G813" s="5">
        <v>219</v>
      </c>
      <c r="H813" s="10">
        <f t="shared" si="24"/>
        <v>0.123309241094476</v>
      </c>
      <c r="I813" s="15">
        <f t="shared" si="25"/>
        <v>4777</v>
      </c>
    </row>
    <row r="814" spans="2:10" hidden="1" x14ac:dyDescent="0.3">
      <c r="B814" s="5">
        <v>2696</v>
      </c>
      <c r="C814" s="5">
        <v>628</v>
      </c>
      <c r="D814" s="5">
        <v>443</v>
      </c>
      <c r="E814" s="5">
        <v>45832</v>
      </c>
      <c r="F814" s="5">
        <v>45632</v>
      </c>
      <c r="G814" s="5">
        <v>248</v>
      </c>
      <c r="H814" s="10">
        <f t="shared" si="24"/>
        <v>8.21914819340199E-2</v>
      </c>
      <c r="I814" s="15">
        <f t="shared" si="25"/>
        <v>3767</v>
      </c>
    </row>
    <row r="815" spans="2:10" hidden="1" x14ac:dyDescent="0.3">
      <c r="B815" s="5">
        <v>521</v>
      </c>
      <c r="C815" s="5">
        <v>746</v>
      </c>
      <c r="D815" s="5">
        <v>315</v>
      </c>
      <c r="E815" s="5">
        <v>4168</v>
      </c>
      <c r="F815" s="5">
        <v>3399</v>
      </c>
      <c r="G815" s="5">
        <v>282</v>
      </c>
      <c r="H815" s="10">
        <f t="shared" si="24"/>
        <v>0.37955854126679461</v>
      </c>
      <c r="I815" s="15">
        <f t="shared" si="25"/>
        <v>1582</v>
      </c>
    </row>
    <row r="816" spans="2:10" hidden="1" x14ac:dyDescent="0.3">
      <c r="B816" s="5">
        <v>4872</v>
      </c>
      <c r="C816" s="5">
        <v>925</v>
      </c>
      <c r="D816" s="5">
        <v>176</v>
      </c>
      <c r="E816" s="5">
        <v>82824</v>
      </c>
      <c r="F816" s="5">
        <v>82543</v>
      </c>
      <c r="G816" s="5">
        <v>89</v>
      </c>
      <c r="H816" s="10">
        <f t="shared" si="24"/>
        <v>7.2116777745580993E-2</v>
      </c>
      <c r="I816" s="15">
        <f t="shared" si="25"/>
        <v>5973</v>
      </c>
    </row>
    <row r="817" spans="2:10" hidden="1" x14ac:dyDescent="0.3">
      <c r="B817" s="5">
        <v>1509</v>
      </c>
      <c r="C817" s="5">
        <v>88</v>
      </c>
      <c r="D817" s="5">
        <v>163</v>
      </c>
      <c r="E817" s="5">
        <v>30180</v>
      </c>
      <c r="F817" s="5">
        <v>29689</v>
      </c>
      <c r="G817" s="5">
        <v>119</v>
      </c>
      <c r="H817" s="10">
        <f t="shared" si="24"/>
        <v>5.8316766070245198E-2</v>
      </c>
      <c r="I817" s="15">
        <f t="shared" si="25"/>
        <v>1760</v>
      </c>
    </row>
    <row r="818" spans="2:10" hidden="1" x14ac:dyDescent="0.3">
      <c r="B818" s="5">
        <v>4606</v>
      </c>
      <c r="C818" s="5">
        <v>931</v>
      </c>
      <c r="D818" s="5">
        <v>230</v>
      </c>
      <c r="E818" s="5">
        <v>92120</v>
      </c>
      <c r="F818" s="5">
        <v>91440</v>
      </c>
      <c r="G818" s="5">
        <v>56</v>
      </c>
      <c r="H818" s="10">
        <f t="shared" si="24"/>
        <v>6.2603126356925748E-2</v>
      </c>
      <c r="I818" s="15">
        <f t="shared" si="25"/>
        <v>5767</v>
      </c>
    </row>
    <row r="819" spans="2:10" hidden="1" x14ac:dyDescent="0.3">
      <c r="B819" s="5">
        <v>1869</v>
      </c>
      <c r="C819" s="5">
        <v>453</v>
      </c>
      <c r="D819" s="5">
        <v>490</v>
      </c>
      <c r="E819" s="5">
        <v>14952</v>
      </c>
      <c r="F819" s="5">
        <v>14309</v>
      </c>
      <c r="G819" s="5">
        <v>275</v>
      </c>
      <c r="H819" s="10">
        <f t="shared" si="24"/>
        <v>0.18806848582129482</v>
      </c>
      <c r="I819" s="15">
        <f t="shared" si="25"/>
        <v>2812</v>
      </c>
    </row>
    <row r="820" spans="2:10" hidden="1" x14ac:dyDescent="0.3">
      <c r="B820" s="5">
        <v>1188</v>
      </c>
      <c r="C820" s="5">
        <v>470</v>
      </c>
      <c r="D820" s="5">
        <v>174</v>
      </c>
      <c r="E820" s="5">
        <v>7128</v>
      </c>
      <c r="F820" s="5">
        <v>6145</v>
      </c>
      <c r="G820" s="5">
        <v>270</v>
      </c>
      <c r="H820" s="10">
        <f t="shared" si="24"/>
        <v>0.25701459034792368</v>
      </c>
      <c r="I820" s="15">
        <f t="shared" si="25"/>
        <v>1832</v>
      </c>
    </row>
    <row r="821" spans="2:10" hidden="1" x14ac:dyDescent="0.3">
      <c r="B821" s="5">
        <v>84</v>
      </c>
      <c r="C821" s="5">
        <v>897</v>
      </c>
      <c r="D821" s="5">
        <v>85</v>
      </c>
      <c r="E821" s="5">
        <v>588</v>
      </c>
      <c r="F821" s="5">
        <v>8</v>
      </c>
      <c r="G821" s="5">
        <v>12</v>
      </c>
      <c r="H821" s="10">
        <f t="shared" si="24"/>
        <v>1.8129251700680271</v>
      </c>
      <c r="I821" s="15">
        <f t="shared" si="25"/>
        <v>1066</v>
      </c>
    </row>
    <row r="822" spans="2:10" hidden="1" x14ac:dyDescent="0.3">
      <c r="B822" s="5">
        <v>4453</v>
      </c>
      <c r="C822" s="5">
        <v>111</v>
      </c>
      <c r="D822" s="5">
        <v>420</v>
      </c>
      <c r="E822" s="5">
        <v>31171</v>
      </c>
      <c r="F822" s="5">
        <v>30565</v>
      </c>
      <c r="G822" s="5">
        <v>23</v>
      </c>
      <c r="H822" s="10">
        <f t="shared" si="24"/>
        <v>0.15989220750056141</v>
      </c>
      <c r="I822" s="15">
        <f t="shared" si="25"/>
        <v>4984</v>
      </c>
    </row>
    <row r="823" spans="2:10" hidden="1" x14ac:dyDescent="0.3">
      <c r="B823" s="5">
        <v>1814</v>
      </c>
      <c r="C823" s="5">
        <v>653</v>
      </c>
      <c r="D823" s="5">
        <v>363</v>
      </c>
      <c r="E823" s="5">
        <v>25396</v>
      </c>
      <c r="F823" s="5">
        <v>25286</v>
      </c>
      <c r="G823" s="5">
        <v>39</v>
      </c>
      <c r="H823" s="10">
        <f t="shared" si="24"/>
        <v>0.11143487163332809</v>
      </c>
      <c r="I823" s="15">
        <f t="shared" si="25"/>
        <v>2830</v>
      </c>
      <c r="J823" t="s">
        <v>592</v>
      </c>
    </row>
    <row r="824" spans="2:10" hidden="1" x14ac:dyDescent="0.3">
      <c r="B824" s="5">
        <v>3338</v>
      </c>
      <c r="C824" s="5">
        <v>277</v>
      </c>
      <c r="D824" s="5">
        <v>118</v>
      </c>
      <c r="E824" s="5">
        <v>60084</v>
      </c>
      <c r="F824" s="5">
        <v>59842</v>
      </c>
      <c r="G824" s="5">
        <v>252</v>
      </c>
      <c r="H824" s="10">
        <f t="shared" si="24"/>
        <v>6.2129685107516146E-2</v>
      </c>
      <c r="I824" s="15">
        <f t="shared" si="25"/>
        <v>3733</v>
      </c>
    </row>
    <row r="825" spans="2:10" hidden="1" x14ac:dyDescent="0.3">
      <c r="B825" s="5">
        <v>602</v>
      </c>
      <c r="C825" s="5">
        <v>594</v>
      </c>
      <c r="D825" s="5">
        <v>156</v>
      </c>
      <c r="E825" s="5">
        <v>4214</v>
      </c>
      <c r="F825" s="5">
        <v>3363</v>
      </c>
      <c r="G825" s="5">
        <v>164</v>
      </c>
      <c r="H825" s="10">
        <f t="shared" si="24"/>
        <v>0.32083531086853345</v>
      </c>
      <c r="I825" s="15">
        <f t="shared" si="25"/>
        <v>1352</v>
      </c>
    </row>
    <row r="826" spans="2:10" hidden="1" x14ac:dyDescent="0.3">
      <c r="B826" s="5">
        <v>4672</v>
      </c>
      <c r="C826" s="5">
        <v>325</v>
      </c>
      <c r="D826" s="5">
        <v>32</v>
      </c>
      <c r="E826" s="5">
        <v>88768</v>
      </c>
      <c r="F826" s="5">
        <v>87833</v>
      </c>
      <c r="G826" s="5">
        <v>118</v>
      </c>
      <c r="H826" s="10">
        <f t="shared" si="24"/>
        <v>5.6653298485940883E-2</v>
      </c>
      <c r="I826" s="15">
        <f t="shared" si="25"/>
        <v>5029</v>
      </c>
    </row>
    <row r="827" spans="2:10" hidden="1" x14ac:dyDescent="0.3">
      <c r="B827" s="5">
        <v>1741</v>
      </c>
      <c r="C827" s="5">
        <v>164</v>
      </c>
      <c r="D827" s="5">
        <v>318</v>
      </c>
      <c r="E827" s="5">
        <v>8705</v>
      </c>
      <c r="F827" s="5">
        <v>8272</v>
      </c>
      <c r="G827" s="5">
        <v>121</v>
      </c>
      <c r="H827" s="10">
        <f t="shared" si="24"/>
        <v>0.25537047673750718</v>
      </c>
      <c r="I827" s="15">
        <f t="shared" si="25"/>
        <v>2223</v>
      </c>
    </row>
    <row r="828" spans="2:10" hidden="1" x14ac:dyDescent="0.3">
      <c r="B828" s="5">
        <v>246</v>
      </c>
      <c r="C828" s="5">
        <v>149</v>
      </c>
      <c r="D828" s="5">
        <v>130</v>
      </c>
      <c r="E828" s="5">
        <v>4674</v>
      </c>
      <c r="F828" s="5">
        <v>4390</v>
      </c>
      <c r="G828" s="5">
        <v>217</v>
      </c>
      <c r="H828" s="10">
        <f t="shared" si="24"/>
        <v>0.11232349165596919</v>
      </c>
      <c r="I828" s="15">
        <f t="shared" si="25"/>
        <v>525</v>
      </c>
    </row>
    <row r="829" spans="2:10" hidden="1" x14ac:dyDescent="0.3">
      <c r="B829" s="5">
        <v>4808</v>
      </c>
      <c r="C829" s="5">
        <v>772</v>
      </c>
      <c r="D829" s="5">
        <v>320</v>
      </c>
      <c r="E829" s="5">
        <v>72120</v>
      </c>
      <c r="F829" s="5">
        <v>71696</v>
      </c>
      <c r="G829" s="5">
        <v>195</v>
      </c>
      <c r="H829" s="10">
        <f t="shared" si="24"/>
        <v>8.1808097615085965E-2</v>
      </c>
      <c r="I829" s="15">
        <f t="shared" si="25"/>
        <v>5900</v>
      </c>
    </row>
    <row r="830" spans="2:10" hidden="1" x14ac:dyDescent="0.3">
      <c r="B830" s="5">
        <v>4799</v>
      </c>
      <c r="C830" s="5">
        <v>694</v>
      </c>
      <c r="D830" s="5">
        <v>289</v>
      </c>
      <c r="E830" s="5">
        <v>43191</v>
      </c>
      <c r="F830" s="5">
        <v>42228</v>
      </c>
      <c r="G830" s="5">
        <v>118</v>
      </c>
      <c r="H830" s="10">
        <f t="shared" si="24"/>
        <v>0.13387048227640017</v>
      </c>
      <c r="I830" s="15">
        <f t="shared" si="25"/>
        <v>5782</v>
      </c>
    </row>
    <row r="831" spans="2:10" hidden="1" x14ac:dyDescent="0.3">
      <c r="B831" s="5">
        <v>3663</v>
      </c>
      <c r="C831" s="5">
        <v>17</v>
      </c>
      <c r="D831" s="5">
        <v>295</v>
      </c>
      <c r="E831" s="5">
        <v>51282</v>
      </c>
      <c r="F831" s="5">
        <v>50567</v>
      </c>
      <c r="G831" s="5">
        <v>84</v>
      </c>
      <c r="H831" s="10">
        <f t="shared" si="24"/>
        <v>7.7512577512577507E-2</v>
      </c>
      <c r="I831" s="15">
        <f t="shared" si="25"/>
        <v>3975</v>
      </c>
    </row>
    <row r="832" spans="2:10" hidden="1" x14ac:dyDescent="0.3">
      <c r="B832" s="5">
        <v>1430</v>
      </c>
      <c r="C832" s="5">
        <v>376</v>
      </c>
      <c r="D832" s="5">
        <v>33</v>
      </c>
      <c r="E832" s="5">
        <v>21450</v>
      </c>
      <c r="F832" s="5">
        <v>20509</v>
      </c>
      <c r="G832" s="5">
        <v>251</v>
      </c>
      <c r="H832" s="10">
        <f t="shared" si="24"/>
        <v>8.5734265734265735E-2</v>
      </c>
      <c r="I832" s="15">
        <f t="shared" si="25"/>
        <v>1839</v>
      </c>
    </row>
    <row r="833" spans="1:9" hidden="1" x14ac:dyDescent="0.3">
      <c r="B833" s="5">
        <v>249</v>
      </c>
      <c r="C833" s="5">
        <v>592</v>
      </c>
      <c r="D833" s="5">
        <v>230</v>
      </c>
      <c r="E833" s="5">
        <v>1494</v>
      </c>
      <c r="F833" s="5">
        <v>1044</v>
      </c>
      <c r="G833" s="5">
        <v>201</v>
      </c>
      <c r="H833" s="10">
        <f t="shared" si="24"/>
        <v>0.7168674698795181</v>
      </c>
      <c r="I833" s="15">
        <f t="shared" si="25"/>
        <v>1071</v>
      </c>
    </row>
    <row r="834" spans="1:9" hidden="1" x14ac:dyDescent="0.3">
      <c r="B834" s="5">
        <v>2382</v>
      </c>
      <c r="C834" s="5">
        <v>265</v>
      </c>
      <c r="D834" s="5">
        <v>134</v>
      </c>
      <c r="E834" s="5">
        <v>38112</v>
      </c>
      <c r="F834" s="5">
        <v>37437</v>
      </c>
      <c r="G834" s="5">
        <v>249</v>
      </c>
      <c r="H834" s="10">
        <f t="shared" ref="H834:H901" si="26">(B834+C834+D834)/E834</f>
        <v>7.2969143576826198E-2</v>
      </c>
      <c r="I834" s="15">
        <f t="shared" ref="I834:I901" si="27">B834+C834+D834</f>
        <v>2781</v>
      </c>
    </row>
    <row r="835" spans="1:9" hidden="1" x14ac:dyDescent="0.3">
      <c r="B835" s="5">
        <v>1272</v>
      </c>
      <c r="C835" s="5">
        <v>465</v>
      </c>
      <c r="D835" s="5">
        <v>99</v>
      </c>
      <c r="E835" s="5">
        <v>24168</v>
      </c>
      <c r="F835" s="5">
        <v>23719</v>
      </c>
      <c r="G835" s="5">
        <v>42</v>
      </c>
      <c r="H835" s="10">
        <f t="shared" si="26"/>
        <v>7.5968222442899705E-2</v>
      </c>
      <c r="I835" s="15">
        <f t="shared" si="27"/>
        <v>1836</v>
      </c>
    </row>
    <row r="836" spans="1:9" hidden="1" x14ac:dyDescent="0.3">
      <c r="B836" s="5">
        <v>3196</v>
      </c>
      <c r="C836" s="5">
        <v>941</v>
      </c>
      <c r="D836" s="5">
        <v>376</v>
      </c>
      <c r="E836" s="5">
        <v>35156</v>
      </c>
      <c r="F836" s="5">
        <v>34444</v>
      </c>
      <c r="G836" s="5">
        <v>241</v>
      </c>
      <c r="H836" s="10">
        <f t="shared" si="26"/>
        <v>0.1283706906360223</v>
      </c>
      <c r="I836" s="15">
        <f t="shared" si="27"/>
        <v>4513</v>
      </c>
    </row>
    <row r="837" spans="1:9" x14ac:dyDescent="0.3">
      <c r="A837" s="29" t="s">
        <v>34</v>
      </c>
      <c r="B837" s="52">
        <v>1257</v>
      </c>
      <c r="C837" s="52">
        <v>19</v>
      </c>
      <c r="D837" s="52">
        <v>351</v>
      </c>
      <c r="E837" s="52">
        <v>12570</v>
      </c>
      <c r="F837" s="52">
        <v>11660</v>
      </c>
      <c r="G837" s="52">
        <v>194</v>
      </c>
      <c r="H837" s="32">
        <f t="shared" si="26"/>
        <v>0.12943516308671441</v>
      </c>
      <c r="I837" s="31">
        <f t="shared" si="27"/>
        <v>1627</v>
      </c>
    </row>
    <row r="838" spans="1:9" hidden="1" x14ac:dyDescent="0.3">
      <c r="B838" s="5">
        <v>3770</v>
      </c>
      <c r="C838" s="5">
        <v>917</v>
      </c>
      <c r="D838" s="5">
        <v>129</v>
      </c>
      <c r="E838" s="5">
        <v>71630</v>
      </c>
      <c r="F838" s="5">
        <v>71322</v>
      </c>
      <c r="G838" s="5">
        <v>76</v>
      </c>
      <c r="H838" s="10">
        <f t="shared" si="26"/>
        <v>6.7234398994834563E-2</v>
      </c>
      <c r="I838" s="15">
        <f t="shared" si="27"/>
        <v>4816</v>
      </c>
    </row>
    <row r="839" spans="1:9" hidden="1" x14ac:dyDescent="0.3">
      <c r="B839" s="5">
        <v>4725</v>
      </c>
      <c r="C839" s="5">
        <v>400</v>
      </c>
      <c r="D839" s="5">
        <v>362</v>
      </c>
      <c r="E839" s="5">
        <v>75600</v>
      </c>
      <c r="F839" s="5">
        <v>74927</v>
      </c>
      <c r="G839" s="5">
        <v>43</v>
      </c>
      <c r="H839" s="10">
        <f t="shared" si="26"/>
        <v>7.2579365079365077E-2</v>
      </c>
      <c r="I839" s="15">
        <f t="shared" si="27"/>
        <v>5487</v>
      </c>
    </row>
    <row r="840" spans="1:9" hidden="1" x14ac:dyDescent="0.3">
      <c r="B840" s="5">
        <v>4188</v>
      </c>
      <c r="C840" s="5">
        <v>942</v>
      </c>
      <c r="D840" s="5">
        <v>118</v>
      </c>
      <c r="E840" s="5">
        <v>20940</v>
      </c>
      <c r="F840" s="5">
        <v>20471</v>
      </c>
      <c r="G840" s="5">
        <v>102</v>
      </c>
      <c r="H840" s="10">
        <f t="shared" si="26"/>
        <v>0.25062082139446035</v>
      </c>
      <c r="I840" s="15">
        <f t="shared" si="27"/>
        <v>5248</v>
      </c>
    </row>
    <row r="841" spans="1:9" x14ac:dyDescent="0.3">
      <c r="A841" s="29" t="s">
        <v>600</v>
      </c>
      <c r="B841" s="52">
        <v>929</v>
      </c>
      <c r="C841" s="52">
        <v>192</v>
      </c>
      <c r="D841" s="52">
        <v>322</v>
      </c>
      <c r="E841" s="52">
        <v>16722</v>
      </c>
      <c r="F841" s="52">
        <v>15996</v>
      </c>
      <c r="G841" s="52">
        <v>145</v>
      </c>
      <c r="H841" s="32">
        <f t="shared" si="26"/>
        <v>8.6293505561535699E-2</v>
      </c>
      <c r="I841" s="31">
        <f t="shared" si="27"/>
        <v>1443</v>
      </c>
    </row>
    <row r="842" spans="1:9" hidden="1" x14ac:dyDescent="0.3">
      <c r="B842" s="5">
        <v>4321</v>
      </c>
      <c r="C842" s="5">
        <v>874</v>
      </c>
      <c r="D842" s="5">
        <v>172</v>
      </c>
      <c r="E842" s="5">
        <v>30247</v>
      </c>
      <c r="F842" s="5">
        <v>29254</v>
      </c>
      <c r="G842" s="5">
        <v>122</v>
      </c>
      <c r="H842" s="10">
        <f t="shared" si="26"/>
        <v>0.17743908486792079</v>
      </c>
      <c r="I842" s="15">
        <f t="shared" si="27"/>
        <v>5367</v>
      </c>
    </row>
    <row r="843" spans="1:9" hidden="1" x14ac:dyDescent="0.3">
      <c r="B843" s="5">
        <v>4767</v>
      </c>
      <c r="C843" s="5">
        <v>190</v>
      </c>
      <c r="D843" s="5">
        <v>340</v>
      </c>
      <c r="E843" s="5">
        <v>28602</v>
      </c>
      <c r="F843" s="5">
        <v>28044</v>
      </c>
      <c r="G843" s="5">
        <v>210</v>
      </c>
      <c r="H843" s="10">
        <f t="shared" si="26"/>
        <v>0.18519683938186141</v>
      </c>
      <c r="I843" s="15">
        <f t="shared" si="27"/>
        <v>5297</v>
      </c>
    </row>
    <row r="844" spans="1:9" hidden="1" x14ac:dyDescent="0.3">
      <c r="B844" s="5">
        <v>3592</v>
      </c>
      <c r="C844" s="5">
        <v>911</v>
      </c>
      <c r="D844" s="5">
        <v>375</v>
      </c>
      <c r="E844" s="5">
        <v>50288</v>
      </c>
      <c r="F844" s="5">
        <v>49490</v>
      </c>
      <c r="G844" s="5">
        <v>32</v>
      </c>
      <c r="H844" s="10">
        <f t="shared" si="26"/>
        <v>9.7001272669424113E-2</v>
      </c>
      <c r="I844" s="15">
        <f t="shared" si="27"/>
        <v>4878</v>
      </c>
    </row>
    <row r="845" spans="1:9" hidden="1" x14ac:dyDescent="0.3">
      <c r="B845" s="5">
        <v>4661</v>
      </c>
      <c r="C845" s="5">
        <v>935</v>
      </c>
      <c r="D845" s="5">
        <v>433</v>
      </c>
      <c r="E845" s="5">
        <v>23305</v>
      </c>
      <c r="F845" s="5">
        <v>22583</v>
      </c>
      <c r="G845" s="5">
        <v>63</v>
      </c>
      <c r="H845" s="10">
        <f t="shared" si="26"/>
        <v>0.25869984981763572</v>
      </c>
      <c r="I845" s="15">
        <f t="shared" si="27"/>
        <v>6029</v>
      </c>
    </row>
    <row r="846" spans="1:9" hidden="1" x14ac:dyDescent="0.3">
      <c r="B846" s="5">
        <v>4134</v>
      </c>
      <c r="C846" s="5">
        <v>824</v>
      </c>
      <c r="D846" s="5">
        <v>99</v>
      </c>
      <c r="E846" s="5">
        <v>41340</v>
      </c>
      <c r="F846" s="5">
        <v>41050</v>
      </c>
      <c r="G846" s="5">
        <v>177</v>
      </c>
      <c r="H846" s="10">
        <f t="shared" si="26"/>
        <v>0.12232704402515723</v>
      </c>
      <c r="I846" s="15">
        <f t="shared" si="27"/>
        <v>5057</v>
      </c>
    </row>
    <row r="847" spans="1:9" hidden="1" x14ac:dyDescent="0.3">
      <c r="B847" s="5">
        <v>400</v>
      </c>
      <c r="C847" s="5">
        <v>680</v>
      </c>
      <c r="D847" s="5">
        <v>434</v>
      </c>
      <c r="E847" s="5">
        <v>6400</v>
      </c>
      <c r="F847" s="5">
        <v>5472</v>
      </c>
      <c r="G847" s="5">
        <v>160</v>
      </c>
      <c r="H847" s="10">
        <f t="shared" si="26"/>
        <v>0.23656250000000001</v>
      </c>
      <c r="I847" s="15">
        <f t="shared" si="27"/>
        <v>1514</v>
      </c>
    </row>
    <row r="848" spans="1:9" x14ac:dyDescent="0.3">
      <c r="A848" s="29" t="s">
        <v>601</v>
      </c>
      <c r="B848" s="52">
        <v>3960</v>
      </c>
      <c r="C848" s="52">
        <v>266</v>
      </c>
      <c r="D848" s="52">
        <v>8</v>
      </c>
      <c r="E848" s="52">
        <v>35640</v>
      </c>
      <c r="F848" s="52">
        <v>34850</v>
      </c>
      <c r="G848" s="52">
        <v>208</v>
      </c>
      <c r="H848" s="32">
        <f t="shared" si="26"/>
        <v>0.11879910213243547</v>
      </c>
      <c r="I848" s="31">
        <f t="shared" si="27"/>
        <v>4234</v>
      </c>
    </row>
    <row r="849" spans="1:9" hidden="1" x14ac:dyDescent="0.3">
      <c r="B849" s="5">
        <v>886</v>
      </c>
      <c r="C849" s="5">
        <v>126</v>
      </c>
      <c r="D849" s="5">
        <v>153</v>
      </c>
      <c r="E849" s="5">
        <v>4430</v>
      </c>
      <c r="F849" s="5">
        <v>4037</v>
      </c>
      <c r="G849" s="5">
        <v>212</v>
      </c>
      <c r="H849" s="10">
        <f t="shared" si="26"/>
        <v>0.26297968397291194</v>
      </c>
      <c r="I849" s="15">
        <f t="shared" si="27"/>
        <v>1165</v>
      </c>
    </row>
    <row r="850" spans="1:9" hidden="1" x14ac:dyDescent="0.3">
      <c r="B850" s="5">
        <v>827</v>
      </c>
      <c r="C850" s="5">
        <v>77</v>
      </c>
      <c r="D850" s="5">
        <v>402</v>
      </c>
      <c r="E850" s="5">
        <v>14886</v>
      </c>
      <c r="F850" s="5">
        <v>14129</v>
      </c>
      <c r="G850" s="5">
        <v>254</v>
      </c>
      <c r="H850" s="10">
        <f t="shared" si="26"/>
        <v>8.7733440816874911E-2</v>
      </c>
      <c r="I850" s="15">
        <f t="shared" si="27"/>
        <v>1306</v>
      </c>
    </row>
    <row r="851" spans="1:9" hidden="1" x14ac:dyDescent="0.3">
      <c r="B851" s="5">
        <v>3813</v>
      </c>
      <c r="C851" s="5">
        <v>935</v>
      </c>
      <c r="D851" s="5">
        <v>274</v>
      </c>
      <c r="E851" s="5">
        <v>68634</v>
      </c>
      <c r="F851" s="5">
        <v>68488</v>
      </c>
      <c r="G851" s="5">
        <v>251</v>
      </c>
      <c r="H851" s="10">
        <f t="shared" si="26"/>
        <v>7.3170731707317069E-2</v>
      </c>
      <c r="I851" s="15">
        <f t="shared" si="27"/>
        <v>5022</v>
      </c>
    </row>
    <row r="852" spans="1:9" hidden="1" x14ac:dyDescent="0.3">
      <c r="B852" s="5">
        <v>1377</v>
      </c>
      <c r="C852" s="5">
        <v>796</v>
      </c>
      <c r="D852" s="5">
        <v>387</v>
      </c>
      <c r="E852" s="5">
        <v>22032</v>
      </c>
      <c r="F852" s="5">
        <v>21869</v>
      </c>
      <c r="G852" s="5">
        <v>189</v>
      </c>
      <c r="H852" s="10">
        <f t="shared" si="26"/>
        <v>0.11619462599854757</v>
      </c>
      <c r="I852" s="15">
        <f t="shared" si="27"/>
        <v>2560</v>
      </c>
    </row>
    <row r="853" spans="1:9" hidden="1" x14ac:dyDescent="0.3">
      <c r="B853" s="5">
        <v>2089</v>
      </c>
      <c r="C853" s="5">
        <v>476</v>
      </c>
      <c r="D853" s="5">
        <v>69</v>
      </c>
      <c r="E853" s="5">
        <v>16712</v>
      </c>
      <c r="F853" s="5">
        <v>16309</v>
      </c>
      <c r="G853" s="5">
        <v>64</v>
      </c>
      <c r="H853" s="10">
        <f t="shared" si="26"/>
        <v>0.15761129727142173</v>
      </c>
      <c r="I853" s="15">
        <f t="shared" si="27"/>
        <v>2634</v>
      </c>
    </row>
    <row r="854" spans="1:9" hidden="1" x14ac:dyDescent="0.3">
      <c r="B854" s="5">
        <v>3791</v>
      </c>
      <c r="C854" s="5">
        <v>593</v>
      </c>
      <c r="D854" s="5">
        <v>228</v>
      </c>
      <c r="E854" s="5">
        <v>53074</v>
      </c>
      <c r="F854" s="5">
        <v>52613</v>
      </c>
      <c r="G854" s="5">
        <v>205</v>
      </c>
      <c r="H854" s="10">
        <f t="shared" si="26"/>
        <v>8.6897539284772202E-2</v>
      </c>
      <c r="I854" s="15">
        <f t="shared" si="27"/>
        <v>4612</v>
      </c>
    </row>
    <row r="855" spans="1:9" hidden="1" x14ac:dyDescent="0.3">
      <c r="B855" s="5">
        <v>2692</v>
      </c>
      <c r="C855" s="5">
        <v>115</v>
      </c>
      <c r="D855" s="5">
        <v>64</v>
      </c>
      <c r="E855" s="5">
        <v>21536</v>
      </c>
      <c r="F855" s="5">
        <v>21120</v>
      </c>
      <c r="G855" s="5">
        <v>224</v>
      </c>
      <c r="H855" s="10">
        <f t="shared" si="26"/>
        <v>0.13331166419019316</v>
      </c>
      <c r="I855" s="15">
        <f t="shared" si="27"/>
        <v>2871</v>
      </c>
    </row>
    <row r="856" spans="1:9" hidden="1" x14ac:dyDescent="0.3">
      <c r="B856" s="5">
        <v>3767</v>
      </c>
      <c r="C856" s="5">
        <v>514</v>
      </c>
      <c r="D856" s="5">
        <v>238</v>
      </c>
      <c r="E856" s="5">
        <v>37670</v>
      </c>
      <c r="F856" s="5">
        <v>36807</v>
      </c>
      <c r="G856" s="5">
        <v>226</v>
      </c>
      <c r="H856" s="10">
        <f t="shared" si="26"/>
        <v>0.11996283514733209</v>
      </c>
      <c r="I856" s="15">
        <f t="shared" si="27"/>
        <v>4519</v>
      </c>
    </row>
    <row r="857" spans="1:9" hidden="1" x14ac:dyDescent="0.3">
      <c r="B857" s="5">
        <v>2143</v>
      </c>
      <c r="C857" s="5">
        <v>12</v>
      </c>
      <c r="D857" s="5">
        <v>204</v>
      </c>
      <c r="E857" s="5">
        <v>40717</v>
      </c>
      <c r="F857" s="5">
        <v>40125</v>
      </c>
      <c r="G857" s="5">
        <v>248</v>
      </c>
      <c r="H857" s="10">
        <f t="shared" si="26"/>
        <v>5.7936488444630008E-2</v>
      </c>
      <c r="I857" s="15">
        <f t="shared" si="27"/>
        <v>2359</v>
      </c>
    </row>
    <row r="858" spans="1:9" x14ac:dyDescent="0.3">
      <c r="A858" s="29" t="s">
        <v>601</v>
      </c>
      <c r="B858" s="52">
        <v>3090</v>
      </c>
      <c r="C858" s="52">
        <v>697</v>
      </c>
      <c r="D858" s="52">
        <v>164</v>
      </c>
      <c r="E858" s="52">
        <v>49440</v>
      </c>
      <c r="F858" s="52">
        <v>48524</v>
      </c>
      <c r="G858" s="52">
        <v>25</v>
      </c>
      <c r="H858" s="32">
        <f t="shared" si="26"/>
        <v>7.9915048543689318E-2</v>
      </c>
      <c r="I858" s="31">
        <f t="shared" si="27"/>
        <v>3951</v>
      </c>
    </row>
    <row r="859" spans="1:9" hidden="1" x14ac:dyDescent="0.3">
      <c r="B859" s="5">
        <v>3601</v>
      </c>
      <c r="C859" s="5">
        <v>695</v>
      </c>
      <c r="D859" s="5">
        <v>75</v>
      </c>
      <c r="E859" s="5">
        <v>21606</v>
      </c>
      <c r="F859" s="5">
        <v>21454</v>
      </c>
      <c r="G859" s="5">
        <v>172</v>
      </c>
      <c r="H859" s="10">
        <f t="shared" si="26"/>
        <v>0.2023049153013052</v>
      </c>
      <c r="I859" s="15">
        <f t="shared" si="27"/>
        <v>4371</v>
      </c>
    </row>
    <row r="860" spans="1:9" hidden="1" x14ac:dyDescent="0.3">
      <c r="B860" s="5">
        <v>562</v>
      </c>
      <c r="C860" s="5">
        <v>158</v>
      </c>
      <c r="D860" s="5">
        <v>149</v>
      </c>
      <c r="E860" s="5">
        <v>3372</v>
      </c>
      <c r="F860" s="5">
        <v>2940</v>
      </c>
      <c r="G860" s="5">
        <v>93</v>
      </c>
      <c r="H860" s="10">
        <f t="shared" si="26"/>
        <v>0.25771055753262156</v>
      </c>
      <c r="I860" s="15">
        <f t="shared" si="27"/>
        <v>869</v>
      </c>
    </row>
    <row r="861" spans="1:9" x14ac:dyDescent="0.3">
      <c r="A861" s="29" t="s">
        <v>601</v>
      </c>
      <c r="B861" s="52">
        <v>4332</v>
      </c>
      <c r="C861" s="52">
        <v>771</v>
      </c>
      <c r="D861" s="52">
        <v>219</v>
      </c>
      <c r="E861" s="52">
        <v>60648</v>
      </c>
      <c r="F861" s="52">
        <v>60397</v>
      </c>
      <c r="G861" s="52">
        <v>10</v>
      </c>
      <c r="H861" s="32">
        <f t="shared" si="26"/>
        <v>8.7752275425405618E-2</v>
      </c>
      <c r="I861" s="31">
        <f t="shared" si="27"/>
        <v>5322</v>
      </c>
    </row>
    <row r="862" spans="1:9" hidden="1" x14ac:dyDescent="0.3">
      <c r="B862" s="5">
        <v>4853</v>
      </c>
      <c r="C862" s="5">
        <v>837</v>
      </c>
      <c r="D862" s="5">
        <v>340</v>
      </c>
      <c r="E862" s="5">
        <v>72795</v>
      </c>
      <c r="F862" s="5">
        <v>72237</v>
      </c>
      <c r="G862" s="5">
        <v>170</v>
      </c>
      <c r="H862" s="10">
        <f t="shared" si="26"/>
        <v>8.2835359571399134E-2</v>
      </c>
      <c r="I862" s="15">
        <f t="shared" si="27"/>
        <v>6030</v>
      </c>
    </row>
    <row r="863" spans="1:9" hidden="1" x14ac:dyDescent="0.3">
      <c r="B863" s="5">
        <v>1206</v>
      </c>
      <c r="C863" s="5">
        <v>238</v>
      </c>
      <c r="D863" s="5">
        <v>36</v>
      </c>
      <c r="E863" s="5">
        <v>9648</v>
      </c>
      <c r="F863" s="5">
        <v>9417</v>
      </c>
      <c r="G863" s="5">
        <v>237</v>
      </c>
      <c r="H863" s="10">
        <f t="shared" si="26"/>
        <v>0.15339966832504145</v>
      </c>
      <c r="I863" s="15">
        <f t="shared" si="27"/>
        <v>1480</v>
      </c>
    </row>
    <row r="864" spans="1:9" hidden="1" x14ac:dyDescent="0.3">
      <c r="B864" s="5">
        <v>2603</v>
      </c>
      <c r="C864" s="5">
        <v>690</v>
      </c>
      <c r="D864" s="5">
        <v>205</v>
      </c>
      <c r="E864" s="5">
        <v>13015</v>
      </c>
      <c r="F864" s="5">
        <v>12130</v>
      </c>
      <c r="G864" s="5">
        <v>20</v>
      </c>
      <c r="H864" s="10">
        <f t="shared" si="26"/>
        <v>0.26876680752977333</v>
      </c>
      <c r="I864" s="15">
        <f t="shared" si="27"/>
        <v>3498</v>
      </c>
    </row>
    <row r="865" spans="2:9" hidden="1" x14ac:dyDescent="0.3">
      <c r="B865" s="5">
        <v>59</v>
      </c>
      <c r="C865" s="5">
        <v>163</v>
      </c>
      <c r="D865" s="5">
        <v>93</v>
      </c>
      <c r="E865" s="5">
        <v>590</v>
      </c>
      <c r="F865" s="5">
        <v>475</v>
      </c>
      <c r="G865" s="5">
        <v>293</v>
      </c>
      <c r="H865" s="10">
        <f t="shared" si="26"/>
        <v>0.53389830508474578</v>
      </c>
      <c r="I865" s="15">
        <f t="shared" si="27"/>
        <v>315</v>
      </c>
    </row>
    <row r="866" spans="2:9" hidden="1" x14ac:dyDescent="0.3">
      <c r="B866" s="5">
        <v>1877</v>
      </c>
      <c r="C866" s="5">
        <v>745</v>
      </c>
      <c r="D866" s="5">
        <v>225</v>
      </c>
      <c r="E866" s="5">
        <v>11262</v>
      </c>
      <c r="F866" s="5">
        <v>10967</v>
      </c>
      <c r="G866" s="5">
        <v>41</v>
      </c>
      <c r="H866" s="10">
        <f t="shared" si="26"/>
        <v>0.25279701651571657</v>
      </c>
      <c r="I866" s="15">
        <f t="shared" si="27"/>
        <v>2847</v>
      </c>
    </row>
    <row r="867" spans="2:9" hidden="1" x14ac:dyDescent="0.3">
      <c r="B867" s="5">
        <v>4182</v>
      </c>
      <c r="C867" s="5">
        <v>640</v>
      </c>
      <c r="D867" s="5">
        <v>240</v>
      </c>
      <c r="E867" s="5">
        <v>50184</v>
      </c>
      <c r="F867" s="5">
        <v>49351</v>
      </c>
      <c r="G867" s="5">
        <v>10</v>
      </c>
      <c r="H867" s="10">
        <f t="shared" si="26"/>
        <v>0.10086880280567512</v>
      </c>
      <c r="I867" s="15">
        <f t="shared" si="27"/>
        <v>5062</v>
      </c>
    </row>
    <row r="868" spans="2:9" hidden="1" x14ac:dyDescent="0.3">
      <c r="B868" s="5">
        <v>4187</v>
      </c>
      <c r="C868" s="5">
        <v>66</v>
      </c>
      <c r="D868" s="5">
        <v>31</v>
      </c>
      <c r="E868" s="5">
        <v>66992</v>
      </c>
      <c r="F868" s="5">
        <v>66614</v>
      </c>
      <c r="G868" s="5">
        <v>62</v>
      </c>
      <c r="H868" s="10">
        <f t="shared" si="26"/>
        <v>6.3947934081681396E-2</v>
      </c>
      <c r="I868" s="15">
        <f t="shared" si="27"/>
        <v>4284</v>
      </c>
    </row>
    <row r="869" spans="2:9" hidden="1" x14ac:dyDescent="0.3">
      <c r="B869" s="5">
        <v>4579</v>
      </c>
      <c r="C869" s="5">
        <v>125</v>
      </c>
      <c r="D869" s="5">
        <v>300</v>
      </c>
      <c r="E869" s="5">
        <v>59527</v>
      </c>
      <c r="F869" s="5">
        <v>59400</v>
      </c>
      <c r="G869" s="5">
        <v>269</v>
      </c>
      <c r="H869" s="10">
        <f t="shared" si="26"/>
        <v>8.4062694239588759E-2</v>
      </c>
      <c r="I869" s="15">
        <f t="shared" si="27"/>
        <v>5004</v>
      </c>
    </row>
    <row r="870" spans="2:9" hidden="1" x14ac:dyDescent="0.3">
      <c r="B870" s="5">
        <v>4561</v>
      </c>
      <c r="C870" s="5">
        <v>51</v>
      </c>
      <c r="D870" s="5">
        <v>441</v>
      </c>
      <c r="E870" s="5">
        <v>22805</v>
      </c>
      <c r="F870" s="5">
        <v>21890</v>
      </c>
      <c r="G870" s="5">
        <v>45</v>
      </c>
      <c r="H870" s="10">
        <f t="shared" si="26"/>
        <v>0.22157421618066214</v>
      </c>
      <c r="I870" s="15">
        <f t="shared" si="27"/>
        <v>5053</v>
      </c>
    </row>
    <row r="871" spans="2:9" hidden="1" x14ac:dyDescent="0.3">
      <c r="B871" s="5">
        <v>3774</v>
      </c>
      <c r="C871" s="5">
        <v>239</v>
      </c>
      <c r="D871" s="5">
        <v>39</v>
      </c>
      <c r="E871" s="5">
        <v>60384</v>
      </c>
      <c r="F871" s="5">
        <v>59490</v>
      </c>
      <c r="G871" s="5">
        <v>241</v>
      </c>
      <c r="H871" s="10">
        <f t="shared" si="26"/>
        <v>6.7103868574456813E-2</v>
      </c>
      <c r="I871" s="15">
        <f t="shared" si="27"/>
        <v>4052</v>
      </c>
    </row>
    <row r="872" spans="2:9" hidden="1" x14ac:dyDescent="0.3">
      <c r="B872" s="5">
        <v>3575</v>
      </c>
      <c r="C872" s="5">
        <v>749</v>
      </c>
      <c r="D872" s="5">
        <v>111</v>
      </c>
      <c r="E872" s="5">
        <v>21450</v>
      </c>
      <c r="F872" s="5">
        <v>20785</v>
      </c>
      <c r="G872" s="5">
        <v>195</v>
      </c>
      <c r="H872" s="10">
        <f t="shared" si="26"/>
        <v>0.20675990675990677</v>
      </c>
      <c r="I872" s="15">
        <f t="shared" si="27"/>
        <v>4435</v>
      </c>
    </row>
    <row r="873" spans="2:9" hidden="1" x14ac:dyDescent="0.3">
      <c r="B873" s="5">
        <v>4941</v>
      </c>
      <c r="C873" s="5">
        <v>414</v>
      </c>
      <c r="D873" s="5">
        <v>266</v>
      </c>
      <c r="E873" s="5">
        <v>39528</v>
      </c>
      <c r="F873" s="5">
        <v>39154</v>
      </c>
      <c r="G873" s="5">
        <v>217</v>
      </c>
      <c r="H873" s="10">
        <f t="shared" si="26"/>
        <v>0.14220299534507186</v>
      </c>
      <c r="I873" s="15">
        <f t="shared" si="27"/>
        <v>5621</v>
      </c>
    </row>
    <row r="874" spans="2:9" hidden="1" x14ac:dyDescent="0.3">
      <c r="B874" s="5">
        <v>3641</v>
      </c>
      <c r="C874" s="5">
        <v>226</v>
      </c>
      <c r="D874" s="5">
        <v>46</v>
      </c>
      <c r="E874" s="5">
        <v>40051</v>
      </c>
      <c r="F874" s="5">
        <v>39319</v>
      </c>
      <c r="G874" s="5">
        <v>296</v>
      </c>
      <c r="H874" s="10">
        <f t="shared" si="26"/>
        <v>9.7700431949264685E-2</v>
      </c>
      <c r="I874" s="15">
        <f t="shared" si="27"/>
        <v>3913</v>
      </c>
    </row>
    <row r="875" spans="2:9" hidden="1" x14ac:dyDescent="0.3">
      <c r="B875" s="5">
        <v>3535</v>
      </c>
      <c r="C875" s="5">
        <v>494</v>
      </c>
      <c r="D875" s="5">
        <v>152</v>
      </c>
      <c r="E875" s="5">
        <v>53025</v>
      </c>
      <c r="F875" s="5">
        <v>52791</v>
      </c>
      <c r="G875" s="5">
        <v>44</v>
      </c>
      <c r="H875" s="10">
        <f t="shared" si="26"/>
        <v>7.8849599245638849E-2</v>
      </c>
      <c r="I875" s="15">
        <f t="shared" si="27"/>
        <v>4181</v>
      </c>
    </row>
    <row r="876" spans="2:9" hidden="1" x14ac:dyDescent="0.3">
      <c r="B876" s="5">
        <v>1741</v>
      </c>
      <c r="C876" s="5">
        <v>831</v>
      </c>
      <c r="D876" s="5">
        <v>345</v>
      </c>
      <c r="E876" s="5">
        <v>17410</v>
      </c>
      <c r="F876" s="5">
        <v>16844</v>
      </c>
      <c r="G876" s="5">
        <v>58</v>
      </c>
      <c r="H876" s="10">
        <f t="shared" si="26"/>
        <v>0.16754738655944859</v>
      </c>
      <c r="I876" s="15">
        <f t="shared" si="27"/>
        <v>2917</v>
      </c>
    </row>
    <row r="877" spans="2:9" hidden="1" x14ac:dyDescent="0.3">
      <c r="B877" s="5">
        <v>1556</v>
      </c>
      <c r="C877" s="5">
        <v>195</v>
      </c>
      <c r="D877" s="5">
        <v>131</v>
      </c>
      <c r="E877" s="5">
        <v>9336</v>
      </c>
      <c r="F877" s="5">
        <v>8875</v>
      </c>
      <c r="G877" s="5">
        <v>137</v>
      </c>
      <c r="H877" s="10">
        <f t="shared" si="26"/>
        <v>0.2015852613538989</v>
      </c>
      <c r="I877" s="15">
        <f t="shared" si="27"/>
        <v>1882</v>
      </c>
    </row>
    <row r="878" spans="2:9" hidden="1" x14ac:dyDescent="0.3">
      <c r="B878" s="5">
        <v>4236</v>
      </c>
      <c r="C878" s="5">
        <v>711</v>
      </c>
      <c r="D878" s="5">
        <v>298</v>
      </c>
      <c r="E878" s="5">
        <v>21180</v>
      </c>
      <c r="F878" s="5">
        <v>20516</v>
      </c>
      <c r="G878" s="5">
        <v>238</v>
      </c>
      <c r="H878" s="10">
        <f t="shared" si="26"/>
        <v>0.24763928234183191</v>
      </c>
      <c r="I878" s="15">
        <f t="shared" si="27"/>
        <v>5245</v>
      </c>
    </row>
    <row r="879" spans="2:9" hidden="1" x14ac:dyDescent="0.3">
      <c r="B879" s="5">
        <v>4516</v>
      </c>
      <c r="C879" s="5">
        <v>836</v>
      </c>
      <c r="D879" s="5">
        <v>169</v>
      </c>
      <c r="E879" s="5">
        <v>49676</v>
      </c>
      <c r="F879" s="5">
        <v>49257</v>
      </c>
      <c r="G879" s="5">
        <v>282</v>
      </c>
      <c r="H879" s="10">
        <f t="shared" si="26"/>
        <v>0.11114018842096787</v>
      </c>
      <c r="I879" s="15">
        <f t="shared" si="27"/>
        <v>5521</v>
      </c>
    </row>
    <row r="880" spans="2:9" hidden="1" x14ac:dyDescent="0.3">
      <c r="B880" s="5">
        <v>4905</v>
      </c>
      <c r="C880" s="5">
        <v>845</v>
      </c>
      <c r="D880" s="5">
        <v>129</v>
      </c>
      <c r="E880" s="5">
        <v>98100</v>
      </c>
      <c r="F880" s="5">
        <v>97772</v>
      </c>
      <c r="G880" s="5">
        <v>279</v>
      </c>
      <c r="H880" s="10">
        <f t="shared" si="26"/>
        <v>5.9928644240570844E-2</v>
      </c>
      <c r="I880" s="15">
        <f t="shared" si="27"/>
        <v>5879</v>
      </c>
    </row>
    <row r="881" spans="1:10" x14ac:dyDescent="0.3">
      <c r="A881" s="29" t="s">
        <v>600</v>
      </c>
      <c r="B881" s="52">
        <v>4275</v>
      </c>
      <c r="C881" s="52">
        <v>680</v>
      </c>
      <c r="D881" s="52">
        <v>385</v>
      </c>
      <c r="E881" s="52">
        <v>64125</v>
      </c>
      <c r="F881" s="52">
        <v>63650</v>
      </c>
      <c r="G881" s="52">
        <v>104</v>
      </c>
      <c r="H881" s="32">
        <f t="shared" si="26"/>
        <v>8.3274853801169585E-2</v>
      </c>
      <c r="I881" s="31">
        <f t="shared" si="27"/>
        <v>5340</v>
      </c>
    </row>
    <row r="882" spans="1:10" hidden="1" x14ac:dyDescent="0.3">
      <c r="B882" s="5">
        <v>3166</v>
      </c>
      <c r="C882" s="5">
        <v>90</v>
      </c>
      <c r="D882" s="5">
        <v>341</v>
      </c>
      <c r="E882" s="5">
        <v>56988</v>
      </c>
      <c r="F882" s="5">
        <v>56125</v>
      </c>
      <c r="G882" s="5">
        <v>135</v>
      </c>
      <c r="H882" s="10">
        <f t="shared" si="26"/>
        <v>6.3118551273952411E-2</v>
      </c>
      <c r="I882" s="15">
        <f t="shared" si="27"/>
        <v>3597</v>
      </c>
    </row>
    <row r="883" spans="1:10" hidden="1" x14ac:dyDescent="0.3">
      <c r="B883" s="5">
        <v>1488</v>
      </c>
      <c r="C883" s="5">
        <v>417</v>
      </c>
      <c r="D883" s="5">
        <v>168</v>
      </c>
      <c r="E883" s="5">
        <v>19344</v>
      </c>
      <c r="F883" s="5">
        <v>18395</v>
      </c>
      <c r="G883" s="5">
        <v>30</v>
      </c>
      <c r="H883" s="10">
        <f t="shared" si="26"/>
        <v>0.1071650124069479</v>
      </c>
      <c r="I883" s="15">
        <f t="shared" si="27"/>
        <v>2073</v>
      </c>
    </row>
    <row r="884" spans="1:10" hidden="1" x14ac:dyDescent="0.3">
      <c r="B884" s="5">
        <v>3367</v>
      </c>
      <c r="C884" s="5">
        <v>302</v>
      </c>
      <c r="D884" s="5">
        <v>57</v>
      </c>
      <c r="E884" s="5">
        <v>63973</v>
      </c>
      <c r="F884" s="5">
        <v>63789</v>
      </c>
      <c r="G884" s="5">
        <v>157</v>
      </c>
      <c r="H884" s="10">
        <f t="shared" si="26"/>
        <v>5.8243321401216137E-2</v>
      </c>
      <c r="I884" s="15">
        <f t="shared" si="27"/>
        <v>3726</v>
      </c>
    </row>
    <row r="885" spans="1:10" hidden="1" x14ac:dyDescent="0.3">
      <c r="B885" s="5">
        <v>571</v>
      </c>
      <c r="C885" s="5">
        <v>190</v>
      </c>
      <c r="D885" s="5">
        <v>352</v>
      </c>
      <c r="E885" s="5">
        <v>9707</v>
      </c>
      <c r="F885" s="5">
        <v>9418</v>
      </c>
      <c r="G885" s="5">
        <v>231</v>
      </c>
      <c r="H885" s="10">
        <f t="shared" si="26"/>
        <v>0.11465952405480581</v>
      </c>
      <c r="I885" s="15">
        <f t="shared" si="27"/>
        <v>1113</v>
      </c>
    </row>
    <row r="886" spans="1:10" hidden="1" x14ac:dyDescent="0.3">
      <c r="B886" s="5">
        <v>4021</v>
      </c>
      <c r="C886" s="5">
        <v>794</v>
      </c>
      <c r="D886" s="5">
        <v>77</v>
      </c>
      <c r="E886" s="5">
        <v>36189</v>
      </c>
      <c r="F886" s="5">
        <v>35505</v>
      </c>
      <c r="G886" s="5">
        <v>174</v>
      </c>
      <c r="H886" s="10">
        <f t="shared" si="26"/>
        <v>0.13517919809886983</v>
      </c>
      <c r="I886" s="15">
        <f t="shared" si="27"/>
        <v>4892</v>
      </c>
    </row>
    <row r="887" spans="1:10" hidden="1" x14ac:dyDescent="0.3">
      <c r="B887" s="5">
        <v>3389</v>
      </c>
      <c r="C887" s="5">
        <v>344</v>
      </c>
      <c r="D887" s="5">
        <v>229</v>
      </c>
      <c r="E887" s="5">
        <v>20334</v>
      </c>
      <c r="F887" s="5">
        <v>19443</v>
      </c>
      <c r="G887" s="5">
        <v>228</v>
      </c>
      <c r="H887" s="10">
        <f t="shared" si="26"/>
        <v>0.19484607062063539</v>
      </c>
      <c r="I887" s="15">
        <f t="shared" si="27"/>
        <v>3962</v>
      </c>
    </row>
    <row r="888" spans="1:10" hidden="1" x14ac:dyDescent="0.3">
      <c r="B888" s="5">
        <v>1164</v>
      </c>
      <c r="C888" s="5">
        <v>616</v>
      </c>
      <c r="D888" s="5">
        <v>324</v>
      </c>
      <c r="E888" s="5">
        <v>6984</v>
      </c>
      <c r="F888" s="5">
        <v>6636</v>
      </c>
      <c r="G888" s="5">
        <v>82</v>
      </c>
      <c r="H888" s="10">
        <f t="shared" si="26"/>
        <v>0.30126002290950743</v>
      </c>
      <c r="I888" s="15">
        <f t="shared" si="27"/>
        <v>2104</v>
      </c>
    </row>
    <row r="889" spans="1:10" hidden="1" x14ac:dyDescent="0.3">
      <c r="B889" s="5">
        <v>4780</v>
      </c>
      <c r="C889" s="5">
        <v>691</v>
      </c>
      <c r="D889" s="5">
        <v>380</v>
      </c>
      <c r="E889" s="5">
        <v>86040</v>
      </c>
      <c r="F889" s="5">
        <v>85743</v>
      </c>
      <c r="G889" s="5">
        <v>262</v>
      </c>
      <c r="H889" s="10">
        <f t="shared" si="26"/>
        <v>6.800325430032543E-2</v>
      </c>
      <c r="I889" s="15">
        <f t="shared" si="27"/>
        <v>5851</v>
      </c>
    </row>
    <row r="890" spans="1:10" hidden="1" x14ac:dyDescent="0.3">
      <c r="B890" s="5">
        <v>2751</v>
      </c>
      <c r="C890" s="5">
        <v>33</v>
      </c>
      <c r="D890" s="5">
        <v>430</v>
      </c>
      <c r="E890" s="5">
        <v>44016</v>
      </c>
      <c r="F890" s="5">
        <v>43415</v>
      </c>
      <c r="G890" s="5">
        <v>129</v>
      </c>
      <c r="H890" s="10">
        <f t="shared" si="26"/>
        <v>7.3018902217375503E-2</v>
      </c>
      <c r="I890" s="15">
        <f t="shared" si="27"/>
        <v>3214</v>
      </c>
    </row>
    <row r="891" spans="1:10" hidden="1" x14ac:dyDescent="0.3">
      <c r="B891" s="5">
        <v>2107</v>
      </c>
      <c r="C891" s="5">
        <v>550</v>
      </c>
      <c r="D891" s="5">
        <v>349</v>
      </c>
      <c r="E891" s="5">
        <v>35819</v>
      </c>
      <c r="F891" s="5">
        <v>35340</v>
      </c>
      <c r="G891" s="5">
        <v>191</v>
      </c>
      <c r="H891" s="10">
        <f t="shared" si="26"/>
        <v>8.3921940869371006E-2</v>
      </c>
      <c r="I891" s="15">
        <f t="shared" si="27"/>
        <v>3006</v>
      </c>
    </row>
    <row r="892" spans="1:10" hidden="1" x14ac:dyDescent="0.3">
      <c r="B892" s="5">
        <v>4663</v>
      </c>
      <c r="C892" s="5">
        <v>145</v>
      </c>
      <c r="D892" s="5">
        <v>225</v>
      </c>
      <c r="E892" s="5">
        <v>69945</v>
      </c>
      <c r="F892" s="5">
        <v>69596</v>
      </c>
      <c r="G892" s="5">
        <v>35</v>
      </c>
      <c r="H892" s="10">
        <f t="shared" si="26"/>
        <v>7.1956537279290869E-2</v>
      </c>
      <c r="I892" s="15">
        <f t="shared" si="27"/>
        <v>5033</v>
      </c>
    </row>
    <row r="893" spans="1:10" hidden="1" x14ac:dyDescent="0.3">
      <c r="B893" s="5">
        <v>880</v>
      </c>
      <c r="C893" s="5">
        <v>297</v>
      </c>
      <c r="D893" s="5">
        <v>345</v>
      </c>
      <c r="E893" s="5">
        <v>12320</v>
      </c>
      <c r="F893" s="5">
        <v>11978</v>
      </c>
      <c r="G893" s="5">
        <v>238</v>
      </c>
      <c r="H893" s="10">
        <f t="shared" si="26"/>
        <v>0.12353896103896105</v>
      </c>
      <c r="I893" s="15">
        <f t="shared" si="27"/>
        <v>1522</v>
      </c>
      <c r="J893" t="s">
        <v>600</v>
      </c>
    </row>
    <row r="894" spans="1:10" hidden="1" x14ac:dyDescent="0.3">
      <c r="B894" s="5">
        <v>2634</v>
      </c>
      <c r="C894" s="5">
        <v>726</v>
      </c>
      <c r="D894" s="5">
        <v>241</v>
      </c>
      <c r="E894" s="5">
        <v>28974</v>
      </c>
      <c r="F894" s="5">
        <v>28102</v>
      </c>
      <c r="G894" s="5">
        <v>277</v>
      </c>
      <c r="H894" s="10">
        <f t="shared" si="26"/>
        <v>0.12428384068475185</v>
      </c>
      <c r="I894" s="15">
        <f t="shared" si="27"/>
        <v>3601</v>
      </c>
    </row>
    <row r="895" spans="1:10" hidden="1" x14ac:dyDescent="0.3">
      <c r="B895" s="5">
        <v>4731</v>
      </c>
      <c r="C895" s="5">
        <v>173</v>
      </c>
      <c r="D895" s="5">
        <v>276</v>
      </c>
      <c r="E895" s="5">
        <v>28386</v>
      </c>
      <c r="F895" s="5">
        <v>28185</v>
      </c>
      <c r="G895" s="5">
        <v>89</v>
      </c>
      <c r="H895" s="10">
        <f t="shared" si="26"/>
        <v>0.18248432325794406</v>
      </c>
      <c r="I895" s="15">
        <f t="shared" si="27"/>
        <v>5180</v>
      </c>
    </row>
    <row r="896" spans="1:10" x14ac:dyDescent="0.3">
      <c r="A896" s="29" t="s">
        <v>600</v>
      </c>
      <c r="B896" s="52">
        <v>1952</v>
      </c>
      <c r="C896" s="52">
        <v>344</v>
      </c>
      <c r="D896" s="52">
        <v>287</v>
      </c>
      <c r="E896" s="52">
        <v>15616</v>
      </c>
      <c r="F896" s="52">
        <v>15403</v>
      </c>
      <c r="G896" s="52">
        <v>235</v>
      </c>
      <c r="H896" s="32">
        <f t="shared" si="26"/>
        <v>0.16540727459016394</v>
      </c>
      <c r="I896" s="31">
        <f t="shared" si="27"/>
        <v>2583</v>
      </c>
    </row>
    <row r="897" spans="1:10" hidden="1" x14ac:dyDescent="0.3">
      <c r="B897" s="5">
        <v>3440</v>
      </c>
      <c r="C897" s="5">
        <v>13</v>
      </c>
      <c r="D897" s="5">
        <v>20</v>
      </c>
      <c r="E897" s="5">
        <v>58480</v>
      </c>
      <c r="F897" s="5">
        <v>58146</v>
      </c>
      <c r="G897" s="5">
        <v>210</v>
      </c>
      <c r="H897" s="10">
        <f t="shared" si="26"/>
        <v>5.9387824897400819E-2</v>
      </c>
      <c r="I897" s="15">
        <f t="shared" si="27"/>
        <v>3473</v>
      </c>
      <c r="J897" t="s">
        <v>592</v>
      </c>
    </row>
    <row r="898" spans="1:10" hidden="1" x14ac:dyDescent="0.3">
      <c r="B898" s="5">
        <v>2166</v>
      </c>
      <c r="C898" s="5">
        <v>354</v>
      </c>
      <c r="D898" s="5">
        <v>117</v>
      </c>
      <c r="E898" s="5">
        <v>10830</v>
      </c>
      <c r="F898" s="5">
        <v>10245</v>
      </c>
      <c r="G898" s="5">
        <v>24</v>
      </c>
      <c r="H898" s="10">
        <f t="shared" si="26"/>
        <v>0.24349030470914126</v>
      </c>
      <c r="I898" s="15">
        <f t="shared" si="27"/>
        <v>2637</v>
      </c>
    </row>
    <row r="899" spans="1:10" hidden="1" x14ac:dyDescent="0.3">
      <c r="B899" s="5">
        <v>4303</v>
      </c>
      <c r="C899" s="5">
        <v>451</v>
      </c>
      <c r="D899" s="5">
        <v>286</v>
      </c>
      <c r="E899" s="5">
        <v>86060</v>
      </c>
      <c r="F899" s="5">
        <v>85823</v>
      </c>
      <c r="G899" s="5">
        <v>14</v>
      </c>
      <c r="H899" s="10">
        <f t="shared" si="26"/>
        <v>5.8563792702765516E-2</v>
      </c>
      <c r="I899" s="15">
        <f t="shared" si="27"/>
        <v>5040</v>
      </c>
    </row>
    <row r="900" spans="1:10" hidden="1" x14ac:dyDescent="0.3">
      <c r="B900" s="5">
        <v>2581</v>
      </c>
      <c r="C900" s="5">
        <v>517</v>
      </c>
      <c r="D900" s="5">
        <v>117</v>
      </c>
      <c r="E900" s="5">
        <v>23229</v>
      </c>
      <c r="F900" s="5">
        <v>22331</v>
      </c>
      <c r="G900" s="5">
        <v>70</v>
      </c>
      <c r="H900" s="10">
        <f t="shared" si="26"/>
        <v>0.13840458048129492</v>
      </c>
      <c r="I900" s="15">
        <f t="shared" si="27"/>
        <v>3215</v>
      </c>
    </row>
    <row r="901" spans="1:10" x14ac:dyDescent="0.3">
      <c r="A901" s="29" t="s">
        <v>601</v>
      </c>
      <c r="B901" s="52">
        <v>4494</v>
      </c>
      <c r="C901" s="52">
        <v>717</v>
      </c>
      <c r="D901" s="52">
        <v>45</v>
      </c>
      <c r="E901" s="52">
        <v>62916</v>
      </c>
      <c r="F901" s="52">
        <v>62688</v>
      </c>
      <c r="G901" s="52">
        <v>191</v>
      </c>
      <c r="H901" s="32">
        <f t="shared" si="26"/>
        <v>8.3539958039290485E-2</v>
      </c>
      <c r="I901" s="31">
        <f t="shared" si="27"/>
        <v>5256</v>
      </c>
    </row>
    <row r="902" spans="1:10" hidden="1" x14ac:dyDescent="0.3"/>
    <row r="903" spans="1:10" hidden="1" x14ac:dyDescent="0.3"/>
    <row r="904" spans="1:10" hidden="1" x14ac:dyDescent="0.3"/>
    <row r="905" spans="1:10" hidden="1" x14ac:dyDescent="0.3"/>
    <row r="906" spans="1:10" hidden="1" x14ac:dyDescent="0.3"/>
    <row r="907" spans="1:10" hidden="1" x14ac:dyDescent="0.3"/>
    <row r="908" spans="1:10" hidden="1" x14ac:dyDescent="0.3"/>
    <row r="909" spans="1:10" hidden="1" x14ac:dyDescent="0.3"/>
    <row r="910" spans="1:10" hidden="1" x14ac:dyDescent="0.3"/>
    <row r="911" spans="1:10" hidden="1" x14ac:dyDescent="0.3"/>
    <row r="912" spans="1:10" hidden="1" x14ac:dyDescent="0.3"/>
    <row r="913" hidden="1" x14ac:dyDescent="0.3"/>
    <row r="914" hidden="1" x14ac:dyDescent="0.3"/>
    <row r="915" hidden="1" x14ac:dyDescent="0.3"/>
    <row r="916" hidden="1" x14ac:dyDescent="0.3"/>
    <row r="917" hidden="1" x14ac:dyDescent="0.3"/>
    <row r="918" hidden="1" x14ac:dyDescent="0.3"/>
  </sheetData>
  <autoFilter ref="A1:A918" xr:uid="{606E74AD-B6A5-4283-9290-6BC87BE67CF6}">
    <filterColumn colId="0">
      <customFilters>
        <customFilter operator="notEqual" val=" "/>
      </customFilters>
    </filterColumn>
  </autoFilter>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B61D3-D5E1-4CAE-92A9-6501675DE267}">
  <dimension ref="A3:H10"/>
  <sheetViews>
    <sheetView workbookViewId="0">
      <selection activeCell="H15" sqref="H15"/>
    </sheetView>
  </sheetViews>
  <sheetFormatPr defaultRowHeight="14.4" x14ac:dyDescent="0.3"/>
  <cols>
    <col min="1" max="1" width="12.5546875" bestFit="1" customWidth="1"/>
    <col min="2" max="2" width="14.77734375" bestFit="1" customWidth="1"/>
    <col min="3" max="3" width="16.21875" bestFit="1" customWidth="1"/>
    <col min="4" max="4" width="19.88671875" bestFit="1" customWidth="1"/>
    <col min="5" max="5" width="15.77734375" bestFit="1" customWidth="1"/>
    <col min="6" max="6" width="20.77734375" bestFit="1" customWidth="1"/>
    <col min="7" max="7" width="21.88671875" bestFit="1" customWidth="1"/>
    <col min="8" max="8" width="25.77734375" bestFit="1" customWidth="1"/>
    <col min="9" max="42" width="4" bestFit="1" customWidth="1"/>
    <col min="43" max="294" width="5" bestFit="1" customWidth="1"/>
    <col min="295" max="295" width="19.88671875" bestFit="1" customWidth="1"/>
    <col min="296" max="298" width="3" bestFit="1" customWidth="1"/>
    <col min="299" max="335" width="4" bestFit="1" customWidth="1"/>
    <col min="336" max="587" width="5" bestFit="1" customWidth="1"/>
    <col min="588" max="588" width="15.77734375" bestFit="1" customWidth="1"/>
    <col min="589" max="590" width="4" bestFit="1" customWidth="1"/>
    <col min="591" max="591" width="3" bestFit="1" customWidth="1"/>
    <col min="592" max="594" width="4" bestFit="1" customWidth="1"/>
    <col min="595" max="612" width="5" bestFit="1" customWidth="1"/>
    <col min="613" max="613" width="6" bestFit="1" customWidth="1"/>
    <col min="614" max="616" width="5" bestFit="1" customWidth="1"/>
    <col min="617" max="617" width="6" bestFit="1" customWidth="1"/>
    <col min="618" max="618" width="5" bestFit="1" customWidth="1"/>
    <col min="619" max="620" width="6" bestFit="1" customWidth="1"/>
    <col min="621" max="621" width="5" bestFit="1" customWidth="1"/>
    <col min="622" max="625" width="6" bestFit="1" customWidth="1"/>
    <col min="626" max="626" width="5" bestFit="1" customWidth="1"/>
    <col min="627" max="627" width="6" bestFit="1" customWidth="1"/>
    <col min="628" max="629" width="5" bestFit="1" customWidth="1"/>
    <col min="630" max="630" width="6" bestFit="1" customWidth="1"/>
    <col min="631" max="631" width="5" bestFit="1" customWidth="1"/>
    <col min="632" max="634" width="6" bestFit="1" customWidth="1"/>
    <col min="635" max="636" width="5" bestFit="1" customWidth="1"/>
    <col min="637" max="637" width="6" bestFit="1" customWidth="1"/>
    <col min="638" max="638" width="5" bestFit="1" customWidth="1"/>
    <col min="639" max="640" width="6" bestFit="1" customWidth="1"/>
    <col min="641" max="642" width="5" bestFit="1" customWidth="1"/>
    <col min="643" max="644" width="6" bestFit="1" customWidth="1"/>
    <col min="645" max="645" width="5" bestFit="1" customWidth="1"/>
    <col min="646" max="653" width="6" bestFit="1" customWidth="1"/>
    <col min="654" max="654" width="5" bestFit="1" customWidth="1"/>
    <col min="655" max="659" width="6" bestFit="1" customWidth="1"/>
    <col min="660" max="660" width="5" bestFit="1" customWidth="1"/>
    <col min="661" max="688" width="6" bestFit="1" customWidth="1"/>
    <col min="689" max="689" width="5" bestFit="1" customWidth="1"/>
    <col min="690" max="880" width="6" bestFit="1" customWidth="1"/>
    <col min="881" max="881" width="20.77734375" bestFit="1" customWidth="1"/>
    <col min="882" max="882" width="4" bestFit="1" customWidth="1"/>
    <col min="883" max="883" width="5" bestFit="1" customWidth="1"/>
    <col min="884" max="884" width="4" bestFit="1" customWidth="1"/>
    <col min="885" max="905" width="5" bestFit="1" customWidth="1"/>
    <col min="906" max="906" width="6" bestFit="1" customWidth="1"/>
    <col min="907" max="909" width="5" bestFit="1" customWidth="1"/>
    <col min="910" max="910" width="6" bestFit="1" customWidth="1"/>
    <col min="911" max="911" width="5" bestFit="1" customWidth="1"/>
    <col min="912" max="913" width="6" bestFit="1" customWidth="1"/>
    <col min="914" max="914" width="5" bestFit="1" customWidth="1"/>
    <col min="915" max="920" width="6" bestFit="1" customWidth="1"/>
    <col min="921" max="922" width="5" bestFit="1" customWidth="1"/>
    <col min="923" max="923" width="6" bestFit="1" customWidth="1"/>
    <col min="924" max="924" width="5" bestFit="1" customWidth="1"/>
    <col min="925" max="927" width="6" bestFit="1" customWidth="1"/>
    <col min="928" max="929" width="5" bestFit="1" customWidth="1"/>
    <col min="930" max="930" width="6" bestFit="1" customWidth="1"/>
    <col min="931" max="931" width="5" bestFit="1" customWidth="1"/>
    <col min="932" max="933" width="6" bestFit="1" customWidth="1"/>
    <col min="934" max="935" width="5" bestFit="1" customWidth="1"/>
    <col min="936" max="937" width="6" bestFit="1" customWidth="1"/>
    <col min="938" max="938" width="5" bestFit="1" customWidth="1"/>
    <col min="939" max="946" width="6" bestFit="1" customWidth="1"/>
    <col min="947" max="947" width="5" bestFit="1" customWidth="1"/>
    <col min="948" max="952" width="6" bestFit="1" customWidth="1"/>
    <col min="953" max="953" width="5" bestFit="1" customWidth="1"/>
    <col min="954" max="981" width="6" bestFit="1" customWidth="1"/>
    <col min="982" max="982" width="5" bestFit="1" customWidth="1"/>
    <col min="983" max="1173" width="6" bestFit="1" customWidth="1"/>
    <col min="1174" max="1174" width="21.88671875" bestFit="1" customWidth="1"/>
    <col min="1175" max="1176" width="4" bestFit="1" customWidth="1"/>
    <col min="1177" max="1177" width="5" bestFit="1" customWidth="1"/>
    <col min="1178" max="1179" width="4" bestFit="1" customWidth="1"/>
    <col min="1180" max="1181" width="5" bestFit="1" customWidth="1"/>
    <col min="1182" max="1182" width="4" bestFit="1" customWidth="1"/>
    <col min="1183" max="1184" width="5" bestFit="1" customWidth="1"/>
    <col min="1185" max="1187" width="4" bestFit="1" customWidth="1"/>
    <col min="1188" max="1190" width="5" bestFit="1" customWidth="1"/>
    <col min="1191" max="1191" width="4" bestFit="1" customWidth="1"/>
    <col min="1192" max="1194" width="5" bestFit="1" customWidth="1"/>
    <col min="1195" max="1195" width="4" bestFit="1" customWidth="1"/>
    <col min="1196" max="1466" width="5" bestFit="1" customWidth="1"/>
    <col min="1467" max="1467" width="21" bestFit="1" customWidth="1"/>
    <col min="1468" max="1468" width="24.6640625" bestFit="1" customWidth="1"/>
    <col min="1469" max="1469" width="20.5546875" bestFit="1" customWidth="1"/>
    <col min="1470" max="1470" width="25.6640625" bestFit="1" customWidth="1"/>
    <col min="1471" max="1471" width="26.6640625" bestFit="1" customWidth="1"/>
  </cols>
  <sheetData>
    <row r="3" spans="1:8" x14ac:dyDescent="0.3">
      <c r="A3" s="28" t="s">
        <v>609</v>
      </c>
      <c r="B3" s="29" t="s">
        <v>634</v>
      </c>
      <c r="C3" s="29" t="s">
        <v>635</v>
      </c>
      <c r="D3" s="29" t="s">
        <v>637</v>
      </c>
      <c r="E3" s="29" t="s">
        <v>636</v>
      </c>
      <c r="F3" s="29" t="s">
        <v>638</v>
      </c>
      <c r="G3" s="29" t="s">
        <v>619</v>
      </c>
      <c r="H3" s="29" t="s">
        <v>623</v>
      </c>
    </row>
    <row r="4" spans="1:8" x14ac:dyDescent="0.3">
      <c r="A4" s="30" t="s">
        <v>42</v>
      </c>
      <c r="B4" s="31">
        <v>2745.7457627118642</v>
      </c>
      <c r="C4" s="31">
        <v>448.66101694915255</v>
      </c>
      <c r="D4" s="31">
        <v>245.89830508474577</v>
      </c>
      <c r="E4" s="31">
        <v>35335.91525423729</v>
      </c>
      <c r="F4" s="31">
        <v>35842.932203389828</v>
      </c>
      <c r="G4" s="31">
        <v>3440.3050847457625</v>
      </c>
      <c r="H4" s="32">
        <v>0.14814919934149992</v>
      </c>
    </row>
    <row r="5" spans="1:8" x14ac:dyDescent="0.3">
      <c r="A5" s="30" t="s">
        <v>49</v>
      </c>
      <c r="B5" s="31">
        <v>2753.4603174603176</v>
      </c>
      <c r="C5" s="31">
        <v>470</v>
      </c>
      <c r="D5" s="31">
        <v>259.55555555555554</v>
      </c>
      <c r="E5" s="31">
        <v>35303.238095238092</v>
      </c>
      <c r="F5" s="31">
        <v>35876.873015873018</v>
      </c>
      <c r="G5" s="31">
        <v>3483.0158730158732</v>
      </c>
      <c r="H5" s="32">
        <v>0.136874940548697</v>
      </c>
    </row>
    <row r="6" spans="1:8" x14ac:dyDescent="0.3">
      <c r="A6" s="30" t="s">
        <v>15</v>
      </c>
      <c r="B6" s="31">
        <v>2722.2340425531916</v>
      </c>
      <c r="C6" s="31">
        <v>493.63829787234044</v>
      </c>
      <c r="D6" s="31">
        <v>240.85106382978722</v>
      </c>
      <c r="E6" s="31">
        <v>34693.48936170213</v>
      </c>
      <c r="F6" s="31">
        <v>35229.48936170213</v>
      </c>
      <c r="G6" s="31">
        <v>3456.7234042553191</v>
      </c>
      <c r="H6" s="32">
        <v>0.15615682164328951</v>
      </c>
    </row>
    <row r="7" spans="1:8" x14ac:dyDescent="0.3">
      <c r="A7" s="30" t="s">
        <v>32</v>
      </c>
      <c r="B7" s="31">
        <v>2706.2608695652175</v>
      </c>
      <c r="C7" s="31">
        <v>520.76086956521738</v>
      </c>
      <c r="D7" s="31">
        <v>263.19565217391306</v>
      </c>
      <c r="E7" s="31">
        <v>31639.543478260868</v>
      </c>
      <c r="F7" s="31">
        <v>32188.17391304348</v>
      </c>
      <c r="G7" s="31">
        <v>3490.217391304348</v>
      </c>
      <c r="H7" s="32">
        <v>0.18425775384163354</v>
      </c>
    </row>
    <row r="8" spans="1:8" x14ac:dyDescent="0.3">
      <c r="A8" s="30" t="s">
        <v>20</v>
      </c>
      <c r="B8" s="31">
        <v>2773.7142857142858</v>
      </c>
      <c r="C8" s="31">
        <v>445.07142857142856</v>
      </c>
      <c r="D8" s="31">
        <v>244.88095238095238</v>
      </c>
      <c r="E8" s="31">
        <v>34686.214285714283</v>
      </c>
      <c r="F8" s="31">
        <v>35249</v>
      </c>
      <c r="G8" s="31">
        <v>3463.6666666666665</v>
      </c>
      <c r="H8" s="32">
        <v>0.11750673823506556</v>
      </c>
    </row>
    <row r="9" spans="1:8" x14ac:dyDescent="0.3">
      <c r="A9" s="30" t="s">
        <v>71</v>
      </c>
      <c r="B9" s="31">
        <v>2688.2558139534885</v>
      </c>
      <c r="C9" s="31">
        <v>488.25581395348837</v>
      </c>
      <c r="D9" s="31">
        <v>239.04651162790697</v>
      </c>
      <c r="E9" s="31">
        <v>32089.906976744187</v>
      </c>
      <c r="F9" s="31">
        <v>32611.093023255813</v>
      </c>
      <c r="G9" s="31">
        <v>3415.5581395348836</v>
      </c>
      <c r="H9" s="32">
        <v>0.14814844474464284</v>
      </c>
    </row>
    <row r="10" spans="1:8" x14ac:dyDescent="0.3">
      <c r="A10" s="30" t="s">
        <v>610</v>
      </c>
      <c r="B10" s="31">
        <v>2733.3033333333333</v>
      </c>
      <c r="C10" s="31">
        <v>476.41666666666669</v>
      </c>
      <c r="D10" s="31">
        <v>249.50333333333333</v>
      </c>
      <c r="E10" s="31">
        <v>34105.410000000003</v>
      </c>
      <c r="F10" s="31">
        <v>34647.176666666666</v>
      </c>
      <c r="G10" s="31">
        <v>3459.2233333333334</v>
      </c>
      <c r="H10" s="32">
        <v>0.14828272479852861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B34A7E-B1C8-472E-874F-7B9D07E0FC0E}">
  <dimension ref="A3:G8"/>
  <sheetViews>
    <sheetView workbookViewId="0">
      <selection activeCell="I11" sqref="I11"/>
    </sheetView>
  </sheetViews>
  <sheetFormatPr defaultRowHeight="14.4" x14ac:dyDescent="0.3"/>
  <cols>
    <col min="1" max="1" width="21.88671875" bestFit="1" customWidth="1"/>
    <col min="2" max="2" width="15.5546875" bestFit="1" customWidth="1"/>
    <col min="3" max="3" width="6.21875" bestFit="1" customWidth="1"/>
    <col min="4" max="4" width="5" bestFit="1" customWidth="1"/>
    <col min="5" max="5" width="5.44140625" bestFit="1" customWidth="1"/>
    <col min="6" max="6" width="5" bestFit="1" customWidth="1"/>
    <col min="7" max="7" width="5.88671875" bestFit="1" customWidth="1"/>
    <col min="8" max="8" width="10.77734375" bestFit="1" customWidth="1"/>
    <col min="9" max="9" width="12.5546875" bestFit="1" customWidth="1"/>
    <col min="10" max="10" width="17.6640625" bestFit="1" customWidth="1"/>
    <col min="11" max="11" width="12.5546875" bestFit="1" customWidth="1"/>
    <col min="12" max="12" width="17.6640625" bestFit="1" customWidth="1"/>
    <col min="13" max="13" width="12.5546875" bestFit="1" customWidth="1"/>
    <col min="14" max="14" width="22.44140625" bestFit="1" customWidth="1"/>
    <col min="15" max="15" width="17.44140625" bestFit="1" customWidth="1"/>
    <col min="16" max="16" width="12.5546875" bestFit="1" customWidth="1"/>
    <col min="17" max="17" width="16.6640625" bestFit="1" customWidth="1"/>
    <col min="18" max="18" width="17.6640625" bestFit="1" customWidth="1"/>
    <col min="19" max="19" width="12.5546875" bestFit="1" customWidth="1"/>
    <col min="20" max="20" width="21.5546875" bestFit="1" customWidth="1"/>
    <col min="21" max="21" width="22.44140625" bestFit="1" customWidth="1"/>
    <col min="22" max="22" width="17.44140625" bestFit="1" customWidth="1"/>
    <col min="23" max="23" width="16.6640625" bestFit="1" customWidth="1"/>
    <col min="24" max="24" width="17.6640625" bestFit="1" customWidth="1"/>
    <col min="25" max="25" width="12.5546875" bestFit="1" customWidth="1"/>
    <col min="26" max="26" width="17.88671875" bestFit="1" customWidth="1"/>
    <col min="27" max="27" width="21.5546875" bestFit="1" customWidth="1"/>
    <col min="28" max="28" width="22.44140625" bestFit="1" customWidth="1"/>
    <col min="29" max="29" width="17.44140625" bestFit="1" customWidth="1"/>
    <col min="30" max="30" width="17.6640625" bestFit="1" customWidth="1"/>
    <col min="31" max="31" width="12.5546875" bestFit="1" customWidth="1"/>
    <col min="32" max="32" width="16.33203125" bestFit="1" customWidth="1"/>
    <col min="33" max="33" width="17.88671875" bestFit="1" customWidth="1"/>
    <col min="34" max="34" width="21.5546875" bestFit="1" customWidth="1"/>
    <col min="35" max="35" width="22.44140625" bestFit="1" customWidth="1"/>
    <col min="36" max="36" width="17.44140625" bestFit="1" customWidth="1"/>
  </cols>
  <sheetData>
    <row r="3" spans="1:7" x14ac:dyDescent="0.3">
      <c r="A3" s="28" t="s">
        <v>619</v>
      </c>
      <c r="B3" s="28" t="s">
        <v>611</v>
      </c>
      <c r="C3" s="29"/>
      <c r="D3" s="29"/>
      <c r="E3" s="29"/>
      <c r="F3" s="29"/>
      <c r="G3" s="29"/>
    </row>
    <row r="4" spans="1:7" x14ac:dyDescent="0.3">
      <c r="A4" s="28" t="s">
        <v>609</v>
      </c>
      <c r="B4" s="29" t="s">
        <v>42</v>
      </c>
      <c r="C4" s="29" t="s">
        <v>49</v>
      </c>
      <c r="D4" s="29" t="s">
        <v>15</v>
      </c>
      <c r="E4" s="29" t="s">
        <v>32</v>
      </c>
      <c r="F4" s="29" t="s">
        <v>20</v>
      </c>
      <c r="G4" s="29" t="s">
        <v>71</v>
      </c>
    </row>
    <row r="5" spans="1:7" x14ac:dyDescent="0.3">
      <c r="A5" s="30" t="s">
        <v>40</v>
      </c>
      <c r="B5" s="31">
        <v>4033.2142857142858</v>
      </c>
      <c r="C5" s="31">
        <v>3640.04</v>
      </c>
      <c r="D5" s="31">
        <v>4153.181818181818</v>
      </c>
      <c r="E5" s="31">
        <v>3416.181818181818</v>
      </c>
      <c r="F5" s="31">
        <v>3087.0769230769229</v>
      </c>
      <c r="G5" s="31">
        <v>3820.1111111111113</v>
      </c>
    </row>
    <row r="6" spans="1:7" x14ac:dyDescent="0.3">
      <c r="A6" s="30" t="s">
        <v>30</v>
      </c>
      <c r="B6" s="31">
        <v>3224.294117647059</v>
      </c>
      <c r="C6" s="31">
        <v>4214.3</v>
      </c>
      <c r="D6" s="31">
        <v>3357.2307692307691</v>
      </c>
      <c r="E6" s="31">
        <v>3326.1176470588234</v>
      </c>
      <c r="F6" s="31">
        <v>3262.5</v>
      </c>
      <c r="G6" s="31">
        <v>2817.5</v>
      </c>
    </row>
    <row r="7" spans="1:7" x14ac:dyDescent="0.3">
      <c r="A7" s="30" t="s">
        <v>13</v>
      </c>
      <c r="B7" s="31">
        <v>3414.5294117647059</v>
      </c>
      <c r="C7" s="31">
        <v>2947.1578947368421</v>
      </c>
      <c r="D7" s="31">
        <v>3044.7272727272725</v>
      </c>
      <c r="E7" s="31">
        <v>3175.7777777777778</v>
      </c>
      <c r="F7" s="31">
        <v>3697.2727272727275</v>
      </c>
      <c r="G7" s="31">
        <v>3268.1666666666665</v>
      </c>
    </row>
    <row r="8" spans="1:7" x14ac:dyDescent="0.3">
      <c r="A8" s="30" t="s">
        <v>24</v>
      </c>
      <c r="B8" s="31">
        <v>3059.3636363636365</v>
      </c>
      <c r="C8" s="31">
        <v>3365.5555555555557</v>
      </c>
      <c r="D8" s="31">
        <v>3303.75</v>
      </c>
      <c r="E8" s="31">
        <v>4205.1111111111113</v>
      </c>
      <c r="F8" s="31">
        <v>4005.875</v>
      </c>
      <c r="G8" s="31">
        <v>3946</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C1B47-E33E-4CDE-824D-D068DC7C7888}">
  <dimension ref="A1:I17"/>
  <sheetViews>
    <sheetView workbookViewId="0">
      <selection activeCell="C14" sqref="C14"/>
    </sheetView>
  </sheetViews>
  <sheetFormatPr defaultRowHeight="14.4" x14ac:dyDescent="0.3"/>
  <cols>
    <col min="1" max="1" width="40.77734375" bestFit="1" customWidth="1"/>
    <col min="2" max="2" width="21.88671875" bestFit="1" customWidth="1"/>
    <col min="3" max="3" width="9.77734375" bestFit="1" customWidth="1"/>
    <col min="4" max="4" width="10.33203125" bestFit="1" customWidth="1"/>
    <col min="6" max="6" width="43.21875" bestFit="1" customWidth="1"/>
    <col min="7" max="7" width="20.77734375" bestFit="1" customWidth="1"/>
    <col min="8" max="8" width="14.77734375" bestFit="1" customWidth="1"/>
    <col min="9" max="9" width="15.33203125" bestFit="1" customWidth="1"/>
  </cols>
  <sheetData>
    <row r="1" spans="1:9" x14ac:dyDescent="0.3">
      <c r="A1" s="53" t="s">
        <v>645</v>
      </c>
      <c r="F1" s="53" t="s">
        <v>646</v>
      </c>
    </row>
    <row r="3" spans="1:9" x14ac:dyDescent="0.3">
      <c r="A3" s="28" t="s">
        <v>609</v>
      </c>
      <c r="B3" s="29" t="s">
        <v>641</v>
      </c>
      <c r="C3" s="29" t="s">
        <v>642</v>
      </c>
      <c r="D3" s="29" t="s">
        <v>643</v>
      </c>
      <c r="F3" s="28" t="s">
        <v>609</v>
      </c>
      <c r="G3" s="29" t="s">
        <v>638</v>
      </c>
      <c r="H3" s="29" t="s">
        <v>634</v>
      </c>
      <c r="I3" s="29" t="s">
        <v>644</v>
      </c>
    </row>
    <row r="4" spans="1:9" x14ac:dyDescent="0.3">
      <c r="A4" s="30" t="s">
        <v>17</v>
      </c>
      <c r="B4" s="31">
        <v>1846272</v>
      </c>
      <c r="C4" s="31">
        <v>138793</v>
      </c>
      <c r="D4" s="31">
        <v>6434</v>
      </c>
      <c r="F4" s="30" t="s">
        <v>17</v>
      </c>
      <c r="G4" s="31">
        <v>38464</v>
      </c>
      <c r="H4" s="31">
        <v>2891.5208333333335</v>
      </c>
      <c r="I4" s="31">
        <v>134.04166666666666</v>
      </c>
    </row>
    <row r="5" spans="1:9" x14ac:dyDescent="0.3">
      <c r="A5" s="30" t="s">
        <v>28</v>
      </c>
      <c r="B5" s="31">
        <v>2266053</v>
      </c>
      <c r="C5" s="31">
        <v>183346</v>
      </c>
      <c r="D5" s="31">
        <v>10032</v>
      </c>
      <c r="F5" s="30" t="s">
        <v>28</v>
      </c>
      <c r="G5" s="31">
        <v>33821.686567164179</v>
      </c>
      <c r="H5" s="31">
        <v>2736.5074626865671</v>
      </c>
      <c r="I5" s="31">
        <v>149.73134328358208</v>
      </c>
    </row>
    <row r="6" spans="1:9" x14ac:dyDescent="0.3">
      <c r="A6" s="30" t="s">
        <v>22</v>
      </c>
      <c r="B6" s="31">
        <v>1986356</v>
      </c>
      <c r="C6" s="31">
        <v>159783</v>
      </c>
      <c r="D6" s="31">
        <v>9872</v>
      </c>
      <c r="F6" s="30" t="s">
        <v>22</v>
      </c>
      <c r="G6" s="31">
        <v>34247.517241379312</v>
      </c>
      <c r="H6" s="31">
        <v>2754.8793103448274</v>
      </c>
      <c r="I6" s="31">
        <v>170.20689655172413</v>
      </c>
    </row>
    <row r="7" spans="1:9" x14ac:dyDescent="0.3">
      <c r="A7" s="30" t="s">
        <v>35</v>
      </c>
      <c r="B7" s="31">
        <v>2464864</v>
      </c>
      <c r="C7" s="31">
        <v>187909</v>
      </c>
      <c r="D7" s="31">
        <v>10689</v>
      </c>
      <c r="F7" s="30" t="s">
        <v>35</v>
      </c>
      <c r="G7" s="31">
        <v>34716.394366197186</v>
      </c>
      <c r="H7" s="31">
        <v>2646.605633802817</v>
      </c>
      <c r="I7" s="31">
        <v>150.54929577464787</v>
      </c>
    </row>
    <row r="8" spans="1:9" x14ac:dyDescent="0.3">
      <c r="A8" s="30" t="s">
        <v>640</v>
      </c>
      <c r="B8" s="31">
        <v>1830608</v>
      </c>
      <c r="C8" s="31">
        <v>150160</v>
      </c>
      <c r="D8" s="31">
        <v>8339</v>
      </c>
      <c r="F8" s="30" t="s">
        <v>640</v>
      </c>
      <c r="G8" s="31">
        <v>32689.428571428572</v>
      </c>
      <c r="H8" s="31">
        <v>2681.4285714285716</v>
      </c>
      <c r="I8" s="31">
        <v>148.91071428571428</v>
      </c>
    </row>
    <row r="11" spans="1:9" x14ac:dyDescent="0.3">
      <c r="A11" s="54" t="s">
        <v>647</v>
      </c>
      <c r="B11" s="15"/>
    </row>
    <row r="12" spans="1:9" x14ac:dyDescent="0.3">
      <c r="A12" s="28" t="s">
        <v>609</v>
      </c>
      <c r="B12" s="29" t="s">
        <v>619</v>
      </c>
    </row>
    <row r="13" spans="1:9" x14ac:dyDescent="0.3">
      <c r="A13" s="30" t="s">
        <v>17</v>
      </c>
      <c r="B13" s="31">
        <v>3622.9375</v>
      </c>
    </row>
    <row r="14" spans="1:9" x14ac:dyDescent="0.3">
      <c r="A14" s="30" t="s">
        <v>28</v>
      </c>
      <c r="B14" s="31">
        <v>3474.9402985074626</v>
      </c>
    </row>
    <row r="15" spans="1:9" x14ac:dyDescent="0.3">
      <c r="A15" s="30" t="s">
        <v>22</v>
      </c>
      <c r="B15" s="31">
        <v>3478.2586206896553</v>
      </c>
    </row>
    <row r="16" spans="1:9" x14ac:dyDescent="0.3">
      <c r="A16" s="30" t="s">
        <v>35</v>
      </c>
      <c r="B16" s="31">
        <v>3387.0845070422533</v>
      </c>
    </row>
    <row r="17" spans="1:2" x14ac:dyDescent="0.3">
      <c r="A17" s="30" t="s">
        <v>610</v>
      </c>
      <c r="B17" s="31">
        <v>3479.2786885245901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29E19-BEAD-433F-855F-597D419F0044}">
  <dimension ref="A1:F22"/>
  <sheetViews>
    <sheetView zoomScaleNormal="100" workbookViewId="0">
      <selection activeCell="D24" sqref="D24"/>
    </sheetView>
  </sheetViews>
  <sheetFormatPr defaultRowHeight="14.4" x14ac:dyDescent="0.3"/>
  <cols>
    <col min="1" max="1" width="12.5546875" bestFit="1" customWidth="1"/>
    <col min="2" max="2" width="16.21875" bestFit="1" customWidth="1"/>
    <col min="3" max="3" width="20" bestFit="1" customWidth="1"/>
    <col min="4" max="4" width="16" bestFit="1" customWidth="1"/>
    <col min="5" max="5" width="16.6640625" bestFit="1" customWidth="1"/>
    <col min="6" max="7" width="10.77734375" bestFit="1" customWidth="1"/>
    <col min="8" max="8" width="16.44140625" bestFit="1" customWidth="1"/>
    <col min="9" max="9" width="10.33203125" bestFit="1" customWidth="1"/>
    <col min="10" max="10" width="16" bestFit="1" customWidth="1"/>
    <col min="11" max="11" width="16.6640625" bestFit="1" customWidth="1"/>
    <col min="12" max="12" width="7" bestFit="1" customWidth="1"/>
    <col min="13" max="13" width="14.21875" bestFit="1" customWidth="1"/>
    <col min="14" max="14" width="16.44140625" bestFit="1" customWidth="1"/>
    <col min="15" max="15" width="10.33203125" bestFit="1" customWidth="1"/>
    <col min="16" max="16" width="16" bestFit="1" customWidth="1"/>
    <col min="17" max="17" width="16.6640625" bestFit="1" customWidth="1"/>
    <col min="18" max="18" width="7" bestFit="1" customWidth="1"/>
    <col min="19" max="19" width="11.5546875" bestFit="1" customWidth="1"/>
    <col min="20" max="20" width="16.44140625" bestFit="1" customWidth="1"/>
    <col min="21" max="21" width="10.33203125" bestFit="1" customWidth="1"/>
    <col min="22" max="22" width="16" bestFit="1" customWidth="1"/>
    <col min="23" max="23" width="16.6640625" bestFit="1" customWidth="1"/>
    <col min="24" max="24" width="7" bestFit="1" customWidth="1"/>
    <col min="25" max="25" width="13.21875" bestFit="1" customWidth="1"/>
    <col min="26" max="26" width="10.77734375" bestFit="1" customWidth="1"/>
  </cols>
  <sheetData>
    <row r="1" spans="1:6" x14ac:dyDescent="0.3">
      <c r="A1" s="16" t="s">
        <v>648</v>
      </c>
      <c r="B1" s="16" t="s">
        <v>611</v>
      </c>
    </row>
    <row r="2" spans="1:6" x14ac:dyDescent="0.3">
      <c r="A2" s="16" t="s">
        <v>609</v>
      </c>
      <c r="B2" t="s">
        <v>17</v>
      </c>
      <c r="C2" t="s">
        <v>28</v>
      </c>
      <c r="D2" t="s">
        <v>22</v>
      </c>
      <c r="E2" t="s">
        <v>35</v>
      </c>
      <c r="F2" t="s">
        <v>610</v>
      </c>
    </row>
    <row r="3" spans="1:6" x14ac:dyDescent="0.3">
      <c r="A3" s="17" t="s">
        <v>40</v>
      </c>
      <c r="B3" s="15">
        <v>39903</v>
      </c>
      <c r="C3" s="15">
        <v>89114</v>
      </c>
      <c r="D3" s="15">
        <v>56043</v>
      </c>
      <c r="E3" s="15">
        <v>63598</v>
      </c>
      <c r="F3" s="15">
        <v>248658</v>
      </c>
    </row>
    <row r="4" spans="1:6" x14ac:dyDescent="0.3">
      <c r="A4" s="17" t="s">
        <v>30</v>
      </c>
      <c r="B4" s="15">
        <v>55453</v>
      </c>
      <c r="C4" s="15">
        <v>45205</v>
      </c>
      <c r="D4" s="15">
        <v>60551</v>
      </c>
      <c r="E4" s="15">
        <v>54374</v>
      </c>
      <c r="F4" s="15">
        <v>215583</v>
      </c>
    </row>
    <row r="5" spans="1:6" x14ac:dyDescent="0.3">
      <c r="A5" s="17" t="s">
        <v>13</v>
      </c>
      <c r="B5" s="15">
        <v>51968</v>
      </c>
      <c r="C5" s="15">
        <v>47632</v>
      </c>
      <c r="D5" s="15">
        <v>32860</v>
      </c>
      <c r="E5" s="15">
        <v>75230</v>
      </c>
      <c r="F5" s="15">
        <v>207690</v>
      </c>
    </row>
    <row r="6" spans="1:6" x14ac:dyDescent="0.3">
      <c r="A6" s="17" t="s">
        <v>24</v>
      </c>
      <c r="B6" s="15">
        <v>26577</v>
      </c>
      <c r="C6" s="15">
        <v>50870</v>
      </c>
      <c r="D6" s="15">
        <v>52285</v>
      </c>
      <c r="E6" s="15">
        <v>47281</v>
      </c>
      <c r="F6" s="15">
        <v>177013</v>
      </c>
    </row>
    <row r="7" spans="1:6" x14ac:dyDescent="0.3">
      <c r="A7" s="17" t="s">
        <v>610</v>
      </c>
      <c r="B7" s="15">
        <v>173901</v>
      </c>
      <c r="C7" s="15">
        <v>232821</v>
      </c>
      <c r="D7" s="15">
        <v>201739</v>
      </c>
      <c r="E7" s="15">
        <v>240483</v>
      </c>
      <c r="F7" s="15">
        <v>848944</v>
      </c>
    </row>
    <row r="9" spans="1:6" x14ac:dyDescent="0.3">
      <c r="A9" s="16" t="s">
        <v>609</v>
      </c>
      <c r="B9" t="s">
        <v>649</v>
      </c>
    </row>
    <row r="10" spans="1:6" x14ac:dyDescent="0.3">
      <c r="A10" s="17" t="s">
        <v>40</v>
      </c>
      <c r="B10" s="58">
        <v>1379539</v>
      </c>
    </row>
    <row r="11" spans="1:6" x14ac:dyDescent="0.3">
      <c r="A11" s="17" t="s">
        <v>30</v>
      </c>
      <c r="B11" s="58">
        <v>1164373</v>
      </c>
    </row>
    <row r="12" spans="1:6" x14ac:dyDescent="0.3">
      <c r="A12" s="17" t="s">
        <v>13</v>
      </c>
      <c r="B12" s="58">
        <v>1060357</v>
      </c>
    </row>
    <row r="13" spans="1:6" x14ac:dyDescent="0.3">
      <c r="A13" s="17" t="s">
        <v>24</v>
      </c>
      <c r="B13" s="58">
        <v>1228647</v>
      </c>
    </row>
    <row r="14" spans="1:6" x14ac:dyDescent="0.3">
      <c r="A14" s="17" t="s">
        <v>610</v>
      </c>
      <c r="B14" s="58">
        <v>4832916</v>
      </c>
    </row>
    <row r="17" spans="1:5" x14ac:dyDescent="0.3">
      <c r="A17" s="59" t="s">
        <v>650</v>
      </c>
      <c r="B17" s="53" t="s">
        <v>652</v>
      </c>
      <c r="C17" s="53" t="s">
        <v>653</v>
      </c>
      <c r="D17" s="53" t="s">
        <v>654</v>
      </c>
    </row>
    <row r="18" spans="1:5" x14ac:dyDescent="0.3">
      <c r="A18" s="8" t="s">
        <v>17</v>
      </c>
      <c r="B18">
        <f>HLOOKUP(A18,$A$2:$F$7,6,)</f>
        <v>173901</v>
      </c>
      <c r="C18">
        <f>B18/$B$22</f>
        <v>0.20484390018658474</v>
      </c>
      <c r="D18" s="57">
        <f>C18*$B$14</f>
        <v>989993.36271414836</v>
      </c>
      <c r="E18" s="57"/>
    </row>
    <row r="19" spans="1:5" x14ac:dyDescent="0.3">
      <c r="A19" s="8" t="s">
        <v>22</v>
      </c>
      <c r="B19">
        <f t="shared" ref="B19:B21" si="0">HLOOKUP(A19,$A$2:$F$7,6,)</f>
        <v>201739</v>
      </c>
      <c r="C19">
        <f t="shared" ref="C19:C21" si="1">B19/$B$22</f>
        <v>0.23763522682297067</v>
      </c>
      <c r="D19" s="57">
        <f t="shared" ref="D19:D21" si="2">C19*$B$14</f>
        <v>1148471.0898763642</v>
      </c>
      <c r="E19" s="57"/>
    </row>
    <row r="20" spans="1:5" x14ac:dyDescent="0.3">
      <c r="A20" s="8" t="s">
        <v>28</v>
      </c>
      <c r="B20">
        <f t="shared" si="0"/>
        <v>232821</v>
      </c>
      <c r="C20">
        <f t="shared" si="1"/>
        <v>0.27424777134887579</v>
      </c>
      <c r="D20" s="57">
        <f t="shared" si="2"/>
        <v>1325416.4421163234</v>
      </c>
      <c r="E20" s="57"/>
    </row>
    <row r="21" spans="1:5" x14ac:dyDescent="0.3">
      <c r="A21" s="8" t="s">
        <v>35</v>
      </c>
      <c r="B21">
        <f t="shared" si="0"/>
        <v>240483</v>
      </c>
      <c r="C21">
        <f t="shared" si="1"/>
        <v>0.28327310164156883</v>
      </c>
      <c r="D21" s="57">
        <f t="shared" si="2"/>
        <v>1369035.1052931643</v>
      </c>
      <c r="E21" s="57"/>
    </row>
    <row r="22" spans="1:5" x14ac:dyDescent="0.3">
      <c r="A22" s="60" t="s">
        <v>651</v>
      </c>
      <c r="B22" s="60">
        <f>SUM(B18:B21)</f>
        <v>848944</v>
      </c>
    </row>
  </sheetData>
  <pageMargins left="0.7" right="0.7" top="0.75" bottom="0.75" header="0.3" footer="0.3"/>
  <drawing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9C9E8-8866-4B32-BF9F-7A408F7E961F}">
  <dimension ref="A1:Q31"/>
  <sheetViews>
    <sheetView topLeftCell="A4" zoomScale="90" zoomScaleNormal="90" workbookViewId="0">
      <selection activeCell="D22" sqref="D22"/>
    </sheetView>
  </sheetViews>
  <sheetFormatPr defaultRowHeight="14.4" x14ac:dyDescent="0.3"/>
  <cols>
    <col min="1" max="1" width="18.109375" bestFit="1" customWidth="1"/>
    <col min="2" max="2" width="23.5546875" bestFit="1" customWidth="1"/>
    <col min="4" max="4" width="17.21875" bestFit="1" customWidth="1"/>
    <col min="5" max="5" width="26.33203125" bestFit="1" customWidth="1"/>
    <col min="6" max="6" width="10.21875" bestFit="1" customWidth="1"/>
    <col min="7" max="7" width="12.6640625" customWidth="1"/>
    <col min="8" max="8" width="13.6640625" customWidth="1"/>
    <col min="9" max="9" width="21.33203125" customWidth="1"/>
  </cols>
  <sheetData>
    <row r="1" spans="1:17" x14ac:dyDescent="0.3">
      <c r="D1" s="16" t="s">
        <v>609</v>
      </c>
      <c r="E1" t="s">
        <v>657</v>
      </c>
      <c r="Q1" s="10"/>
    </row>
    <row r="2" spans="1:17" x14ac:dyDescent="0.3">
      <c r="A2" t="s">
        <v>658</v>
      </c>
      <c r="D2" s="17" t="s">
        <v>40</v>
      </c>
      <c r="E2" s="10">
        <v>0.27324953416486325</v>
      </c>
      <c r="Q2" s="10"/>
    </row>
    <row r="3" spans="1:17" x14ac:dyDescent="0.3">
      <c r="A3" s="16" t="s">
        <v>609</v>
      </c>
      <c r="B3" t="s">
        <v>656</v>
      </c>
      <c r="D3" s="17" t="s">
        <v>30</v>
      </c>
      <c r="E3" s="10">
        <v>0.28812660632475912</v>
      </c>
      <c r="Q3" s="10"/>
    </row>
    <row r="4" spans="1:17" x14ac:dyDescent="0.3">
      <c r="A4" s="17" t="s">
        <v>40</v>
      </c>
      <c r="B4">
        <v>11</v>
      </c>
      <c r="D4" s="17" t="s">
        <v>13</v>
      </c>
      <c r="E4" s="10">
        <v>0.46400128383106698</v>
      </c>
      <c r="Q4" s="10"/>
    </row>
    <row r="5" spans="1:17" x14ac:dyDescent="0.3">
      <c r="A5" s="17" t="s">
        <v>30</v>
      </c>
      <c r="B5">
        <v>14</v>
      </c>
      <c r="D5" s="17" t="s">
        <v>24</v>
      </c>
      <c r="E5" s="10">
        <v>0.45105333156680044</v>
      </c>
    </row>
    <row r="6" spans="1:17" x14ac:dyDescent="0.3">
      <c r="A6" s="17" t="s">
        <v>13</v>
      </c>
      <c r="B6">
        <v>15</v>
      </c>
    </row>
    <row r="7" spans="1:17" x14ac:dyDescent="0.3">
      <c r="A7" s="17" t="s">
        <v>24</v>
      </c>
      <c r="B7">
        <v>8</v>
      </c>
      <c r="D7" s="16" t="s">
        <v>609</v>
      </c>
      <c r="E7" t="s">
        <v>655</v>
      </c>
    </row>
    <row r="8" spans="1:17" x14ac:dyDescent="0.3">
      <c r="D8" s="17" t="s">
        <v>17</v>
      </c>
      <c r="E8">
        <v>48</v>
      </c>
    </row>
    <row r="9" spans="1:17" x14ac:dyDescent="0.3">
      <c r="D9" s="17" t="s">
        <v>28</v>
      </c>
      <c r="E9">
        <v>67</v>
      </c>
      <c r="P9" s="62"/>
      <c r="Q9" s="61"/>
    </row>
    <row r="10" spans="1:17" x14ac:dyDescent="0.3">
      <c r="A10" s="17" t="s">
        <v>659</v>
      </c>
      <c r="D10" s="17" t="s">
        <v>22</v>
      </c>
      <c r="E10">
        <v>58</v>
      </c>
      <c r="P10" s="62"/>
      <c r="Q10" s="61"/>
    </row>
    <row r="11" spans="1:17" x14ac:dyDescent="0.3">
      <c r="A11" s="16" t="s">
        <v>609</v>
      </c>
      <c r="B11" t="s">
        <v>656</v>
      </c>
      <c r="D11" s="17" t="s">
        <v>35</v>
      </c>
      <c r="E11">
        <v>71</v>
      </c>
      <c r="P11" s="62"/>
      <c r="Q11" s="61"/>
    </row>
    <row r="12" spans="1:17" x14ac:dyDescent="0.3">
      <c r="A12" s="17" t="s">
        <v>40</v>
      </c>
      <c r="B12">
        <v>23</v>
      </c>
      <c r="P12" s="62"/>
      <c r="Q12" s="61"/>
    </row>
    <row r="13" spans="1:17" x14ac:dyDescent="0.3">
      <c r="A13" s="17" t="s">
        <v>30</v>
      </c>
      <c r="B13">
        <v>15</v>
      </c>
      <c r="P13" s="57"/>
    </row>
    <row r="14" spans="1:17" x14ac:dyDescent="0.3">
      <c r="A14" s="17" t="s">
        <v>13</v>
      </c>
      <c r="B14">
        <v>16</v>
      </c>
      <c r="D14" s="68" t="s">
        <v>1</v>
      </c>
      <c r="E14" s="68" t="s">
        <v>662</v>
      </c>
    </row>
    <row r="15" spans="1:17" x14ac:dyDescent="0.3">
      <c r="A15" s="17" t="s">
        <v>24</v>
      </c>
      <c r="B15">
        <v>13</v>
      </c>
      <c r="D15" s="65" t="s">
        <v>40</v>
      </c>
      <c r="E15" s="66">
        <v>0.2732</v>
      </c>
    </row>
    <row r="16" spans="1:17" x14ac:dyDescent="0.3">
      <c r="D16" s="65" t="s">
        <v>30</v>
      </c>
      <c r="E16" s="66">
        <v>0.28810000000000002</v>
      </c>
    </row>
    <row r="17" spans="1:9" x14ac:dyDescent="0.3">
      <c r="D17" s="65" t="s">
        <v>13</v>
      </c>
      <c r="E17" s="66">
        <v>0.46400000000000002</v>
      </c>
    </row>
    <row r="18" spans="1:9" x14ac:dyDescent="0.3">
      <c r="A18" s="17" t="s">
        <v>660</v>
      </c>
      <c r="D18" s="65" t="s">
        <v>24</v>
      </c>
      <c r="E18" s="66">
        <v>0.4511</v>
      </c>
    </row>
    <row r="19" spans="1:9" x14ac:dyDescent="0.3">
      <c r="A19" s="16" t="s">
        <v>609</v>
      </c>
      <c r="B19" t="s">
        <v>656</v>
      </c>
    </row>
    <row r="20" spans="1:9" x14ac:dyDescent="0.3">
      <c r="A20" s="17" t="s">
        <v>40</v>
      </c>
      <c r="B20">
        <v>15</v>
      </c>
      <c r="D20" s="72" t="s">
        <v>650</v>
      </c>
      <c r="E20" s="63" t="s">
        <v>40</v>
      </c>
      <c r="F20" s="63" t="s">
        <v>603</v>
      </c>
      <c r="G20" s="63" t="s">
        <v>13</v>
      </c>
      <c r="H20" s="63" t="s">
        <v>24</v>
      </c>
      <c r="I20" s="63" t="s">
        <v>663</v>
      </c>
    </row>
    <row r="21" spans="1:9" x14ac:dyDescent="0.3">
      <c r="A21" s="17" t="s">
        <v>30</v>
      </c>
      <c r="B21">
        <v>16</v>
      </c>
      <c r="D21" s="73" t="s">
        <v>17</v>
      </c>
      <c r="E21" s="64">
        <v>11</v>
      </c>
      <c r="F21" s="64">
        <v>14</v>
      </c>
      <c r="G21" s="64">
        <v>15</v>
      </c>
      <c r="H21" s="64">
        <v>8</v>
      </c>
      <c r="I21" s="67">
        <f>$E21*$E$15+$F21*$E$16+$G21*$E$17+$H21*$E$18</f>
        <v>17.607399999999998</v>
      </c>
    </row>
    <row r="22" spans="1:9" x14ac:dyDescent="0.3">
      <c r="A22" s="17" t="s">
        <v>13</v>
      </c>
      <c r="B22">
        <v>11</v>
      </c>
      <c r="D22" s="73" t="s">
        <v>28</v>
      </c>
      <c r="E22" s="64">
        <v>23</v>
      </c>
      <c r="F22" s="64">
        <v>15</v>
      </c>
      <c r="G22" s="64">
        <v>16</v>
      </c>
      <c r="H22" s="64">
        <v>13</v>
      </c>
      <c r="I22" s="67">
        <f t="shared" ref="I22:I24" si="0">$E22*$E$15+$F22*$E$16+$G22*$E$17+$H22*$E$18</f>
        <v>23.8934</v>
      </c>
    </row>
    <row r="23" spans="1:9" x14ac:dyDescent="0.3">
      <c r="A23" s="17" t="s">
        <v>24</v>
      </c>
      <c r="B23">
        <v>16</v>
      </c>
      <c r="D23" s="73" t="s">
        <v>22</v>
      </c>
      <c r="E23" s="64">
        <v>15</v>
      </c>
      <c r="F23" s="64">
        <v>16</v>
      </c>
      <c r="G23" s="64">
        <v>11</v>
      </c>
      <c r="H23" s="64">
        <v>16</v>
      </c>
      <c r="I23" s="67">
        <f t="shared" si="0"/>
        <v>21.029199999999999</v>
      </c>
    </row>
    <row r="24" spans="1:9" x14ac:dyDescent="0.3">
      <c r="D24" s="73" t="s">
        <v>35</v>
      </c>
      <c r="E24" s="64">
        <v>18</v>
      </c>
      <c r="F24" s="64">
        <v>19</v>
      </c>
      <c r="G24" s="64">
        <v>23</v>
      </c>
      <c r="H24" s="64">
        <v>11</v>
      </c>
      <c r="I24" s="67">
        <f t="shared" si="0"/>
        <v>26.025600000000001</v>
      </c>
    </row>
    <row r="26" spans="1:9" x14ac:dyDescent="0.3">
      <c r="A26" s="17" t="s">
        <v>661</v>
      </c>
    </row>
    <row r="27" spans="1:9" x14ac:dyDescent="0.3">
      <c r="A27" s="16" t="s">
        <v>609</v>
      </c>
      <c r="B27" t="s">
        <v>656</v>
      </c>
    </row>
    <row r="28" spans="1:9" x14ac:dyDescent="0.3">
      <c r="A28" s="17" t="s">
        <v>40</v>
      </c>
      <c r="B28">
        <v>18</v>
      </c>
    </row>
    <row r="29" spans="1:9" x14ac:dyDescent="0.3">
      <c r="A29" s="17" t="s">
        <v>30</v>
      </c>
      <c r="B29">
        <v>19</v>
      </c>
    </row>
    <row r="30" spans="1:9" x14ac:dyDescent="0.3">
      <c r="A30" s="17" t="s">
        <v>13</v>
      </c>
      <c r="B30">
        <v>23</v>
      </c>
    </row>
    <row r="31" spans="1:9" x14ac:dyDescent="0.3">
      <c r="A31" s="17" t="s">
        <v>24</v>
      </c>
      <c r="B31">
        <v>11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A5F9F6-7F88-4235-8D78-AD7FE428C7DF}">
  <dimension ref="A1:E52"/>
  <sheetViews>
    <sheetView workbookViewId="0">
      <selection activeCell="G1" sqref="G1"/>
    </sheetView>
  </sheetViews>
  <sheetFormatPr defaultRowHeight="14.4" x14ac:dyDescent="0.3"/>
  <cols>
    <col min="1" max="1" width="26.33203125" bestFit="1" customWidth="1"/>
    <col min="2" max="2" width="17.77734375" bestFit="1" customWidth="1"/>
    <col min="3" max="3" width="9.44140625" bestFit="1" customWidth="1"/>
    <col min="4" max="4" width="7" bestFit="1" customWidth="1"/>
    <col min="5" max="5" width="8.44140625" bestFit="1" customWidth="1"/>
    <col min="6" max="6" width="15.109375" bestFit="1" customWidth="1"/>
    <col min="7" max="7" width="12.33203125" bestFit="1" customWidth="1"/>
    <col min="8" max="8" width="9.44140625" bestFit="1" customWidth="1"/>
    <col min="9" max="9" width="6.88671875" bestFit="1" customWidth="1"/>
    <col min="10" max="10" width="8.44140625" bestFit="1" customWidth="1"/>
    <col min="11" max="11" width="15.109375" bestFit="1" customWidth="1"/>
    <col min="12" max="12" width="12.33203125" bestFit="1" customWidth="1"/>
    <col min="13" max="13" width="9.44140625" bestFit="1" customWidth="1"/>
    <col min="14" max="14" width="6.88671875" bestFit="1" customWidth="1"/>
    <col min="15" max="15" width="8.44140625" bestFit="1" customWidth="1"/>
    <col min="16" max="16" width="15.109375" bestFit="1" customWidth="1"/>
    <col min="17" max="17" width="12.33203125" bestFit="1" customWidth="1"/>
    <col min="18" max="18" width="9.44140625" bestFit="1" customWidth="1"/>
    <col min="19" max="19" width="6.88671875" bestFit="1" customWidth="1"/>
    <col min="20" max="20" width="8.44140625" bestFit="1" customWidth="1"/>
    <col min="21" max="21" width="15.109375" bestFit="1" customWidth="1"/>
    <col min="22" max="22" width="12.33203125" bestFit="1" customWidth="1"/>
    <col min="23" max="23" width="9.44140625" bestFit="1" customWidth="1"/>
    <col min="24" max="24" width="6.88671875" bestFit="1" customWidth="1"/>
    <col min="25" max="25" width="8.44140625" bestFit="1" customWidth="1"/>
    <col min="26" max="26" width="15.109375" bestFit="1" customWidth="1"/>
    <col min="27" max="27" width="12.33203125" bestFit="1" customWidth="1"/>
    <col min="28" max="28" width="9.44140625" bestFit="1" customWidth="1"/>
    <col min="29" max="29" width="6.88671875" bestFit="1" customWidth="1"/>
    <col min="30" max="30" width="8.44140625" bestFit="1" customWidth="1"/>
    <col min="31" max="31" width="15.109375" bestFit="1" customWidth="1"/>
    <col min="32" max="32" width="12.33203125" bestFit="1" customWidth="1"/>
    <col min="33" max="33" width="9.44140625" bestFit="1" customWidth="1"/>
    <col min="34" max="34" width="6.88671875" bestFit="1" customWidth="1"/>
    <col min="35" max="35" width="8.44140625" bestFit="1" customWidth="1"/>
    <col min="36" max="36" width="15.109375" bestFit="1" customWidth="1"/>
    <col min="37" max="37" width="12.33203125" bestFit="1" customWidth="1"/>
    <col min="38" max="38" width="9.44140625" bestFit="1" customWidth="1"/>
    <col min="39" max="39" width="6.88671875" bestFit="1" customWidth="1"/>
    <col min="40" max="40" width="8.44140625" bestFit="1" customWidth="1"/>
    <col min="41" max="41" width="15.109375" bestFit="1" customWidth="1"/>
    <col min="42" max="42" width="12.33203125" bestFit="1" customWidth="1"/>
    <col min="43" max="43" width="9.44140625" bestFit="1" customWidth="1"/>
    <col min="44" max="44" width="6.88671875" bestFit="1" customWidth="1"/>
    <col min="45" max="45" width="8.44140625" bestFit="1" customWidth="1"/>
    <col min="46" max="46" width="15.109375" bestFit="1" customWidth="1"/>
    <col min="47" max="47" width="12.33203125" bestFit="1" customWidth="1"/>
    <col min="48" max="48" width="9.44140625" bestFit="1" customWidth="1"/>
    <col min="49" max="49" width="6.88671875" bestFit="1" customWidth="1"/>
    <col min="50" max="50" width="8.44140625" bestFit="1" customWidth="1"/>
    <col min="51" max="51" width="15.109375" bestFit="1" customWidth="1"/>
    <col min="52" max="52" width="12.33203125" bestFit="1" customWidth="1"/>
    <col min="53" max="53" width="9.44140625" bestFit="1" customWidth="1"/>
    <col min="54" max="54" width="6.88671875" bestFit="1" customWidth="1"/>
    <col min="55" max="55" width="8.44140625" bestFit="1" customWidth="1"/>
    <col min="56" max="56" width="15.109375" bestFit="1" customWidth="1"/>
    <col min="57" max="57" width="12.33203125" bestFit="1" customWidth="1"/>
    <col min="58" max="58" width="9.44140625" bestFit="1" customWidth="1"/>
    <col min="59" max="59" width="6.88671875" bestFit="1" customWidth="1"/>
    <col min="60" max="60" width="8.44140625" bestFit="1" customWidth="1"/>
    <col min="61" max="61" width="15.109375" bestFit="1" customWidth="1"/>
    <col min="62" max="62" width="12.33203125" bestFit="1" customWidth="1"/>
    <col min="63" max="63" width="9.44140625" bestFit="1" customWidth="1"/>
    <col min="64" max="64" width="6.88671875" bestFit="1" customWidth="1"/>
    <col min="65" max="65" width="8.44140625" bestFit="1" customWidth="1"/>
    <col min="66" max="66" width="15.109375" bestFit="1" customWidth="1"/>
    <col min="67" max="67" width="12.33203125" bestFit="1" customWidth="1"/>
    <col min="68" max="68" width="9.44140625" bestFit="1" customWidth="1"/>
    <col min="69" max="69" width="6.88671875" bestFit="1" customWidth="1"/>
    <col min="70" max="70" width="8.44140625" bestFit="1" customWidth="1"/>
    <col min="71" max="71" width="15.109375" bestFit="1" customWidth="1"/>
    <col min="72" max="72" width="12.33203125" bestFit="1" customWidth="1"/>
    <col min="73" max="73" width="9.44140625" bestFit="1" customWidth="1"/>
    <col min="74" max="74" width="6.88671875" bestFit="1" customWidth="1"/>
    <col min="75" max="75" width="8.44140625" bestFit="1" customWidth="1"/>
    <col min="76" max="76" width="15.109375" bestFit="1" customWidth="1"/>
    <col min="77" max="77" width="12.33203125" bestFit="1" customWidth="1"/>
    <col min="78" max="78" width="9.44140625" bestFit="1" customWidth="1"/>
    <col min="79" max="79" width="6.88671875" bestFit="1" customWidth="1"/>
    <col min="80" max="80" width="8.44140625" bestFit="1" customWidth="1"/>
    <col min="81" max="81" width="15.109375" bestFit="1" customWidth="1"/>
    <col min="82" max="82" width="12.33203125" bestFit="1" customWidth="1"/>
    <col min="83" max="83" width="9.44140625" bestFit="1" customWidth="1"/>
    <col min="84" max="84" width="6.88671875" bestFit="1" customWidth="1"/>
    <col min="85" max="85" width="8.44140625" bestFit="1" customWidth="1"/>
    <col min="86" max="86" width="15.109375" bestFit="1" customWidth="1"/>
    <col min="87" max="87" width="12.33203125" bestFit="1" customWidth="1"/>
    <col min="88" max="88" width="9.44140625" bestFit="1" customWidth="1"/>
    <col min="89" max="89" width="6.88671875" bestFit="1" customWidth="1"/>
    <col min="90" max="90" width="8.44140625" bestFit="1" customWidth="1"/>
    <col min="91" max="91" width="15.109375" bestFit="1" customWidth="1"/>
    <col min="92" max="92" width="12.33203125" bestFit="1" customWidth="1"/>
    <col min="93" max="93" width="9.44140625" bestFit="1" customWidth="1"/>
    <col min="94" max="94" width="6.88671875" bestFit="1" customWidth="1"/>
    <col min="95" max="95" width="8.44140625" bestFit="1" customWidth="1"/>
    <col min="96" max="96" width="15.109375" bestFit="1" customWidth="1"/>
    <col min="97" max="97" width="12.33203125" bestFit="1" customWidth="1"/>
    <col min="98" max="98" width="9.44140625" bestFit="1" customWidth="1"/>
    <col min="99" max="99" width="6.88671875" bestFit="1" customWidth="1"/>
    <col min="100" max="100" width="8.44140625" bestFit="1" customWidth="1"/>
    <col min="101" max="101" width="15.109375" bestFit="1" customWidth="1"/>
    <col min="102" max="102" width="12.33203125" bestFit="1" customWidth="1"/>
    <col min="103" max="103" width="9.44140625" bestFit="1" customWidth="1"/>
    <col min="104" max="104" width="6.88671875" bestFit="1" customWidth="1"/>
    <col min="105" max="105" width="8.44140625" bestFit="1" customWidth="1"/>
    <col min="106" max="106" width="15.109375" bestFit="1" customWidth="1"/>
    <col min="107" max="107" width="12.33203125" bestFit="1" customWidth="1"/>
    <col min="108" max="108" width="9.44140625" bestFit="1" customWidth="1"/>
    <col min="109" max="109" width="6.88671875" bestFit="1" customWidth="1"/>
    <col min="110" max="110" width="8.44140625" bestFit="1" customWidth="1"/>
    <col min="111" max="111" width="15.109375" bestFit="1" customWidth="1"/>
    <col min="112" max="112" width="12.33203125" bestFit="1" customWidth="1"/>
    <col min="113" max="113" width="9.44140625" bestFit="1" customWidth="1"/>
    <col min="114" max="114" width="6.88671875" bestFit="1" customWidth="1"/>
    <col min="115" max="115" width="8.44140625" bestFit="1" customWidth="1"/>
    <col min="116" max="116" width="15.109375" bestFit="1" customWidth="1"/>
    <col min="117" max="117" width="12.33203125" bestFit="1" customWidth="1"/>
    <col min="118" max="118" width="9.44140625" bestFit="1" customWidth="1"/>
    <col min="119" max="119" width="6.88671875" bestFit="1" customWidth="1"/>
    <col min="120" max="120" width="8.44140625" bestFit="1" customWidth="1"/>
    <col min="121" max="121" width="15.109375" bestFit="1" customWidth="1"/>
    <col min="122" max="122" width="12.33203125" bestFit="1" customWidth="1"/>
    <col min="123" max="123" width="9.44140625" bestFit="1" customWidth="1"/>
    <col min="124" max="124" width="6.88671875" bestFit="1" customWidth="1"/>
    <col min="125" max="125" width="8.44140625" bestFit="1" customWidth="1"/>
    <col min="126" max="126" width="15.109375" bestFit="1" customWidth="1"/>
    <col min="127" max="127" width="12.33203125" bestFit="1" customWidth="1"/>
    <col min="128" max="128" width="9.44140625" bestFit="1" customWidth="1"/>
    <col min="129" max="129" width="6.88671875" bestFit="1" customWidth="1"/>
    <col min="130" max="130" width="8.44140625" bestFit="1" customWidth="1"/>
    <col min="131" max="131" width="15.109375" bestFit="1" customWidth="1"/>
    <col min="132" max="132" width="12.33203125" bestFit="1" customWidth="1"/>
    <col min="133" max="133" width="9.44140625" bestFit="1" customWidth="1"/>
    <col min="134" max="134" width="6.88671875" bestFit="1" customWidth="1"/>
    <col min="135" max="135" width="8.44140625" bestFit="1" customWidth="1"/>
    <col min="136" max="136" width="15.109375" bestFit="1" customWidth="1"/>
    <col min="137" max="137" width="12.33203125" bestFit="1" customWidth="1"/>
    <col min="138" max="138" width="9.44140625" bestFit="1" customWidth="1"/>
    <col min="139" max="139" width="6.88671875" bestFit="1" customWidth="1"/>
    <col min="140" max="140" width="8.44140625" bestFit="1" customWidth="1"/>
    <col min="141" max="141" width="15.109375" bestFit="1" customWidth="1"/>
    <col min="142" max="142" width="12.33203125" bestFit="1" customWidth="1"/>
    <col min="143" max="143" width="9.44140625" bestFit="1" customWidth="1"/>
    <col min="144" max="144" width="6.88671875" bestFit="1" customWidth="1"/>
    <col min="145" max="145" width="8.44140625" bestFit="1" customWidth="1"/>
    <col min="146" max="146" width="15.109375" bestFit="1" customWidth="1"/>
    <col min="147" max="147" width="12.33203125" bestFit="1" customWidth="1"/>
    <col min="148" max="148" width="9.44140625" bestFit="1" customWidth="1"/>
    <col min="149" max="149" width="6.88671875" bestFit="1" customWidth="1"/>
    <col min="150" max="150" width="8.44140625" bestFit="1" customWidth="1"/>
    <col min="151" max="151" width="15.109375" bestFit="1" customWidth="1"/>
    <col min="152" max="152" width="12.33203125" bestFit="1" customWidth="1"/>
    <col min="153" max="153" width="9.44140625" bestFit="1" customWidth="1"/>
    <col min="154" max="154" width="6.88671875" bestFit="1" customWidth="1"/>
    <col min="155" max="155" width="8.44140625" bestFit="1" customWidth="1"/>
    <col min="156" max="156" width="15.109375" bestFit="1" customWidth="1"/>
    <col min="157" max="157" width="12.33203125" bestFit="1" customWidth="1"/>
    <col min="158" max="158" width="9.44140625" bestFit="1" customWidth="1"/>
    <col min="159" max="159" width="6.88671875" bestFit="1" customWidth="1"/>
    <col min="160" max="160" width="8.44140625" bestFit="1" customWidth="1"/>
    <col min="161" max="161" width="15.109375" bestFit="1" customWidth="1"/>
    <col min="162" max="162" width="12.33203125" bestFit="1" customWidth="1"/>
    <col min="163" max="163" width="9.44140625" bestFit="1" customWidth="1"/>
    <col min="164" max="164" width="6.88671875" bestFit="1" customWidth="1"/>
    <col min="165" max="165" width="8.44140625" bestFit="1" customWidth="1"/>
    <col min="166" max="166" width="15.109375" bestFit="1" customWidth="1"/>
    <col min="167" max="167" width="12.33203125" bestFit="1" customWidth="1"/>
    <col min="168" max="168" width="9.44140625" bestFit="1" customWidth="1"/>
    <col min="169" max="169" width="6.88671875" bestFit="1" customWidth="1"/>
    <col min="170" max="170" width="8.44140625" bestFit="1" customWidth="1"/>
    <col min="171" max="171" width="15.109375" bestFit="1" customWidth="1"/>
    <col min="172" max="172" width="12.33203125" bestFit="1" customWidth="1"/>
    <col min="173" max="173" width="9.44140625" bestFit="1" customWidth="1"/>
    <col min="174" max="174" width="6.88671875" bestFit="1" customWidth="1"/>
    <col min="175" max="175" width="8.44140625" bestFit="1" customWidth="1"/>
    <col min="176" max="176" width="15.109375" bestFit="1" customWidth="1"/>
    <col min="177" max="177" width="12.33203125" bestFit="1" customWidth="1"/>
    <col min="178" max="178" width="9.44140625" bestFit="1" customWidth="1"/>
    <col min="179" max="179" width="6.88671875" bestFit="1" customWidth="1"/>
    <col min="180" max="180" width="8.44140625" bestFit="1" customWidth="1"/>
    <col min="181" max="181" width="15.109375" bestFit="1" customWidth="1"/>
    <col min="182" max="182" width="12.33203125" bestFit="1" customWidth="1"/>
    <col min="183" max="183" width="9.44140625" bestFit="1" customWidth="1"/>
    <col min="184" max="184" width="6.88671875" bestFit="1" customWidth="1"/>
    <col min="185" max="185" width="8.44140625" bestFit="1" customWidth="1"/>
    <col min="186" max="186" width="15.109375" bestFit="1" customWidth="1"/>
    <col min="187" max="187" width="12.33203125" bestFit="1" customWidth="1"/>
    <col min="188" max="188" width="9.44140625" bestFit="1" customWidth="1"/>
    <col min="189" max="189" width="6.88671875" bestFit="1" customWidth="1"/>
    <col min="190" max="190" width="8.44140625" bestFit="1" customWidth="1"/>
    <col min="191" max="191" width="15.109375" bestFit="1" customWidth="1"/>
    <col min="192" max="192" width="12.33203125" bestFit="1" customWidth="1"/>
    <col min="193" max="193" width="9.44140625" bestFit="1" customWidth="1"/>
    <col min="194" max="194" width="6.88671875" bestFit="1" customWidth="1"/>
    <col min="195" max="195" width="8.44140625" bestFit="1" customWidth="1"/>
    <col min="196" max="196" width="15.109375" bestFit="1" customWidth="1"/>
    <col min="197" max="197" width="12.33203125" bestFit="1" customWidth="1"/>
    <col min="198" max="198" width="9.44140625" bestFit="1" customWidth="1"/>
    <col min="199" max="199" width="6.88671875" bestFit="1" customWidth="1"/>
    <col min="200" max="200" width="8.44140625" bestFit="1" customWidth="1"/>
    <col min="201" max="201" width="15.109375" bestFit="1" customWidth="1"/>
    <col min="202" max="202" width="12.33203125" bestFit="1" customWidth="1"/>
    <col min="203" max="203" width="9.44140625" bestFit="1" customWidth="1"/>
    <col min="204" max="204" width="7" bestFit="1" customWidth="1"/>
    <col min="205" max="205" width="8.44140625" bestFit="1" customWidth="1"/>
    <col min="206" max="206" width="15.109375" bestFit="1" customWidth="1"/>
    <col min="207" max="207" width="12.33203125" bestFit="1" customWidth="1"/>
    <col min="208" max="208" width="9.44140625" bestFit="1" customWidth="1"/>
    <col min="209" max="209" width="6.88671875" bestFit="1" customWidth="1"/>
    <col min="210" max="210" width="8.44140625" bestFit="1" customWidth="1"/>
    <col min="211" max="211" width="15.109375" bestFit="1" customWidth="1"/>
    <col min="212" max="212" width="12.33203125" bestFit="1" customWidth="1"/>
    <col min="213" max="213" width="9.44140625" bestFit="1" customWidth="1"/>
    <col min="214" max="214" width="6.88671875" bestFit="1" customWidth="1"/>
    <col min="215" max="215" width="8.44140625" bestFit="1" customWidth="1"/>
    <col min="216" max="216" width="15.109375" bestFit="1" customWidth="1"/>
    <col min="217" max="217" width="12.33203125" bestFit="1" customWidth="1"/>
    <col min="218" max="218" width="9.44140625" bestFit="1" customWidth="1"/>
    <col min="219" max="219" width="6.88671875" bestFit="1" customWidth="1"/>
    <col min="220" max="220" width="8.44140625" bestFit="1" customWidth="1"/>
    <col min="221" max="221" width="15.109375" bestFit="1" customWidth="1"/>
    <col min="222" max="222" width="12.33203125" bestFit="1" customWidth="1"/>
    <col min="223" max="223" width="9.44140625" bestFit="1" customWidth="1"/>
    <col min="224" max="224" width="6.88671875" bestFit="1" customWidth="1"/>
    <col min="225" max="225" width="8.44140625" bestFit="1" customWidth="1"/>
    <col min="226" max="226" width="15.109375" bestFit="1" customWidth="1"/>
    <col min="227" max="227" width="12.33203125" bestFit="1" customWidth="1"/>
    <col min="228" max="228" width="9.44140625" bestFit="1" customWidth="1"/>
    <col min="229" max="229" width="6.88671875" bestFit="1" customWidth="1"/>
    <col min="230" max="230" width="8.44140625" bestFit="1" customWidth="1"/>
    <col min="231" max="231" width="15.109375" bestFit="1" customWidth="1"/>
    <col min="232" max="232" width="12.33203125" bestFit="1" customWidth="1"/>
    <col min="233" max="233" width="9.44140625" bestFit="1" customWidth="1"/>
    <col min="234" max="234" width="6.88671875" bestFit="1" customWidth="1"/>
    <col min="235" max="235" width="8.44140625" bestFit="1" customWidth="1"/>
    <col min="236" max="236" width="15.109375" bestFit="1" customWidth="1"/>
    <col min="237" max="237" width="12.33203125" bestFit="1" customWidth="1"/>
    <col min="238" max="238" width="9.44140625" bestFit="1" customWidth="1"/>
    <col min="239" max="239" width="6.88671875" bestFit="1" customWidth="1"/>
    <col min="240" max="240" width="8.44140625" bestFit="1" customWidth="1"/>
    <col min="241" max="241" width="15.109375" bestFit="1" customWidth="1"/>
    <col min="242" max="242" width="12.33203125" bestFit="1" customWidth="1"/>
    <col min="243" max="243" width="9.44140625" bestFit="1" customWidth="1"/>
    <col min="244" max="244" width="6.88671875" bestFit="1" customWidth="1"/>
    <col min="245" max="245" width="8.44140625" bestFit="1" customWidth="1"/>
    <col min="246" max="246" width="15.109375" bestFit="1" customWidth="1"/>
    <col min="247" max="247" width="12.33203125" bestFit="1" customWidth="1"/>
    <col min="248" max="248" width="9.44140625" bestFit="1" customWidth="1"/>
    <col min="249" max="249" width="6.88671875" bestFit="1" customWidth="1"/>
    <col min="250" max="250" width="8.44140625" bestFit="1" customWidth="1"/>
    <col min="251" max="251" width="15.109375" bestFit="1" customWidth="1"/>
  </cols>
  <sheetData>
    <row r="1" spans="1:5" x14ac:dyDescent="0.3">
      <c r="A1" s="69" t="s">
        <v>657</v>
      </c>
      <c r="B1" s="69" t="s">
        <v>611</v>
      </c>
      <c r="C1" s="67"/>
      <c r="D1" s="67"/>
      <c r="E1" s="67"/>
    </row>
    <row r="2" spans="1:5" x14ac:dyDescent="0.3">
      <c r="A2" s="69" t="s">
        <v>609</v>
      </c>
      <c r="B2" s="67" t="s">
        <v>40</v>
      </c>
      <c r="C2" s="67" t="s">
        <v>30</v>
      </c>
      <c r="D2" s="67" t="s">
        <v>13</v>
      </c>
      <c r="E2" s="67" t="s">
        <v>24</v>
      </c>
    </row>
    <row r="3" spans="1:5" x14ac:dyDescent="0.3">
      <c r="A3" s="67" t="s">
        <v>225</v>
      </c>
      <c r="B3" s="70">
        <v>2.3491348994232664E-2</v>
      </c>
      <c r="C3" s="70">
        <v>3.0428616268120576E-3</v>
      </c>
      <c r="D3" s="70">
        <v>2.826320879360366E-3</v>
      </c>
      <c r="E3" s="70">
        <v>2.7557542170624167E-3</v>
      </c>
    </row>
    <row r="4" spans="1:5" x14ac:dyDescent="0.3">
      <c r="A4" s="67" t="s">
        <v>147</v>
      </c>
      <c r="B4" s="70">
        <v>4.0530081660374974E-3</v>
      </c>
      <c r="C4" s="70">
        <v>1.0517322049758936E-2</v>
      </c>
      <c r="D4" s="70">
        <v>7.3128442639386348E-4</v>
      </c>
      <c r="E4" s="70">
        <v>2.4016739232334168E-3</v>
      </c>
    </row>
    <row r="5" spans="1:5" x14ac:dyDescent="0.3">
      <c r="A5" s="67" t="s">
        <v>159</v>
      </c>
      <c r="B5" s="70">
        <v>8.1535847453627231E-3</v>
      </c>
      <c r="C5" s="70">
        <v>1.9542790614208243E-3</v>
      </c>
      <c r="D5" s="70">
        <v>1.0551445425805821E-2</v>
      </c>
      <c r="E5" s="70">
        <v>8.80238003818718E-4</v>
      </c>
    </row>
    <row r="6" spans="1:5" x14ac:dyDescent="0.3">
      <c r="A6" s="67" t="s">
        <v>45</v>
      </c>
      <c r="B6" s="70">
        <v>6.3510173036698994E-2</v>
      </c>
      <c r="C6" s="70">
        <v>1.7636832660385824E-2</v>
      </c>
      <c r="D6" s="70">
        <v>2.798060458211721E-3</v>
      </c>
      <c r="E6" s="70">
        <v>-2.8860773750305035E-4</v>
      </c>
    </row>
    <row r="7" spans="1:5" x14ac:dyDescent="0.3">
      <c r="A7" s="67" t="s">
        <v>444</v>
      </c>
      <c r="B7" s="70">
        <v>2.9088264703208797E-4</v>
      </c>
      <c r="C7" s="70">
        <v>-5.2211602419375983E-4</v>
      </c>
      <c r="D7" s="70">
        <v>4.3037693661692649E-3</v>
      </c>
      <c r="E7" s="70">
        <v>8.0050669434719116E-4</v>
      </c>
    </row>
    <row r="8" spans="1:5" x14ac:dyDescent="0.3">
      <c r="A8" s="67" t="s">
        <v>558</v>
      </c>
      <c r="B8" s="70">
        <v>1.2276812319721568E-3</v>
      </c>
      <c r="C8" s="70">
        <v>2.8717173625543171E-2</v>
      </c>
      <c r="D8" s="70">
        <v>1.40324773607655E-3</v>
      </c>
      <c r="E8" s="70">
        <v>2.1994574101175039E-3</v>
      </c>
    </row>
    <row r="9" spans="1:5" x14ac:dyDescent="0.3">
      <c r="A9" s="67" t="s">
        <v>308</v>
      </c>
      <c r="B9" s="70">
        <v>-4.9009939454794306E-4</v>
      </c>
      <c r="C9" s="70">
        <v>1.1967386439556591E-2</v>
      </c>
      <c r="D9" s="70">
        <v>1.8982132901478749E-3</v>
      </c>
      <c r="E9" s="70">
        <v>1.0211701333265254E-3</v>
      </c>
    </row>
    <row r="10" spans="1:5" x14ac:dyDescent="0.3">
      <c r="A10" s="67" t="s">
        <v>559</v>
      </c>
      <c r="B10" s="70">
        <v>3.2572737872501967E-3</v>
      </c>
      <c r="C10" s="70">
        <v>3.3557613568250698E-4</v>
      </c>
      <c r="D10" s="70">
        <v>6.6371458255580548E-3</v>
      </c>
      <c r="E10" s="70">
        <v>1.0340418313957282E-3</v>
      </c>
    </row>
    <row r="11" spans="1:5" x14ac:dyDescent="0.3">
      <c r="A11" s="67" t="s">
        <v>261</v>
      </c>
      <c r="B11" s="70">
        <v>-7.3097734889686784E-4</v>
      </c>
      <c r="C11" s="70">
        <v>2.2861730899256253E-2</v>
      </c>
      <c r="D11" s="70">
        <v>5.1986619096302169E-3</v>
      </c>
      <c r="E11" s="70">
        <v>7.600121601945631E-3</v>
      </c>
    </row>
    <row r="12" spans="1:5" x14ac:dyDescent="0.3">
      <c r="A12" s="67" t="s">
        <v>487</v>
      </c>
      <c r="B12" s="70">
        <v>-1.5755714445670778E-3</v>
      </c>
      <c r="C12" s="70">
        <v>8.0371168669857163E-4</v>
      </c>
      <c r="D12" s="70">
        <v>7.2889860753698943E-4</v>
      </c>
      <c r="E12" s="70">
        <v>9.9485420240137223E-4</v>
      </c>
    </row>
    <row r="13" spans="1:5" x14ac:dyDescent="0.3">
      <c r="A13" s="67" t="s">
        <v>31</v>
      </c>
      <c r="B13" s="70">
        <v>4.3366318609156986E-3</v>
      </c>
      <c r="C13" s="70">
        <v>2.7085701202809553E-3</v>
      </c>
      <c r="D13" s="70">
        <v>8.5080354946042954E-5</v>
      </c>
      <c r="E13" s="70">
        <v>1.011348268360087E-2</v>
      </c>
    </row>
    <row r="14" spans="1:5" x14ac:dyDescent="0.3">
      <c r="A14" s="67" t="s">
        <v>78</v>
      </c>
      <c r="B14" s="70">
        <v>5.7523759813836147E-3</v>
      </c>
      <c r="C14" s="70">
        <v>2.335271198731579E-4</v>
      </c>
      <c r="D14" s="70">
        <v>8.825634093981077E-3</v>
      </c>
      <c r="E14" s="70">
        <v>2.1728440241071327E-3</v>
      </c>
    </row>
    <row r="15" spans="1:5" x14ac:dyDescent="0.3">
      <c r="A15" s="67" t="s">
        <v>74</v>
      </c>
      <c r="B15" s="70">
        <v>9.7527544941747058E-5</v>
      </c>
      <c r="C15" s="70">
        <v>3.5456226214689766E-3</v>
      </c>
      <c r="D15" s="70">
        <v>6.5914381026955706E-3</v>
      </c>
      <c r="E15" s="70">
        <v>1.1713324743561855E-4</v>
      </c>
    </row>
    <row r="16" spans="1:5" x14ac:dyDescent="0.3">
      <c r="A16" s="67" t="s">
        <v>189</v>
      </c>
      <c r="B16" s="70">
        <v>2.1026918479944948E-3</v>
      </c>
      <c r="C16" s="70">
        <v>1.2306082974775983E-2</v>
      </c>
      <c r="D16" s="70">
        <v>6.1798299135137512E-4</v>
      </c>
      <c r="E16" s="70">
        <v>8.9764429025449434E-4</v>
      </c>
    </row>
    <row r="17" spans="1:5" x14ac:dyDescent="0.3">
      <c r="A17" s="67" t="s">
        <v>84</v>
      </c>
      <c r="B17" s="70">
        <v>4.6435400163889647E-3</v>
      </c>
      <c r="C17" s="70">
        <v>4.1581361392816901E-3</v>
      </c>
      <c r="D17" s="70">
        <v>5.990134708914012E-4</v>
      </c>
      <c r="E17" s="70">
        <v>1.7032345973398571E-2</v>
      </c>
    </row>
    <row r="18" spans="1:5" x14ac:dyDescent="0.3">
      <c r="A18" s="67" t="s">
        <v>560</v>
      </c>
      <c r="B18" s="70">
        <v>2.0668041724136477E-4</v>
      </c>
      <c r="C18" s="70">
        <v>7.4222825979957871E-3</v>
      </c>
      <c r="D18" s="70">
        <v>2.8673012960201858E-3</v>
      </c>
      <c r="E18" s="70">
        <v>-2.6681341404439108E-4</v>
      </c>
    </row>
    <row r="19" spans="1:5" x14ac:dyDescent="0.3">
      <c r="A19" s="67" t="s">
        <v>561</v>
      </c>
      <c r="B19" s="70">
        <v>-7.9248226299566635E-5</v>
      </c>
      <c r="C19" s="70">
        <v>1.5758651286601596E-3</v>
      </c>
      <c r="D19" s="70">
        <v>6.2566104068286429E-3</v>
      </c>
      <c r="E19" s="70">
        <v>1.592351646960128E-2</v>
      </c>
    </row>
    <row r="20" spans="1:5" x14ac:dyDescent="0.3">
      <c r="A20" s="67" t="s">
        <v>562</v>
      </c>
      <c r="B20" s="70">
        <v>-3.9477485703195471E-4</v>
      </c>
      <c r="C20" s="70">
        <v>2.7682576721248606E-3</v>
      </c>
      <c r="D20" s="70">
        <v>9.2287307798970819E-3</v>
      </c>
      <c r="E20" s="70">
        <v>1.8079694785926241E-2</v>
      </c>
    </row>
    <row r="21" spans="1:5" x14ac:dyDescent="0.3">
      <c r="A21" s="67" t="s">
        <v>563</v>
      </c>
      <c r="B21" s="70">
        <v>4.3810281972675247E-3</v>
      </c>
      <c r="C21" s="70">
        <v>1.0000908202133741E-2</v>
      </c>
      <c r="D21" s="70">
        <v>2.2456063766826309E-4</v>
      </c>
      <c r="E21" s="70">
        <v>1.0019784829366461E-3</v>
      </c>
    </row>
    <row r="22" spans="1:5" x14ac:dyDescent="0.3">
      <c r="A22" s="67" t="s">
        <v>564</v>
      </c>
      <c r="B22" s="70">
        <v>1.8083871090552605E-3</v>
      </c>
      <c r="C22" s="70">
        <v>3.1501331857780751E-3</v>
      </c>
      <c r="D22" s="70">
        <v>-6.456361452939582E-5</v>
      </c>
      <c r="E22" s="70">
        <v>1.8425729749269497E-3</v>
      </c>
    </row>
    <row r="23" spans="1:5" x14ac:dyDescent="0.3">
      <c r="A23" s="67" t="s">
        <v>163</v>
      </c>
      <c r="B23" s="70">
        <v>1.8687212668142345E-2</v>
      </c>
      <c r="C23" s="70">
        <v>7.3371064356504961E-4</v>
      </c>
      <c r="D23" s="70">
        <v>2.4623771231227277E-3</v>
      </c>
      <c r="E23" s="70">
        <v>5.7763419096181542E-3</v>
      </c>
    </row>
    <row r="24" spans="1:5" x14ac:dyDescent="0.3">
      <c r="A24" s="67" t="s">
        <v>195</v>
      </c>
      <c r="B24" s="70">
        <v>1.8382090319876945E-3</v>
      </c>
      <c r="C24" s="70">
        <v>1.6622321237901201E-3</v>
      </c>
      <c r="D24" s="70">
        <v>1.5381417584701726E-4</v>
      </c>
      <c r="E24" s="70">
        <v>5.4180958515762179E-3</v>
      </c>
    </row>
    <row r="25" spans="1:5" x14ac:dyDescent="0.3">
      <c r="A25" s="67" t="s">
        <v>275</v>
      </c>
      <c r="B25" s="70">
        <v>1.6918035252172713E-3</v>
      </c>
      <c r="C25" s="70">
        <v>2.5430053699827069E-2</v>
      </c>
      <c r="D25" s="70">
        <v>3.6508153411678964E-3</v>
      </c>
      <c r="E25" s="70">
        <v>4.0317597627286209E-3</v>
      </c>
    </row>
    <row r="26" spans="1:5" x14ac:dyDescent="0.3">
      <c r="A26" s="67" t="s">
        <v>565</v>
      </c>
      <c r="B26" s="70">
        <v>-3.4250669665215861E-4</v>
      </c>
      <c r="C26" s="70">
        <v>1.7550345364335054E-2</v>
      </c>
      <c r="D26" s="70">
        <v>1.3172212358971423E-2</v>
      </c>
      <c r="E26" s="70">
        <v>2.8821299683708945E-3</v>
      </c>
    </row>
    <row r="27" spans="1:5" x14ac:dyDescent="0.3">
      <c r="A27" s="67" t="s">
        <v>64</v>
      </c>
      <c r="B27" s="70">
        <v>2.1248528096751631E-4</v>
      </c>
      <c r="C27" s="70">
        <v>-9.5914811987394058E-4</v>
      </c>
      <c r="D27" s="70">
        <v>9.1277744844858602E-4</v>
      </c>
      <c r="E27" s="70">
        <v>1.9887634863023914E-4</v>
      </c>
    </row>
    <row r="28" spans="1:5" x14ac:dyDescent="0.3">
      <c r="A28" s="67" t="s">
        <v>125</v>
      </c>
      <c r="B28" s="70">
        <v>3.9565022381564839E-3</v>
      </c>
      <c r="C28" s="70">
        <v>5.9936417126309005E-3</v>
      </c>
      <c r="D28" s="70">
        <v>1.1079079758069075E-3</v>
      </c>
      <c r="E28" s="70">
        <v>1.4152074838090669E-2</v>
      </c>
    </row>
    <row r="29" spans="1:5" x14ac:dyDescent="0.3">
      <c r="A29" s="67" t="s">
        <v>566</v>
      </c>
      <c r="B29" s="70">
        <v>3.6277109484146308E-3</v>
      </c>
      <c r="C29" s="70">
        <v>3.8511033114748661E-3</v>
      </c>
      <c r="D29" s="70">
        <v>3.7850431101244257E-3</v>
      </c>
      <c r="E29" s="70">
        <v>1.3151115811166245E-3</v>
      </c>
    </row>
    <row r="30" spans="1:5" x14ac:dyDescent="0.3">
      <c r="A30" s="67" t="s">
        <v>214</v>
      </c>
      <c r="B30" s="70">
        <v>3.8307014117515761E-2</v>
      </c>
      <c r="C30" s="70">
        <v>5.0721615839286359E-3</v>
      </c>
      <c r="D30" s="70">
        <v>8.3806473528412681E-2</v>
      </c>
      <c r="E30" s="70">
        <v>1.2679964770499277E-3</v>
      </c>
    </row>
    <row r="31" spans="1:5" x14ac:dyDescent="0.3">
      <c r="A31" s="67" t="s">
        <v>108</v>
      </c>
      <c r="B31" s="70">
        <v>3.311568846722701E-3</v>
      </c>
      <c r="C31" s="70">
        <v>3.0759118725472716E-3</v>
      </c>
      <c r="D31" s="70">
        <v>4.1536387893013997E-3</v>
      </c>
      <c r="E31" s="70">
        <v>1.7917737946946315E-3</v>
      </c>
    </row>
    <row r="32" spans="1:5" x14ac:dyDescent="0.3">
      <c r="A32" s="67" t="s">
        <v>14</v>
      </c>
      <c r="B32" s="70">
        <v>7.8202834584935772E-3</v>
      </c>
      <c r="C32" s="70">
        <v>2.4359408109118751E-3</v>
      </c>
      <c r="D32" s="70">
        <v>1.1230414576116569E-2</v>
      </c>
      <c r="E32" s="70">
        <v>6.3113158835445049E-2</v>
      </c>
    </row>
    <row r="33" spans="1:5" x14ac:dyDescent="0.3">
      <c r="A33" s="67" t="s">
        <v>567</v>
      </c>
      <c r="B33" s="70">
        <v>4.6806929323118035E-3</v>
      </c>
      <c r="C33" s="70">
        <v>1.253515525127127E-2</v>
      </c>
      <c r="D33" s="70">
        <v>5.5634189738421064E-3</v>
      </c>
      <c r="E33" s="70">
        <v>1.0669005078738719E-2</v>
      </c>
    </row>
    <row r="34" spans="1:5" x14ac:dyDescent="0.3">
      <c r="A34" s="67" t="s">
        <v>121</v>
      </c>
      <c r="B34" s="70">
        <v>6.4766839378238338E-3</v>
      </c>
      <c r="C34" s="70">
        <v>1.9361810704529763E-3</v>
      </c>
      <c r="D34" s="70">
        <v>3.2008104408927781E-3</v>
      </c>
      <c r="E34" s="70">
        <v>8.8669950738916262E-3</v>
      </c>
    </row>
    <row r="35" spans="1:5" x14ac:dyDescent="0.3">
      <c r="A35" s="67" t="s">
        <v>568</v>
      </c>
      <c r="B35" s="70">
        <v>1.3262186302564765E-3</v>
      </c>
      <c r="C35" s="70">
        <v>4.9282654051223049E-3</v>
      </c>
      <c r="D35" s="70">
        <v>-2.9514486693885583E-4</v>
      </c>
      <c r="E35" s="70">
        <v>6.2409087760615087E-2</v>
      </c>
    </row>
    <row r="36" spans="1:5" x14ac:dyDescent="0.3">
      <c r="A36" s="67" t="s">
        <v>569</v>
      </c>
      <c r="B36" s="70">
        <v>8.9052952094934197E-4</v>
      </c>
      <c r="C36" s="70">
        <v>4.0971536250166149E-3</v>
      </c>
      <c r="D36" s="70">
        <v>7.1621491270377159E-3</v>
      </c>
      <c r="E36" s="70">
        <v>2.1486931256659019E-3</v>
      </c>
    </row>
    <row r="37" spans="1:5" x14ac:dyDescent="0.3">
      <c r="A37" s="67" t="s">
        <v>217</v>
      </c>
      <c r="B37" s="70">
        <v>2.7948348464241365E-3</v>
      </c>
      <c r="C37" s="70">
        <v>-4.6464109274628077E-4</v>
      </c>
      <c r="D37" s="70">
        <v>5.4309533874905263E-3</v>
      </c>
      <c r="E37" s="70">
        <v>2.6534161921203288E-3</v>
      </c>
    </row>
    <row r="38" spans="1:5" x14ac:dyDescent="0.3">
      <c r="A38" s="67" t="s">
        <v>570</v>
      </c>
      <c r="B38" s="70">
        <v>5.5005257855530306E-3</v>
      </c>
      <c r="C38" s="70">
        <v>3.0720567989168156E-3</v>
      </c>
      <c r="D38" s="70">
        <v>3.2046588643454949E-3</v>
      </c>
      <c r="E38" s="70">
        <v>-7.4972485467156139E-4</v>
      </c>
    </row>
    <row r="39" spans="1:5" x14ac:dyDescent="0.3">
      <c r="A39" s="67" t="s">
        <v>242</v>
      </c>
      <c r="B39" s="70">
        <v>2.9427518601934728E-3</v>
      </c>
      <c r="C39" s="70">
        <v>7.7568587198256845E-3</v>
      </c>
      <c r="D39" s="70">
        <v>9.4958208908059605E-3</v>
      </c>
      <c r="E39" s="70">
        <v>2.9756017144741179E-3</v>
      </c>
    </row>
    <row r="40" spans="1:5" x14ac:dyDescent="0.3">
      <c r="A40" s="67" t="s">
        <v>123</v>
      </c>
      <c r="B40" s="70">
        <v>1.5147617822744291E-2</v>
      </c>
      <c r="C40" s="70">
        <v>2.1291007252180398E-3</v>
      </c>
      <c r="D40" s="70">
        <v>-2.5410691720235154E-4</v>
      </c>
      <c r="E40" s="70">
        <v>1.1086997546706926E-2</v>
      </c>
    </row>
    <row r="41" spans="1:5" x14ac:dyDescent="0.3">
      <c r="A41" s="67" t="s">
        <v>143</v>
      </c>
      <c r="B41" s="70">
        <v>7.4073109768798169E-3</v>
      </c>
      <c r="C41" s="70">
        <v>1.0867503398564699E-2</v>
      </c>
      <c r="D41" s="70">
        <v>2.2333891680625349E-3</v>
      </c>
      <c r="E41" s="70">
        <v>2.1885278918832756E-3</v>
      </c>
    </row>
    <row r="42" spans="1:5" x14ac:dyDescent="0.3">
      <c r="A42" s="67" t="s">
        <v>191</v>
      </c>
      <c r="B42" s="70">
        <v>-3.2435585380545735E-4</v>
      </c>
      <c r="C42" s="70">
        <v>5.1052298518124532E-3</v>
      </c>
      <c r="D42" s="70">
        <v>1.9268070513850934E-3</v>
      </c>
      <c r="E42" s="70">
        <v>1.4029055733207443E-3</v>
      </c>
    </row>
    <row r="43" spans="1:5" x14ac:dyDescent="0.3">
      <c r="A43" s="67" t="s">
        <v>571</v>
      </c>
      <c r="B43" s="70">
        <v>2.6639909400836752E-3</v>
      </c>
      <c r="C43" s="70">
        <v>4.5873346287504706E-4</v>
      </c>
      <c r="D43" s="70">
        <v>0.10825114265095021</v>
      </c>
      <c r="E43" s="70">
        <v>1.2622336046830695E-2</v>
      </c>
    </row>
    <row r="44" spans="1:5" x14ac:dyDescent="0.3">
      <c r="A44" s="67" t="s">
        <v>572</v>
      </c>
      <c r="B44" s="70">
        <v>3.2619275185675578E-3</v>
      </c>
      <c r="C44" s="70">
        <v>1.6572027392586454E-3</v>
      </c>
      <c r="D44" s="70">
        <v>6.9173294769824048E-2</v>
      </c>
      <c r="E44" s="70">
        <v>7.9689298043728429E-2</v>
      </c>
    </row>
    <row r="45" spans="1:5" x14ac:dyDescent="0.3">
      <c r="A45" s="67" t="s">
        <v>227</v>
      </c>
      <c r="B45" s="70">
        <v>1.268716241173857E-3</v>
      </c>
      <c r="C45" s="70">
        <v>1.2636715002329981E-3</v>
      </c>
      <c r="D45" s="70">
        <v>1.3832962243592781E-3</v>
      </c>
      <c r="E45" s="70">
        <v>8.8022790888170322E-4</v>
      </c>
    </row>
    <row r="46" spans="1:5" x14ac:dyDescent="0.3">
      <c r="A46" s="67" t="s">
        <v>573</v>
      </c>
      <c r="B46" s="70">
        <v>1.3889264193260734E-3</v>
      </c>
      <c r="C46" s="70">
        <v>2.2667798288422093E-3</v>
      </c>
      <c r="D46" s="70">
        <v>8.4497101083942528E-3</v>
      </c>
      <c r="E46" s="70">
        <v>3.3667947287974553E-3</v>
      </c>
    </row>
    <row r="47" spans="1:5" x14ac:dyDescent="0.3">
      <c r="A47" s="67" t="s">
        <v>403</v>
      </c>
      <c r="B47" s="70">
        <v>1.0436528865268368E-2</v>
      </c>
      <c r="C47" s="70">
        <v>2.1195852212872357E-3</v>
      </c>
      <c r="D47" s="70">
        <v>3.4032917638311531E-2</v>
      </c>
      <c r="E47" s="70">
        <v>7.1981098934404211E-4</v>
      </c>
    </row>
    <row r="48" spans="1:5" x14ac:dyDescent="0.3">
      <c r="A48" s="67" t="s">
        <v>574</v>
      </c>
      <c r="B48" s="70">
        <v>-2.4750024750024749E-3</v>
      </c>
      <c r="C48" s="70">
        <v>-2.3994481269308059E-3</v>
      </c>
      <c r="D48" s="70">
        <v>3.7191155522184875E-4</v>
      </c>
      <c r="E48" s="70">
        <v>3.9239564305527366E-4</v>
      </c>
    </row>
    <row r="49" spans="1:5" x14ac:dyDescent="0.3">
      <c r="A49" s="67" t="s">
        <v>575</v>
      </c>
      <c r="B49" s="70">
        <v>2.7690774864725927E-3</v>
      </c>
      <c r="C49" s="70">
        <v>9.5802484827301332E-3</v>
      </c>
      <c r="D49" s="70">
        <v>2.2734693021737242E-3</v>
      </c>
      <c r="E49" s="70">
        <v>6.0267642955734836E-3</v>
      </c>
    </row>
    <row r="50" spans="1:5" x14ac:dyDescent="0.3">
      <c r="A50" s="67" t="s">
        <v>355</v>
      </c>
      <c r="B50" s="70">
        <v>2.014855668727483E-3</v>
      </c>
      <c r="C50" s="70">
        <v>3.4511059684624078E-3</v>
      </c>
      <c r="D50" s="70">
        <v>1.9454574184929272E-3</v>
      </c>
      <c r="E50" s="70">
        <v>5.5706165282028861E-2</v>
      </c>
    </row>
    <row r="51" spans="1:5" x14ac:dyDescent="0.3">
      <c r="A51" s="67" t="s">
        <v>76</v>
      </c>
      <c r="B51" s="70">
        <v>8.0965664826031301E-4</v>
      </c>
      <c r="C51" s="70">
        <v>4.1995793722733989E-3</v>
      </c>
      <c r="D51" s="70">
        <v>3.1174901520344203E-3</v>
      </c>
      <c r="E51" s="70">
        <v>5.8190830903102836E-3</v>
      </c>
    </row>
    <row r="52" spans="1:5" x14ac:dyDescent="0.3">
      <c r="A52" s="67" t="s">
        <v>25</v>
      </c>
      <c r="B52" s="70">
        <v>1.1156186612576065E-3</v>
      </c>
      <c r="C52" s="70">
        <v>3.5361871958419907E-3</v>
      </c>
      <c r="D52" s="70">
        <v>5.8952701962314107E-4</v>
      </c>
      <c r="E52" s="70">
        <v>-4.0819787301048958E-3</v>
      </c>
    </row>
  </sheetData>
  <pageMargins left="0.7" right="0.7" top="0.75" bottom="0.75" header="0.3" footer="0.3"/>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7B135-A2C2-412F-A8F1-6744B9CE66ED}">
  <dimension ref="A1:B51"/>
  <sheetViews>
    <sheetView workbookViewId="0">
      <selection activeCell="C6" sqref="C6"/>
    </sheetView>
  </sheetViews>
  <sheetFormatPr defaultRowHeight="14.4" x14ac:dyDescent="0.3"/>
  <cols>
    <col min="1" max="1" width="12.5546875" bestFit="1" customWidth="1"/>
    <col min="2" max="2" width="20.33203125" bestFit="1" customWidth="1"/>
  </cols>
  <sheetData>
    <row r="1" spans="1:2" x14ac:dyDescent="0.3">
      <c r="A1" s="16" t="s">
        <v>609</v>
      </c>
      <c r="B1" t="s">
        <v>664</v>
      </c>
    </row>
    <row r="2" spans="1:2" x14ac:dyDescent="0.3">
      <c r="A2" s="17" t="s">
        <v>567</v>
      </c>
      <c r="B2">
        <v>7075</v>
      </c>
    </row>
    <row r="3" spans="1:2" x14ac:dyDescent="0.3">
      <c r="A3" s="17" t="s">
        <v>242</v>
      </c>
      <c r="B3">
        <v>6545</v>
      </c>
    </row>
    <row r="4" spans="1:2" x14ac:dyDescent="0.3">
      <c r="A4" s="17" t="s">
        <v>573</v>
      </c>
      <c r="B4">
        <v>5924</v>
      </c>
    </row>
    <row r="5" spans="1:2" x14ac:dyDescent="0.3">
      <c r="A5" s="17" t="s">
        <v>275</v>
      </c>
      <c r="B5">
        <v>5741</v>
      </c>
    </row>
    <row r="6" spans="1:2" x14ac:dyDescent="0.3">
      <c r="A6" s="17" t="s">
        <v>108</v>
      </c>
      <c r="B6">
        <v>5721</v>
      </c>
    </row>
    <row r="7" spans="1:2" x14ac:dyDescent="0.3">
      <c r="A7" s="17" t="s">
        <v>214</v>
      </c>
      <c r="B7">
        <v>5681</v>
      </c>
    </row>
    <row r="8" spans="1:2" x14ac:dyDescent="0.3">
      <c r="A8" s="17" t="s">
        <v>84</v>
      </c>
      <c r="B8">
        <v>5594</v>
      </c>
    </row>
    <row r="9" spans="1:2" x14ac:dyDescent="0.3">
      <c r="A9" s="17" t="s">
        <v>566</v>
      </c>
      <c r="B9">
        <v>5491</v>
      </c>
    </row>
    <row r="10" spans="1:2" x14ac:dyDescent="0.3">
      <c r="A10" s="17" t="s">
        <v>14</v>
      </c>
      <c r="B10">
        <v>5284</v>
      </c>
    </row>
    <row r="11" spans="1:2" x14ac:dyDescent="0.3">
      <c r="A11" s="17" t="s">
        <v>143</v>
      </c>
      <c r="B11">
        <v>5248</v>
      </c>
    </row>
    <row r="12" spans="1:2" x14ac:dyDescent="0.3">
      <c r="A12" s="17" t="s">
        <v>575</v>
      </c>
      <c r="B12">
        <v>5190</v>
      </c>
    </row>
    <row r="13" spans="1:2" x14ac:dyDescent="0.3">
      <c r="A13" s="17" t="s">
        <v>125</v>
      </c>
      <c r="B13">
        <v>5187</v>
      </c>
    </row>
    <row r="14" spans="1:2" x14ac:dyDescent="0.3">
      <c r="A14" s="17" t="s">
        <v>572</v>
      </c>
      <c r="B14">
        <v>5133</v>
      </c>
    </row>
    <row r="15" spans="1:2" x14ac:dyDescent="0.3">
      <c r="A15" s="17" t="s">
        <v>123</v>
      </c>
      <c r="B15">
        <v>5057</v>
      </c>
    </row>
    <row r="16" spans="1:2" x14ac:dyDescent="0.3">
      <c r="A16" s="17" t="s">
        <v>76</v>
      </c>
      <c r="B16">
        <v>4978</v>
      </c>
    </row>
    <row r="17" spans="1:2" x14ac:dyDescent="0.3">
      <c r="A17" s="17" t="s">
        <v>31</v>
      </c>
      <c r="B17">
        <v>4757</v>
      </c>
    </row>
    <row r="18" spans="1:2" x14ac:dyDescent="0.3">
      <c r="A18" s="17" t="s">
        <v>569</v>
      </c>
      <c r="B18">
        <v>4617</v>
      </c>
    </row>
    <row r="19" spans="1:2" x14ac:dyDescent="0.3">
      <c r="A19" s="17" t="s">
        <v>563</v>
      </c>
      <c r="B19">
        <v>4612</v>
      </c>
    </row>
    <row r="20" spans="1:2" x14ac:dyDescent="0.3">
      <c r="A20" s="17" t="s">
        <v>225</v>
      </c>
      <c r="B20">
        <v>4566</v>
      </c>
    </row>
    <row r="21" spans="1:2" x14ac:dyDescent="0.3">
      <c r="A21" s="17" t="s">
        <v>571</v>
      </c>
      <c r="B21">
        <v>4548</v>
      </c>
    </row>
    <row r="22" spans="1:2" x14ac:dyDescent="0.3">
      <c r="A22" s="17" t="s">
        <v>159</v>
      </c>
      <c r="B22">
        <v>4539</v>
      </c>
    </row>
    <row r="23" spans="1:2" x14ac:dyDescent="0.3">
      <c r="A23" s="17" t="s">
        <v>355</v>
      </c>
      <c r="B23">
        <v>4525</v>
      </c>
    </row>
    <row r="24" spans="1:2" x14ac:dyDescent="0.3">
      <c r="A24" s="17" t="s">
        <v>559</v>
      </c>
      <c r="B24">
        <v>4404</v>
      </c>
    </row>
    <row r="25" spans="1:2" x14ac:dyDescent="0.3">
      <c r="A25" s="17" t="s">
        <v>562</v>
      </c>
      <c r="B25">
        <v>4353</v>
      </c>
    </row>
    <row r="26" spans="1:2" x14ac:dyDescent="0.3">
      <c r="A26" s="17" t="s">
        <v>121</v>
      </c>
      <c r="B26">
        <v>4353</v>
      </c>
    </row>
    <row r="27" spans="1:2" x14ac:dyDescent="0.3">
      <c r="A27" s="17" t="s">
        <v>217</v>
      </c>
      <c r="B27">
        <v>4276</v>
      </c>
    </row>
    <row r="28" spans="1:2" x14ac:dyDescent="0.3">
      <c r="A28" s="17" t="s">
        <v>45</v>
      </c>
      <c r="B28">
        <v>4236</v>
      </c>
    </row>
    <row r="29" spans="1:2" x14ac:dyDescent="0.3">
      <c r="A29" s="17" t="s">
        <v>189</v>
      </c>
      <c r="B29">
        <v>4234</v>
      </c>
    </row>
    <row r="30" spans="1:2" x14ac:dyDescent="0.3">
      <c r="A30" s="17" t="s">
        <v>561</v>
      </c>
      <c r="B30">
        <v>4144</v>
      </c>
    </row>
    <row r="31" spans="1:2" x14ac:dyDescent="0.3">
      <c r="A31" s="17" t="s">
        <v>147</v>
      </c>
      <c r="B31">
        <v>3986</v>
      </c>
    </row>
    <row r="32" spans="1:2" x14ac:dyDescent="0.3">
      <c r="A32" s="17" t="s">
        <v>558</v>
      </c>
      <c r="B32">
        <v>3977</v>
      </c>
    </row>
    <row r="33" spans="1:2" x14ac:dyDescent="0.3">
      <c r="A33" s="17" t="s">
        <v>568</v>
      </c>
      <c r="B33">
        <v>3955</v>
      </c>
    </row>
    <row r="34" spans="1:2" x14ac:dyDescent="0.3">
      <c r="A34" s="17" t="s">
        <v>403</v>
      </c>
      <c r="B34">
        <v>3921</v>
      </c>
    </row>
    <row r="35" spans="1:2" x14ac:dyDescent="0.3">
      <c r="A35" s="17" t="s">
        <v>570</v>
      </c>
      <c r="B35">
        <v>3794</v>
      </c>
    </row>
    <row r="36" spans="1:2" x14ac:dyDescent="0.3">
      <c r="A36" s="17" t="s">
        <v>74</v>
      </c>
      <c r="B36">
        <v>3655</v>
      </c>
    </row>
    <row r="37" spans="1:2" x14ac:dyDescent="0.3">
      <c r="A37" s="17" t="s">
        <v>163</v>
      </c>
      <c r="B37">
        <v>3615</v>
      </c>
    </row>
    <row r="38" spans="1:2" x14ac:dyDescent="0.3">
      <c r="A38" s="17" t="s">
        <v>195</v>
      </c>
      <c r="B38">
        <v>3506</v>
      </c>
    </row>
    <row r="39" spans="1:2" x14ac:dyDescent="0.3">
      <c r="A39" s="17" t="s">
        <v>78</v>
      </c>
      <c r="B39">
        <v>3265</v>
      </c>
    </row>
    <row r="40" spans="1:2" x14ac:dyDescent="0.3">
      <c r="A40" s="17" t="s">
        <v>565</v>
      </c>
      <c r="B40">
        <v>3187</v>
      </c>
    </row>
    <row r="41" spans="1:2" x14ac:dyDescent="0.3">
      <c r="A41" s="17" t="s">
        <v>191</v>
      </c>
      <c r="B41">
        <v>3172</v>
      </c>
    </row>
    <row r="42" spans="1:2" x14ac:dyDescent="0.3">
      <c r="A42" s="17" t="s">
        <v>261</v>
      </c>
      <c r="B42">
        <v>3145</v>
      </c>
    </row>
    <row r="43" spans="1:2" x14ac:dyDescent="0.3">
      <c r="A43" s="17" t="s">
        <v>25</v>
      </c>
      <c r="B43">
        <v>3058</v>
      </c>
    </row>
    <row r="44" spans="1:2" x14ac:dyDescent="0.3">
      <c r="A44" s="17" t="s">
        <v>308</v>
      </c>
      <c r="B44">
        <v>3058</v>
      </c>
    </row>
    <row r="45" spans="1:2" x14ac:dyDescent="0.3">
      <c r="A45" s="17" t="s">
        <v>560</v>
      </c>
      <c r="B45">
        <v>2816</v>
      </c>
    </row>
    <row r="46" spans="1:2" x14ac:dyDescent="0.3">
      <c r="A46" s="17" t="s">
        <v>564</v>
      </c>
      <c r="B46">
        <v>2785</v>
      </c>
    </row>
    <row r="47" spans="1:2" x14ac:dyDescent="0.3">
      <c r="A47" s="17" t="s">
        <v>444</v>
      </c>
      <c r="B47">
        <v>2295</v>
      </c>
    </row>
    <row r="48" spans="1:2" x14ac:dyDescent="0.3">
      <c r="A48" s="17" t="s">
        <v>487</v>
      </c>
      <c r="B48">
        <v>2145</v>
      </c>
    </row>
    <row r="49" spans="1:2" x14ac:dyDescent="0.3">
      <c r="A49" s="17" t="s">
        <v>227</v>
      </c>
      <c r="B49">
        <v>1905</v>
      </c>
    </row>
    <row r="50" spans="1:2" x14ac:dyDescent="0.3">
      <c r="A50" s="17" t="s">
        <v>64</v>
      </c>
      <c r="B50">
        <v>1606</v>
      </c>
    </row>
    <row r="51" spans="1:2" x14ac:dyDescent="0.3">
      <c r="A51" s="17" t="s">
        <v>574</v>
      </c>
      <c r="B51">
        <v>1269</v>
      </c>
    </row>
  </sheetData>
  <conditionalFormatting sqref="A1:B1 A52:B52 A2:A51">
    <cfRule type="top10" dxfId="2" priority="2" rank="10"/>
    <cfRule type="top10" dxfId="1" priority="3" rank="10"/>
  </conditionalFormatting>
  <conditionalFormatting sqref="A1:B51">
    <cfRule type="top10" dxfId="0" priority="1" rank="10"/>
  </conditionalFormatting>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CCBC6-2F12-4950-AB81-0632966E082D}">
  <dimension ref="A1:E52"/>
  <sheetViews>
    <sheetView topLeftCell="F1" zoomScaleNormal="100" workbookViewId="0">
      <selection activeCell="V27" sqref="V27"/>
    </sheetView>
  </sheetViews>
  <sheetFormatPr defaultRowHeight="14.4" x14ac:dyDescent="0.3"/>
  <cols>
    <col min="1" max="1" width="29.5546875" bestFit="1" customWidth="1"/>
    <col min="2" max="2" width="15.5546875" bestFit="1" customWidth="1"/>
    <col min="3" max="3" width="9.44140625" bestFit="1" customWidth="1"/>
    <col min="4" max="4" width="7" bestFit="1" customWidth="1"/>
    <col min="5" max="5" width="8.44140625" bestFit="1" customWidth="1"/>
    <col min="6" max="6" width="10.77734375" bestFit="1" customWidth="1"/>
  </cols>
  <sheetData>
    <row r="1" spans="1:5" x14ac:dyDescent="0.3">
      <c r="A1" s="16" t="s">
        <v>616</v>
      </c>
      <c r="B1" s="16" t="s">
        <v>611</v>
      </c>
    </row>
    <row r="2" spans="1:5" x14ac:dyDescent="0.3">
      <c r="A2" s="16" t="s">
        <v>609</v>
      </c>
      <c r="B2" t="s">
        <v>40</v>
      </c>
      <c r="C2" t="s">
        <v>30</v>
      </c>
      <c r="D2" t="s">
        <v>13</v>
      </c>
      <c r="E2" t="s">
        <v>24</v>
      </c>
    </row>
    <row r="3" spans="1:5" x14ac:dyDescent="0.3">
      <c r="A3" s="17" t="s">
        <v>225</v>
      </c>
      <c r="B3" s="10">
        <v>2.3491348994232664E-2</v>
      </c>
      <c r="C3" s="10">
        <v>3.0428616268120576E-3</v>
      </c>
      <c r="D3" s="10">
        <v>2.826320879360366E-3</v>
      </c>
      <c r="E3" s="10">
        <v>2.7557542170624167E-3</v>
      </c>
    </row>
    <row r="4" spans="1:5" x14ac:dyDescent="0.3">
      <c r="A4" s="17" t="s">
        <v>147</v>
      </c>
      <c r="B4" s="10">
        <v>4.0530081660374974E-3</v>
      </c>
      <c r="C4" s="10">
        <v>1.0517322049758936E-2</v>
      </c>
      <c r="D4" s="10">
        <v>7.3128442639386348E-4</v>
      </c>
      <c r="E4" s="10">
        <v>2.4016739232334168E-3</v>
      </c>
    </row>
    <row r="5" spans="1:5" x14ac:dyDescent="0.3">
      <c r="A5" s="17" t="s">
        <v>159</v>
      </c>
      <c r="B5" s="10">
        <v>8.1535847453627231E-3</v>
      </c>
      <c r="C5" s="10">
        <v>1.9542790614208243E-3</v>
      </c>
      <c r="D5" s="10">
        <v>1.0551445425805821E-2</v>
      </c>
      <c r="E5" s="10">
        <v>8.80238003818718E-4</v>
      </c>
    </row>
    <row r="6" spans="1:5" x14ac:dyDescent="0.3">
      <c r="A6" s="17" t="s">
        <v>45</v>
      </c>
      <c r="B6" s="10">
        <v>6.3510173036698994E-2</v>
      </c>
      <c r="C6" s="10">
        <v>1.7636832660385824E-2</v>
      </c>
      <c r="D6" s="10">
        <v>2.798060458211721E-3</v>
      </c>
      <c r="E6" s="10">
        <v>-2.8860773750305035E-4</v>
      </c>
    </row>
    <row r="7" spans="1:5" x14ac:dyDescent="0.3">
      <c r="A7" s="17" t="s">
        <v>444</v>
      </c>
      <c r="B7" s="10">
        <v>2.9088264703208797E-4</v>
      </c>
      <c r="C7" s="10">
        <v>-5.2211602419375983E-4</v>
      </c>
      <c r="D7" s="10">
        <v>4.3037693661692649E-3</v>
      </c>
      <c r="E7" s="10">
        <v>8.0050669434719116E-4</v>
      </c>
    </row>
    <row r="8" spans="1:5" x14ac:dyDescent="0.3">
      <c r="A8" s="17" t="s">
        <v>558</v>
      </c>
      <c r="B8" s="10">
        <v>1.2276812319721568E-3</v>
      </c>
      <c r="C8" s="10">
        <v>2.8717173625543171E-2</v>
      </c>
      <c r="D8" s="10">
        <v>1.40324773607655E-3</v>
      </c>
      <c r="E8" s="10">
        <v>2.1994574101175039E-3</v>
      </c>
    </row>
    <row r="9" spans="1:5" x14ac:dyDescent="0.3">
      <c r="A9" s="17" t="s">
        <v>308</v>
      </c>
      <c r="B9" s="10">
        <v>-4.9009939454794306E-4</v>
      </c>
      <c r="C9" s="10">
        <v>1.1967386439556591E-2</v>
      </c>
      <c r="D9" s="10">
        <v>1.8982132901478749E-3</v>
      </c>
      <c r="E9" s="10">
        <v>1.0211701333265254E-3</v>
      </c>
    </row>
    <row r="10" spans="1:5" x14ac:dyDescent="0.3">
      <c r="A10" s="17" t="s">
        <v>559</v>
      </c>
      <c r="B10" s="10">
        <v>3.2572737872501967E-3</v>
      </c>
      <c r="C10" s="10">
        <v>3.3557613568250698E-4</v>
      </c>
      <c r="D10" s="10">
        <v>6.6371458255580548E-3</v>
      </c>
      <c r="E10" s="10">
        <v>1.0340418313957282E-3</v>
      </c>
    </row>
    <row r="11" spans="1:5" x14ac:dyDescent="0.3">
      <c r="A11" s="17" t="s">
        <v>261</v>
      </c>
      <c r="B11" s="10">
        <v>-7.3097734889686784E-4</v>
      </c>
      <c r="C11" s="10">
        <v>2.2861730899256253E-2</v>
      </c>
      <c r="D11" s="10">
        <v>5.1986619096302169E-3</v>
      </c>
      <c r="E11" s="10">
        <v>7.600121601945631E-3</v>
      </c>
    </row>
    <row r="12" spans="1:5" x14ac:dyDescent="0.3">
      <c r="A12" s="17" t="s">
        <v>487</v>
      </c>
      <c r="B12" s="10">
        <v>-1.5755714445670778E-3</v>
      </c>
      <c r="C12" s="10">
        <v>8.0371168669857163E-4</v>
      </c>
      <c r="D12" s="10">
        <v>7.2889860753698943E-4</v>
      </c>
      <c r="E12" s="10">
        <v>9.9485420240137223E-4</v>
      </c>
    </row>
    <row r="13" spans="1:5" x14ac:dyDescent="0.3">
      <c r="A13" s="17" t="s">
        <v>31</v>
      </c>
      <c r="B13" s="10">
        <v>4.3366318609156986E-3</v>
      </c>
      <c r="C13" s="10">
        <v>2.7085701202809553E-3</v>
      </c>
      <c r="D13" s="10">
        <v>8.5080354946042954E-5</v>
      </c>
      <c r="E13" s="10">
        <v>1.011348268360087E-2</v>
      </c>
    </row>
    <row r="14" spans="1:5" x14ac:dyDescent="0.3">
      <c r="A14" s="17" t="s">
        <v>78</v>
      </c>
      <c r="B14" s="10">
        <v>5.7523759813836147E-3</v>
      </c>
      <c r="C14" s="10">
        <v>2.335271198731579E-4</v>
      </c>
      <c r="D14" s="10">
        <v>8.825634093981077E-3</v>
      </c>
      <c r="E14" s="10">
        <v>2.1728440241071327E-3</v>
      </c>
    </row>
    <row r="15" spans="1:5" x14ac:dyDescent="0.3">
      <c r="A15" s="17" t="s">
        <v>74</v>
      </c>
      <c r="B15" s="10">
        <v>9.7527544941747058E-5</v>
      </c>
      <c r="C15" s="10">
        <v>3.5456226214689766E-3</v>
      </c>
      <c r="D15" s="10">
        <v>6.5914381026955706E-3</v>
      </c>
      <c r="E15" s="10">
        <v>1.1713324743561855E-4</v>
      </c>
    </row>
    <row r="16" spans="1:5" x14ac:dyDescent="0.3">
      <c r="A16" s="17" t="s">
        <v>189</v>
      </c>
      <c r="B16" s="10">
        <v>2.1026918479944948E-3</v>
      </c>
      <c r="C16" s="10">
        <v>1.2306082974775983E-2</v>
      </c>
      <c r="D16" s="10">
        <v>6.1798299135137512E-4</v>
      </c>
      <c r="E16" s="10">
        <v>8.9764429025449434E-4</v>
      </c>
    </row>
    <row r="17" spans="1:5" x14ac:dyDescent="0.3">
      <c r="A17" s="17" t="s">
        <v>84</v>
      </c>
      <c r="B17" s="10">
        <v>4.6435400163889647E-3</v>
      </c>
      <c r="C17" s="10">
        <v>4.1581361392816901E-3</v>
      </c>
      <c r="D17" s="10">
        <v>5.990134708914012E-4</v>
      </c>
      <c r="E17" s="10">
        <v>1.7032345973398571E-2</v>
      </c>
    </row>
    <row r="18" spans="1:5" x14ac:dyDescent="0.3">
      <c r="A18" s="17" t="s">
        <v>560</v>
      </c>
      <c r="B18" s="10">
        <v>2.0668041724136477E-4</v>
      </c>
      <c r="C18" s="10">
        <v>7.4222825979957871E-3</v>
      </c>
      <c r="D18" s="10">
        <v>2.8673012960201858E-3</v>
      </c>
      <c r="E18" s="10">
        <v>-2.6681341404439108E-4</v>
      </c>
    </row>
    <row r="19" spans="1:5" x14ac:dyDescent="0.3">
      <c r="A19" s="17" t="s">
        <v>561</v>
      </c>
      <c r="B19" s="10">
        <v>-7.9248226299566635E-5</v>
      </c>
      <c r="C19" s="10">
        <v>1.5758651286601596E-3</v>
      </c>
      <c r="D19" s="10">
        <v>6.2566104068286429E-3</v>
      </c>
      <c r="E19" s="10">
        <v>1.592351646960128E-2</v>
      </c>
    </row>
    <row r="20" spans="1:5" x14ac:dyDescent="0.3">
      <c r="A20" s="17" t="s">
        <v>562</v>
      </c>
      <c r="B20" s="10">
        <v>-3.9477485703195471E-4</v>
      </c>
      <c r="C20" s="10">
        <v>2.7682576721248606E-3</v>
      </c>
      <c r="D20" s="10">
        <v>9.2287307798970819E-3</v>
      </c>
      <c r="E20" s="10">
        <v>1.8079694785926241E-2</v>
      </c>
    </row>
    <row r="21" spans="1:5" x14ac:dyDescent="0.3">
      <c r="A21" s="17" t="s">
        <v>563</v>
      </c>
      <c r="B21" s="10">
        <v>4.3810281972675247E-3</v>
      </c>
      <c r="C21" s="10">
        <v>1.0000908202133741E-2</v>
      </c>
      <c r="D21" s="10">
        <v>2.2456063766826309E-4</v>
      </c>
      <c r="E21" s="10">
        <v>1.0019784829366461E-3</v>
      </c>
    </row>
    <row r="22" spans="1:5" x14ac:dyDescent="0.3">
      <c r="A22" s="17" t="s">
        <v>564</v>
      </c>
      <c r="B22" s="10">
        <v>1.8083871090552605E-3</v>
      </c>
      <c r="C22" s="10">
        <v>3.1501331857780751E-3</v>
      </c>
      <c r="D22" s="10">
        <v>-6.456361452939582E-5</v>
      </c>
      <c r="E22" s="10">
        <v>1.8425729749269497E-3</v>
      </c>
    </row>
    <row r="23" spans="1:5" x14ac:dyDescent="0.3">
      <c r="A23" s="17" t="s">
        <v>163</v>
      </c>
      <c r="B23" s="10">
        <v>1.8687212668142345E-2</v>
      </c>
      <c r="C23" s="10">
        <v>7.3371064356504961E-4</v>
      </c>
      <c r="D23" s="10">
        <v>2.4623771231227277E-3</v>
      </c>
      <c r="E23" s="10">
        <v>5.7763419096181542E-3</v>
      </c>
    </row>
    <row r="24" spans="1:5" x14ac:dyDescent="0.3">
      <c r="A24" s="17" t="s">
        <v>195</v>
      </c>
      <c r="B24" s="10">
        <v>1.8382090319876945E-3</v>
      </c>
      <c r="C24" s="10">
        <v>1.6622321237901201E-3</v>
      </c>
      <c r="D24" s="10">
        <v>1.5381417584701726E-4</v>
      </c>
      <c r="E24" s="10">
        <v>5.4180958515762179E-3</v>
      </c>
    </row>
    <row r="25" spans="1:5" x14ac:dyDescent="0.3">
      <c r="A25" s="17" t="s">
        <v>275</v>
      </c>
      <c r="B25" s="10">
        <v>1.6918035252172713E-3</v>
      </c>
      <c r="C25" s="10">
        <v>2.5430053699827069E-2</v>
      </c>
      <c r="D25" s="10">
        <v>3.6508153411678964E-3</v>
      </c>
      <c r="E25" s="10">
        <v>4.0317597627286209E-3</v>
      </c>
    </row>
    <row r="26" spans="1:5" x14ac:dyDescent="0.3">
      <c r="A26" s="17" t="s">
        <v>565</v>
      </c>
      <c r="B26" s="10">
        <v>-3.4250669665215861E-4</v>
      </c>
      <c r="C26" s="10">
        <v>1.7550345364335054E-2</v>
      </c>
      <c r="D26" s="10">
        <v>1.3172212358971423E-2</v>
      </c>
      <c r="E26" s="10">
        <v>2.8821299683708945E-3</v>
      </c>
    </row>
    <row r="27" spans="1:5" x14ac:dyDescent="0.3">
      <c r="A27" s="17" t="s">
        <v>64</v>
      </c>
      <c r="B27" s="10">
        <v>2.1248528096751631E-4</v>
      </c>
      <c r="C27" s="10">
        <v>-9.5914811987394058E-4</v>
      </c>
      <c r="D27" s="10">
        <v>9.1277744844858602E-4</v>
      </c>
      <c r="E27" s="10">
        <v>1.9887634863023914E-4</v>
      </c>
    </row>
    <row r="28" spans="1:5" x14ac:dyDescent="0.3">
      <c r="A28" s="17" t="s">
        <v>125</v>
      </c>
      <c r="B28" s="10">
        <v>3.9565022381564839E-3</v>
      </c>
      <c r="C28" s="10">
        <v>5.9936417126309005E-3</v>
      </c>
      <c r="D28" s="10">
        <v>1.1079079758069075E-3</v>
      </c>
      <c r="E28" s="10">
        <v>1.4152074838090669E-2</v>
      </c>
    </row>
    <row r="29" spans="1:5" x14ac:dyDescent="0.3">
      <c r="A29" s="17" t="s">
        <v>566</v>
      </c>
      <c r="B29" s="10">
        <v>3.6277109484146308E-3</v>
      </c>
      <c r="C29" s="10">
        <v>3.8511033114748661E-3</v>
      </c>
      <c r="D29" s="10">
        <v>3.7850431101244257E-3</v>
      </c>
      <c r="E29" s="10">
        <v>1.3151115811166245E-3</v>
      </c>
    </row>
    <row r="30" spans="1:5" x14ac:dyDescent="0.3">
      <c r="A30" s="17" t="s">
        <v>214</v>
      </c>
      <c r="B30" s="10">
        <v>3.8307014117515761E-2</v>
      </c>
      <c r="C30" s="10">
        <v>5.0721615839286359E-3</v>
      </c>
      <c r="D30" s="10">
        <v>8.3806473528412681E-2</v>
      </c>
      <c r="E30" s="10">
        <v>1.2679964770499277E-3</v>
      </c>
    </row>
    <row r="31" spans="1:5" x14ac:dyDescent="0.3">
      <c r="A31" s="17" t="s">
        <v>108</v>
      </c>
      <c r="B31" s="10">
        <v>3.311568846722701E-3</v>
      </c>
      <c r="C31" s="10">
        <v>3.0759118725472716E-3</v>
      </c>
      <c r="D31" s="10">
        <v>4.1536387893013997E-3</v>
      </c>
      <c r="E31" s="10">
        <v>1.7917737946946315E-3</v>
      </c>
    </row>
    <row r="32" spans="1:5" x14ac:dyDescent="0.3">
      <c r="A32" s="17" t="s">
        <v>14</v>
      </c>
      <c r="B32" s="10">
        <v>7.8202834584935772E-3</v>
      </c>
      <c r="C32" s="10">
        <v>2.4359408109118751E-3</v>
      </c>
      <c r="D32" s="10">
        <v>1.1230414576116569E-2</v>
      </c>
      <c r="E32" s="10">
        <v>6.3113158835445049E-2</v>
      </c>
    </row>
    <row r="33" spans="1:5" x14ac:dyDescent="0.3">
      <c r="A33" s="17" t="s">
        <v>567</v>
      </c>
      <c r="B33" s="10">
        <v>4.6806929323118035E-3</v>
      </c>
      <c r="C33" s="10">
        <v>1.253515525127127E-2</v>
      </c>
      <c r="D33" s="10">
        <v>5.5634189738421064E-3</v>
      </c>
      <c r="E33" s="10">
        <v>1.0669005078738719E-2</v>
      </c>
    </row>
    <row r="34" spans="1:5" x14ac:dyDescent="0.3">
      <c r="A34" s="17" t="s">
        <v>121</v>
      </c>
      <c r="B34" s="10">
        <v>6.4766839378238338E-3</v>
      </c>
      <c r="C34" s="10">
        <v>1.9361810704529763E-3</v>
      </c>
      <c r="D34" s="10">
        <v>3.2008104408927781E-3</v>
      </c>
      <c r="E34" s="10">
        <v>8.8669950738916262E-3</v>
      </c>
    </row>
    <row r="35" spans="1:5" x14ac:dyDescent="0.3">
      <c r="A35" s="17" t="s">
        <v>568</v>
      </c>
      <c r="B35" s="10">
        <v>1.3262186302564765E-3</v>
      </c>
      <c r="C35" s="10">
        <v>4.9282654051223049E-3</v>
      </c>
      <c r="D35" s="10">
        <v>-2.9514486693885583E-4</v>
      </c>
      <c r="E35" s="10">
        <v>6.2409087760615087E-2</v>
      </c>
    </row>
    <row r="36" spans="1:5" x14ac:dyDescent="0.3">
      <c r="A36" s="17" t="s">
        <v>569</v>
      </c>
      <c r="B36" s="10">
        <v>8.9052952094934197E-4</v>
      </c>
      <c r="C36" s="10">
        <v>4.0971536250166149E-3</v>
      </c>
      <c r="D36" s="10">
        <v>7.1621491270377159E-3</v>
      </c>
      <c r="E36" s="10">
        <v>2.1486931256659019E-3</v>
      </c>
    </row>
    <row r="37" spans="1:5" x14ac:dyDescent="0.3">
      <c r="A37" s="17" t="s">
        <v>217</v>
      </c>
      <c r="B37" s="10">
        <v>2.7948348464241365E-3</v>
      </c>
      <c r="C37" s="10">
        <v>-4.6464109274628077E-4</v>
      </c>
      <c r="D37" s="10">
        <v>5.4309533874905263E-3</v>
      </c>
      <c r="E37" s="10">
        <v>2.6534161921203288E-3</v>
      </c>
    </row>
    <row r="38" spans="1:5" x14ac:dyDescent="0.3">
      <c r="A38" s="17" t="s">
        <v>570</v>
      </c>
      <c r="B38" s="10">
        <v>5.5005257855530306E-3</v>
      </c>
      <c r="C38" s="10">
        <v>3.0720567989168156E-3</v>
      </c>
      <c r="D38" s="10">
        <v>3.2046588643454949E-3</v>
      </c>
      <c r="E38" s="10">
        <v>-7.4972485467156139E-4</v>
      </c>
    </row>
    <row r="39" spans="1:5" x14ac:dyDescent="0.3">
      <c r="A39" s="17" t="s">
        <v>242</v>
      </c>
      <c r="B39" s="10">
        <v>2.9427518601934728E-3</v>
      </c>
      <c r="C39" s="10">
        <v>7.7568587198256845E-3</v>
      </c>
      <c r="D39" s="10">
        <v>9.4958208908059605E-3</v>
      </c>
      <c r="E39" s="10">
        <v>2.9756017144741179E-3</v>
      </c>
    </row>
    <row r="40" spans="1:5" x14ac:dyDescent="0.3">
      <c r="A40" s="17" t="s">
        <v>123</v>
      </c>
      <c r="B40" s="10">
        <v>1.5147617822744291E-2</v>
      </c>
      <c r="C40" s="10">
        <v>2.1291007252180398E-3</v>
      </c>
      <c r="D40" s="10">
        <v>-2.5410691720235154E-4</v>
      </c>
      <c r="E40" s="10">
        <v>1.1086997546706926E-2</v>
      </c>
    </row>
    <row r="41" spans="1:5" x14ac:dyDescent="0.3">
      <c r="A41" s="17" t="s">
        <v>143</v>
      </c>
      <c r="B41" s="10">
        <v>7.4073109768798169E-3</v>
      </c>
      <c r="C41" s="10">
        <v>1.0867503398564699E-2</v>
      </c>
      <c r="D41" s="10">
        <v>2.2333891680625349E-3</v>
      </c>
      <c r="E41" s="10">
        <v>2.1885278918832756E-3</v>
      </c>
    </row>
    <row r="42" spans="1:5" x14ac:dyDescent="0.3">
      <c r="A42" s="17" t="s">
        <v>191</v>
      </c>
      <c r="B42" s="10">
        <v>-3.2435585380545735E-4</v>
      </c>
      <c r="C42" s="10">
        <v>5.1052298518124532E-3</v>
      </c>
      <c r="D42" s="10">
        <v>1.9268070513850934E-3</v>
      </c>
      <c r="E42" s="10">
        <v>1.4029055733207443E-3</v>
      </c>
    </row>
    <row r="43" spans="1:5" x14ac:dyDescent="0.3">
      <c r="A43" s="17" t="s">
        <v>571</v>
      </c>
      <c r="B43" s="10">
        <v>2.6639909400836752E-3</v>
      </c>
      <c r="C43" s="10">
        <v>4.5873346287504706E-4</v>
      </c>
      <c r="D43" s="10">
        <v>0.10825114265095021</v>
      </c>
      <c r="E43" s="10">
        <v>1.2622336046830695E-2</v>
      </c>
    </row>
    <row r="44" spans="1:5" x14ac:dyDescent="0.3">
      <c r="A44" s="17" t="s">
        <v>572</v>
      </c>
      <c r="B44" s="10">
        <v>3.2619275185675578E-3</v>
      </c>
      <c r="C44" s="10">
        <v>1.6572027392586454E-3</v>
      </c>
      <c r="D44" s="10">
        <v>6.9173294769824048E-2</v>
      </c>
      <c r="E44" s="10">
        <v>7.9689298043728429E-2</v>
      </c>
    </row>
    <row r="45" spans="1:5" x14ac:dyDescent="0.3">
      <c r="A45" s="17" t="s">
        <v>227</v>
      </c>
      <c r="B45" s="10">
        <v>1.268716241173857E-3</v>
      </c>
      <c r="C45" s="10">
        <v>1.2636715002329981E-3</v>
      </c>
      <c r="D45" s="10">
        <v>1.3832962243592781E-3</v>
      </c>
      <c r="E45" s="10">
        <v>8.8022790888170322E-4</v>
      </c>
    </row>
    <row r="46" spans="1:5" x14ac:dyDescent="0.3">
      <c r="A46" s="17" t="s">
        <v>573</v>
      </c>
      <c r="B46" s="10">
        <v>1.3889264193260734E-3</v>
      </c>
      <c r="C46" s="10">
        <v>2.2667798288422093E-3</v>
      </c>
      <c r="D46" s="10">
        <v>8.4497101083942528E-3</v>
      </c>
      <c r="E46" s="10">
        <v>3.3667947287974553E-3</v>
      </c>
    </row>
    <row r="47" spans="1:5" x14ac:dyDescent="0.3">
      <c r="A47" s="17" t="s">
        <v>403</v>
      </c>
      <c r="B47" s="10">
        <v>1.0436528865268368E-2</v>
      </c>
      <c r="C47" s="10">
        <v>2.1195852212872357E-3</v>
      </c>
      <c r="D47" s="10">
        <v>3.4032917638311531E-2</v>
      </c>
      <c r="E47" s="10">
        <v>7.1981098934404211E-4</v>
      </c>
    </row>
    <row r="48" spans="1:5" x14ac:dyDescent="0.3">
      <c r="A48" s="17" t="s">
        <v>574</v>
      </c>
      <c r="B48" s="10">
        <v>-2.4750024750024749E-3</v>
      </c>
      <c r="C48" s="10">
        <v>-2.3994481269308059E-3</v>
      </c>
      <c r="D48" s="10">
        <v>3.7191155522184875E-4</v>
      </c>
      <c r="E48" s="10">
        <v>3.9239564305527366E-4</v>
      </c>
    </row>
    <row r="49" spans="1:5" x14ac:dyDescent="0.3">
      <c r="A49" s="17" t="s">
        <v>575</v>
      </c>
      <c r="B49" s="10">
        <v>2.7690774864725927E-3</v>
      </c>
      <c r="C49" s="10">
        <v>9.5802484827301332E-3</v>
      </c>
      <c r="D49" s="10">
        <v>2.2734693021737242E-3</v>
      </c>
      <c r="E49" s="10">
        <v>6.0267642955734836E-3</v>
      </c>
    </row>
    <row r="50" spans="1:5" x14ac:dyDescent="0.3">
      <c r="A50" s="17" t="s">
        <v>355</v>
      </c>
      <c r="B50" s="10">
        <v>2.014855668727483E-3</v>
      </c>
      <c r="C50" s="10">
        <v>3.4511059684624078E-3</v>
      </c>
      <c r="D50" s="10">
        <v>1.9454574184929272E-3</v>
      </c>
      <c r="E50" s="10">
        <v>5.5706165282028861E-2</v>
      </c>
    </row>
    <row r="51" spans="1:5" x14ac:dyDescent="0.3">
      <c r="A51" s="17" t="s">
        <v>76</v>
      </c>
      <c r="B51" s="10">
        <v>8.0965664826031301E-4</v>
      </c>
      <c r="C51" s="10">
        <v>4.1995793722733989E-3</v>
      </c>
      <c r="D51" s="10">
        <v>3.1174901520344203E-3</v>
      </c>
      <c r="E51" s="10">
        <v>5.8190830903102836E-3</v>
      </c>
    </row>
    <row r="52" spans="1:5" x14ac:dyDescent="0.3">
      <c r="A52" s="17" t="s">
        <v>25</v>
      </c>
      <c r="B52" s="10">
        <v>1.1156186612576065E-3</v>
      </c>
      <c r="C52" s="10">
        <v>3.5361871958419907E-3</v>
      </c>
      <c r="D52" s="10">
        <v>5.8952701962314107E-4</v>
      </c>
      <c r="E52" s="10">
        <v>-4.0819787301048958E-3</v>
      </c>
    </row>
  </sheetData>
  <pageMargins left="0.7" right="0.7" top="0.75" bottom="0.75" header="0.3" footer="0.3"/>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7F552-5F28-4C49-9E3E-5A34C0E4E9EE}">
  <dimension ref="A1:C201"/>
  <sheetViews>
    <sheetView tabSelected="1" zoomScale="115" zoomScaleNormal="115" workbookViewId="0">
      <selection activeCell="H8" sqref="H8"/>
    </sheetView>
  </sheetViews>
  <sheetFormatPr defaultRowHeight="14.4" x14ac:dyDescent="0.3"/>
  <cols>
    <col min="1" max="1" width="12.5546875" bestFit="1" customWidth="1"/>
    <col min="2" max="2" width="29.5546875" bestFit="1" customWidth="1"/>
    <col min="3" max="3" width="19.44140625" bestFit="1" customWidth="1"/>
    <col min="4" max="4" width="16.21875" bestFit="1" customWidth="1"/>
    <col min="5" max="5" width="26.33203125" bestFit="1" customWidth="1"/>
    <col min="6" max="6" width="16.21875" bestFit="1" customWidth="1"/>
    <col min="7" max="7" width="26.33203125" bestFit="1" customWidth="1"/>
    <col min="8" max="9" width="16.21875" bestFit="1" customWidth="1"/>
    <col min="10" max="10" width="31.109375" bestFit="1" customWidth="1"/>
    <col min="11" max="11" width="21" bestFit="1" customWidth="1"/>
  </cols>
  <sheetData>
    <row r="1" spans="1:3" x14ac:dyDescent="0.3">
      <c r="A1" s="1" t="s">
        <v>557</v>
      </c>
      <c r="B1" s="71" t="s">
        <v>615</v>
      </c>
      <c r="C1" s="1" t="s">
        <v>1</v>
      </c>
    </row>
    <row r="2" spans="1:3" x14ac:dyDescent="0.3">
      <c r="A2" s="5">
        <v>2315</v>
      </c>
      <c r="B2" s="55">
        <v>-3.9477485703195471E-4</v>
      </c>
      <c r="C2" s="2" t="s">
        <v>40</v>
      </c>
    </row>
    <row r="3" spans="1:3" x14ac:dyDescent="0.3">
      <c r="A3" s="5">
        <v>3582</v>
      </c>
      <c r="B3" s="55">
        <v>2.014855668727483E-3</v>
      </c>
      <c r="C3" s="2" t="s">
        <v>40</v>
      </c>
    </row>
    <row r="4" spans="1:3" x14ac:dyDescent="0.3">
      <c r="A4" s="5">
        <v>4839</v>
      </c>
      <c r="B4" s="55">
        <v>-7.3097734889686784E-4</v>
      </c>
      <c r="C4" s="2" t="s">
        <v>40</v>
      </c>
    </row>
    <row r="5" spans="1:3" x14ac:dyDescent="0.3">
      <c r="A5" s="5">
        <v>4996</v>
      </c>
      <c r="B5" s="55">
        <v>1.6918035252172713E-3</v>
      </c>
      <c r="C5" s="2" t="s">
        <v>40</v>
      </c>
    </row>
    <row r="6" spans="1:3" x14ac:dyDescent="0.3">
      <c r="A6" s="5">
        <v>7285</v>
      </c>
      <c r="B6" s="55">
        <v>1.8083871090552605E-3</v>
      </c>
      <c r="C6" s="2" t="s">
        <v>40</v>
      </c>
    </row>
    <row r="7" spans="1:3" x14ac:dyDescent="0.3">
      <c r="A7" s="5">
        <v>7875</v>
      </c>
      <c r="B7" s="55">
        <v>2.7690774864725927E-3</v>
      </c>
      <c r="C7" s="2" t="s">
        <v>40</v>
      </c>
    </row>
    <row r="8" spans="1:3" x14ac:dyDescent="0.3">
      <c r="A8" s="5">
        <v>7924</v>
      </c>
      <c r="B8" s="55">
        <v>4.0530081660374974E-3</v>
      </c>
      <c r="C8" s="2" t="s">
        <v>40</v>
      </c>
    </row>
    <row r="9" spans="1:3" x14ac:dyDescent="0.3">
      <c r="A9" s="5">
        <v>9566</v>
      </c>
      <c r="B9" s="55">
        <v>2.3491348994232664E-2</v>
      </c>
      <c r="C9" s="2" t="s">
        <v>40</v>
      </c>
    </row>
    <row r="10" spans="1:3" x14ac:dyDescent="0.3">
      <c r="A10" s="5">
        <v>11901</v>
      </c>
      <c r="B10" s="55">
        <v>-7.9248226299566635E-5</v>
      </c>
      <c r="C10" s="2" t="s">
        <v>40</v>
      </c>
    </row>
    <row r="11" spans="1:3" x14ac:dyDescent="0.3">
      <c r="A11" s="5">
        <v>14203</v>
      </c>
      <c r="B11" s="55">
        <v>5.7523759813836147E-3</v>
      </c>
      <c r="C11" s="2" t="s">
        <v>40</v>
      </c>
    </row>
    <row r="12" spans="1:3" x14ac:dyDescent="0.3">
      <c r="A12" s="5">
        <v>17951</v>
      </c>
      <c r="B12" s="55">
        <v>6.4766839378238338E-3</v>
      </c>
      <c r="C12" s="2" t="s">
        <v>40</v>
      </c>
    </row>
    <row r="13" spans="1:3" x14ac:dyDescent="0.3">
      <c r="A13" s="5">
        <v>18601</v>
      </c>
      <c r="B13" s="55">
        <v>3.8307014117515761E-2</v>
      </c>
      <c r="C13" s="2" t="s">
        <v>40</v>
      </c>
    </row>
    <row r="14" spans="1:3" x14ac:dyDescent="0.3">
      <c r="A14" s="5">
        <v>18656</v>
      </c>
      <c r="B14" s="55">
        <v>3.311568846722701E-3</v>
      </c>
      <c r="C14" s="2" t="s">
        <v>40</v>
      </c>
    </row>
    <row r="15" spans="1:3" x14ac:dyDescent="0.3">
      <c r="A15" s="5">
        <v>20553</v>
      </c>
      <c r="B15" s="55">
        <v>-3.2435585380545735E-4</v>
      </c>
      <c r="C15" s="2" t="s">
        <v>40</v>
      </c>
    </row>
    <row r="16" spans="1:3" x14ac:dyDescent="0.3">
      <c r="A16" s="5">
        <v>20560</v>
      </c>
      <c r="B16" s="55">
        <v>2.7948348464241365E-3</v>
      </c>
      <c r="C16" s="2" t="s">
        <v>40</v>
      </c>
    </row>
    <row r="17" spans="1:3" x14ac:dyDescent="0.3">
      <c r="A17" s="5">
        <v>21453</v>
      </c>
      <c r="B17" s="55">
        <v>1.268716241173857E-3</v>
      </c>
      <c r="C17" s="2" t="s">
        <v>40</v>
      </c>
    </row>
    <row r="18" spans="1:3" x14ac:dyDescent="0.3">
      <c r="A18" s="5">
        <v>21539</v>
      </c>
      <c r="B18" s="55">
        <v>2.6639909400836752E-3</v>
      </c>
      <c r="C18" s="2" t="s">
        <v>40</v>
      </c>
    </row>
    <row r="19" spans="1:3" x14ac:dyDescent="0.3">
      <c r="A19" s="5">
        <v>22713</v>
      </c>
      <c r="B19" s="55">
        <v>7.4073109768798169E-3</v>
      </c>
      <c r="C19" s="2" t="s">
        <v>40</v>
      </c>
    </row>
    <row r="20" spans="1:3" x14ac:dyDescent="0.3">
      <c r="A20" s="5">
        <v>23461</v>
      </c>
      <c r="B20" s="55">
        <v>1.3889264193260734E-3</v>
      </c>
      <c r="C20" s="2" t="s">
        <v>40</v>
      </c>
    </row>
    <row r="21" spans="1:3" x14ac:dyDescent="0.3">
      <c r="A21" s="5">
        <v>23489</v>
      </c>
      <c r="B21" s="55">
        <v>2.9427518601934728E-3</v>
      </c>
      <c r="C21" s="2" t="s">
        <v>40</v>
      </c>
    </row>
    <row r="22" spans="1:3" x14ac:dyDescent="0.3">
      <c r="A22" s="5">
        <v>23853</v>
      </c>
      <c r="B22" s="55">
        <v>8.9052952094934197E-4</v>
      </c>
      <c r="C22" s="2" t="s">
        <v>40</v>
      </c>
    </row>
    <row r="23" spans="1:3" x14ac:dyDescent="0.3">
      <c r="A23" s="5">
        <v>24384</v>
      </c>
      <c r="B23" s="55">
        <v>2.1026918479944948E-3</v>
      </c>
      <c r="C23" s="2" t="s">
        <v>40</v>
      </c>
    </row>
    <row r="24" spans="1:3" x14ac:dyDescent="0.3">
      <c r="A24" s="5">
        <v>25140</v>
      </c>
      <c r="B24" s="55">
        <v>4.6806929323118035E-3</v>
      </c>
      <c r="C24" s="2" t="s">
        <v>40</v>
      </c>
    </row>
    <row r="25" spans="1:3" x14ac:dyDescent="0.3">
      <c r="A25" s="5">
        <v>25920</v>
      </c>
      <c r="B25" s="55">
        <v>-2.4750024750024749E-3</v>
      </c>
      <c r="C25" s="2" t="s">
        <v>40</v>
      </c>
    </row>
    <row r="26" spans="1:3" x14ac:dyDescent="0.3">
      <c r="A26" s="5">
        <v>26067</v>
      </c>
      <c r="B26" s="55">
        <v>3.2572737872501967E-3</v>
      </c>
      <c r="C26" s="2" t="s">
        <v>40</v>
      </c>
    </row>
    <row r="27" spans="1:3" x14ac:dyDescent="0.3">
      <c r="A27" s="5">
        <v>26103</v>
      </c>
      <c r="B27" s="55">
        <v>3.6277109484146308E-3</v>
      </c>
      <c r="C27" s="2" t="s">
        <v>40</v>
      </c>
    </row>
    <row r="28" spans="1:3" x14ac:dyDescent="0.3">
      <c r="A28" s="5">
        <v>26455</v>
      </c>
      <c r="B28" s="55">
        <v>-1.5755714445670778E-3</v>
      </c>
      <c r="C28" s="2" t="s">
        <v>40</v>
      </c>
    </row>
    <row r="29" spans="1:3" x14ac:dyDescent="0.3">
      <c r="A29" s="5">
        <v>26925</v>
      </c>
      <c r="B29" s="55">
        <v>9.7527544941747058E-5</v>
      </c>
      <c r="C29" s="2" t="s">
        <v>40</v>
      </c>
    </row>
    <row r="30" spans="1:3" x14ac:dyDescent="0.3">
      <c r="A30" s="5">
        <v>28498</v>
      </c>
      <c r="B30" s="55">
        <v>3.9565022381564839E-3</v>
      </c>
      <c r="C30" s="2" t="s">
        <v>40</v>
      </c>
    </row>
    <row r="31" spans="1:3" x14ac:dyDescent="0.3">
      <c r="A31" s="5">
        <v>29116</v>
      </c>
      <c r="B31" s="55">
        <v>3.2619275185675578E-3</v>
      </c>
      <c r="C31" s="2" t="s">
        <v>40</v>
      </c>
    </row>
    <row r="32" spans="1:3" x14ac:dyDescent="0.3">
      <c r="A32" s="5">
        <v>30214</v>
      </c>
      <c r="B32" s="55">
        <v>1.8382090319876945E-3</v>
      </c>
      <c r="C32" s="2" t="s">
        <v>40</v>
      </c>
    </row>
    <row r="33" spans="1:3" x14ac:dyDescent="0.3">
      <c r="A33" s="5">
        <v>30635</v>
      </c>
      <c r="B33" s="55">
        <v>6.3510173036698994E-2</v>
      </c>
      <c r="C33" s="2" t="s">
        <v>40</v>
      </c>
    </row>
    <row r="34" spans="1:3" x14ac:dyDescent="0.3">
      <c r="A34" s="5">
        <v>31853</v>
      </c>
      <c r="B34" s="55">
        <v>1.5147617822744291E-2</v>
      </c>
      <c r="C34" s="2" t="s">
        <v>40</v>
      </c>
    </row>
    <row r="35" spans="1:3" x14ac:dyDescent="0.3">
      <c r="A35" s="5">
        <v>37903</v>
      </c>
      <c r="B35" s="55">
        <v>4.3366318609156986E-3</v>
      </c>
      <c r="C35" s="2" t="s">
        <v>40</v>
      </c>
    </row>
    <row r="36" spans="1:3" x14ac:dyDescent="0.3">
      <c r="A36" s="5">
        <v>38452</v>
      </c>
      <c r="B36" s="55">
        <v>-3.4250669665215861E-4</v>
      </c>
      <c r="C36" s="2" t="s">
        <v>40</v>
      </c>
    </row>
    <row r="37" spans="1:3" x14ac:dyDescent="0.3">
      <c r="A37" s="5">
        <v>38610</v>
      </c>
      <c r="B37" s="55">
        <v>1.2276812319721568E-3</v>
      </c>
      <c r="C37" s="2" t="s">
        <v>40</v>
      </c>
    </row>
    <row r="38" spans="1:3" x14ac:dyDescent="0.3">
      <c r="A38" s="5">
        <v>39997</v>
      </c>
      <c r="B38" s="55">
        <v>2.1248528096751631E-4</v>
      </c>
      <c r="C38" s="2" t="s">
        <v>40</v>
      </c>
    </row>
    <row r="39" spans="1:3" x14ac:dyDescent="0.3">
      <c r="A39" s="5">
        <v>40323</v>
      </c>
      <c r="B39" s="55">
        <v>5.5005257855530306E-3</v>
      </c>
      <c r="C39" s="2" t="s">
        <v>40</v>
      </c>
    </row>
    <row r="40" spans="1:3" x14ac:dyDescent="0.3">
      <c r="A40" s="5">
        <v>40478</v>
      </c>
      <c r="B40" s="55">
        <v>4.6435400163889647E-3</v>
      </c>
      <c r="C40" s="2" t="s">
        <v>40</v>
      </c>
    </row>
    <row r="41" spans="1:3" x14ac:dyDescent="0.3">
      <c r="A41" s="5">
        <v>42307</v>
      </c>
      <c r="B41" s="55">
        <v>2.9088264703208797E-4</v>
      </c>
      <c r="C41" s="2" t="s">
        <v>40</v>
      </c>
    </row>
    <row r="42" spans="1:3" x14ac:dyDescent="0.3">
      <c r="A42" s="5">
        <v>42824</v>
      </c>
      <c r="B42" s="55">
        <v>1.8687212668142345E-2</v>
      </c>
      <c r="C42" s="2" t="s">
        <v>40</v>
      </c>
    </row>
    <row r="43" spans="1:3" x14ac:dyDescent="0.3">
      <c r="A43" s="5">
        <v>43420</v>
      </c>
      <c r="B43" s="55">
        <v>-4.9009939454794306E-4</v>
      </c>
      <c r="C43" s="2" t="s">
        <v>40</v>
      </c>
    </row>
    <row r="44" spans="1:3" x14ac:dyDescent="0.3">
      <c r="A44" s="5">
        <v>43836</v>
      </c>
      <c r="B44" s="55">
        <v>4.3810281972675247E-3</v>
      </c>
      <c r="C44" s="2" t="s">
        <v>40</v>
      </c>
    </row>
    <row r="45" spans="1:3" x14ac:dyDescent="0.3">
      <c r="A45" s="5">
        <v>45708</v>
      </c>
      <c r="B45" s="55">
        <v>1.3262186302564765E-3</v>
      </c>
      <c r="C45" s="2" t="s">
        <v>40</v>
      </c>
    </row>
    <row r="46" spans="1:3" x14ac:dyDescent="0.3">
      <c r="A46" s="5">
        <v>46670</v>
      </c>
      <c r="B46" s="55">
        <v>8.1535847453627231E-3</v>
      </c>
      <c r="C46" s="2" t="s">
        <v>40</v>
      </c>
    </row>
    <row r="47" spans="1:3" x14ac:dyDescent="0.3">
      <c r="A47" s="5">
        <v>47462</v>
      </c>
      <c r="B47" s="55">
        <v>2.0668041724136477E-4</v>
      </c>
      <c r="C47" s="2" t="s">
        <v>40</v>
      </c>
    </row>
    <row r="48" spans="1:3" x14ac:dyDescent="0.3">
      <c r="A48" s="5">
        <v>47502</v>
      </c>
      <c r="B48" s="55">
        <v>7.8202834584935772E-3</v>
      </c>
      <c r="C48" s="2" t="s">
        <v>40</v>
      </c>
    </row>
    <row r="49" spans="1:3" x14ac:dyDescent="0.3">
      <c r="A49" s="5">
        <v>47603</v>
      </c>
      <c r="B49" s="55">
        <v>1.0436528865268368E-2</v>
      </c>
      <c r="C49" s="2" t="s">
        <v>40</v>
      </c>
    </row>
    <row r="50" spans="1:3" x14ac:dyDescent="0.3">
      <c r="A50" s="5">
        <v>48419</v>
      </c>
      <c r="B50" s="55">
        <v>8.0965664826031301E-4</v>
      </c>
      <c r="C50" s="2" t="s">
        <v>40</v>
      </c>
    </row>
    <row r="51" spans="1:3" x14ac:dyDescent="0.3">
      <c r="A51" s="5">
        <v>49400</v>
      </c>
      <c r="B51" s="55">
        <v>1.1156186612576065E-3</v>
      </c>
      <c r="C51" s="2" t="s">
        <v>40</v>
      </c>
    </row>
    <row r="52" spans="1:3" x14ac:dyDescent="0.3">
      <c r="A52" s="5">
        <v>1083</v>
      </c>
      <c r="B52" s="55">
        <v>1.5758651286601596E-3</v>
      </c>
      <c r="C52" s="2" t="s">
        <v>30</v>
      </c>
    </row>
    <row r="53" spans="1:3" x14ac:dyDescent="0.3">
      <c r="A53" s="5">
        <v>1810</v>
      </c>
      <c r="B53" s="55">
        <v>5.9936417126309005E-3</v>
      </c>
      <c r="C53" s="2" t="s">
        <v>30</v>
      </c>
    </row>
    <row r="54" spans="1:3" x14ac:dyDescent="0.3">
      <c r="A54" s="5">
        <v>2293</v>
      </c>
      <c r="B54" s="55">
        <v>-2.3994481269308059E-3</v>
      </c>
      <c r="C54" s="2" t="s">
        <v>30</v>
      </c>
    </row>
    <row r="55" spans="1:3" x14ac:dyDescent="0.3">
      <c r="A55" s="5">
        <v>2436</v>
      </c>
      <c r="B55" s="55">
        <v>2.1195852212872357E-3</v>
      </c>
      <c r="C55" s="2" t="s">
        <v>30</v>
      </c>
    </row>
    <row r="56" spans="1:3" x14ac:dyDescent="0.3">
      <c r="A56" s="5">
        <v>3314</v>
      </c>
      <c r="B56" s="55">
        <v>7.7568587198256845E-3</v>
      </c>
      <c r="C56" s="2" t="s">
        <v>30</v>
      </c>
    </row>
    <row r="57" spans="1:3" x14ac:dyDescent="0.3">
      <c r="A57" s="5">
        <v>4313</v>
      </c>
      <c r="B57" s="55">
        <v>1.253515525127127E-2</v>
      </c>
      <c r="C57" s="2" t="s">
        <v>30</v>
      </c>
    </row>
    <row r="58" spans="1:3" x14ac:dyDescent="0.3">
      <c r="A58" s="5">
        <v>4683</v>
      </c>
      <c r="B58" s="55">
        <v>2.4359408109118751E-3</v>
      </c>
      <c r="C58" s="2" t="s">
        <v>30</v>
      </c>
    </row>
    <row r="59" spans="1:3" x14ac:dyDescent="0.3">
      <c r="A59" s="5">
        <v>5904</v>
      </c>
      <c r="B59" s="55">
        <v>3.0428616268120576E-3</v>
      </c>
      <c r="C59" s="2" t="s">
        <v>30</v>
      </c>
    </row>
    <row r="60" spans="1:3" x14ac:dyDescent="0.3">
      <c r="A60" s="5">
        <v>6296</v>
      </c>
      <c r="B60" s="55">
        <v>4.5873346287504706E-4</v>
      </c>
      <c r="C60" s="2" t="s">
        <v>30</v>
      </c>
    </row>
    <row r="61" spans="1:3" x14ac:dyDescent="0.3">
      <c r="A61" s="5">
        <v>9480</v>
      </c>
      <c r="B61" s="55">
        <v>1.6572027392586454E-3</v>
      </c>
      <c r="C61" s="2" t="s">
        <v>30</v>
      </c>
    </row>
    <row r="62" spans="1:3" x14ac:dyDescent="0.3">
      <c r="A62" s="5">
        <v>9566</v>
      </c>
      <c r="B62" s="55">
        <v>-5.2211602419375983E-4</v>
      </c>
      <c r="C62" s="2" t="s">
        <v>30</v>
      </c>
    </row>
    <row r="63" spans="1:3" x14ac:dyDescent="0.3">
      <c r="A63" s="5">
        <v>9920</v>
      </c>
      <c r="B63" s="55">
        <v>1.0517322049758936E-2</v>
      </c>
      <c r="C63" s="2" t="s">
        <v>30</v>
      </c>
    </row>
    <row r="64" spans="1:3" x14ac:dyDescent="0.3">
      <c r="A64" s="5">
        <v>10740</v>
      </c>
      <c r="B64" s="55">
        <v>1.1967386439556591E-2</v>
      </c>
      <c r="C64" s="2" t="s">
        <v>30</v>
      </c>
    </row>
    <row r="65" spans="1:3" x14ac:dyDescent="0.3">
      <c r="A65" s="5">
        <v>10825</v>
      </c>
      <c r="B65" s="55">
        <v>3.0720567989168156E-3</v>
      </c>
      <c r="C65" s="2" t="s">
        <v>30</v>
      </c>
    </row>
    <row r="66" spans="1:3" x14ac:dyDescent="0.3">
      <c r="A66" s="5">
        <v>11329</v>
      </c>
      <c r="B66" s="55">
        <v>1.9542790614208243E-3</v>
      </c>
      <c r="C66" s="2" t="s">
        <v>30</v>
      </c>
    </row>
    <row r="67" spans="1:3" x14ac:dyDescent="0.3">
      <c r="A67" s="5">
        <v>13116</v>
      </c>
      <c r="B67" s="55">
        <v>1.6622321237901201E-3</v>
      </c>
      <c r="C67" s="2" t="s">
        <v>30</v>
      </c>
    </row>
    <row r="68" spans="1:3" x14ac:dyDescent="0.3">
      <c r="A68" s="5">
        <v>14216</v>
      </c>
      <c r="B68" s="55">
        <v>3.4511059684624078E-3</v>
      </c>
      <c r="C68" s="2" t="s">
        <v>30</v>
      </c>
    </row>
    <row r="69" spans="1:3" x14ac:dyDescent="0.3">
      <c r="A69" s="5">
        <v>14548</v>
      </c>
      <c r="B69" s="55">
        <v>4.9282654051223049E-3</v>
      </c>
      <c r="C69" s="2" t="s">
        <v>30</v>
      </c>
    </row>
    <row r="70" spans="1:3" x14ac:dyDescent="0.3">
      <c r="A70" s="5">
        <v>15353</v>
      </c>
      <c r="B70" s="55">
        <v>2.2861730899256253E-2</v>
      </c>
      <c r="C70" s="2" t="s">
        <v>30</v>
      </c>
    </row>
    <row r="71" spans="1:3" x14ac:dyDescent="0.3">
      <c r="A71" s="5">
        <v>17328</v>
      </c>
      <c r="B71" s="55">
        <v>3.3557613568250698E-4</v>
      </c>
      <c r="C71" s="2" t="s">
        <v>30</v>
      </c>
    </row>
    <row r="72" spans="1:3" x14ac:dyDescent="0.3">
      <c r="A72" s="5">
        <v>18050</v>
      </c>
      <c r="B72" s="55">
        <v>1.7636832660385824E-2</v>
      </c>
      <c r="C72" s="2" t="s">
        <v>30</v>
      </c>
    </row>
    <row r="73" spans="1:3" x14ac:dyDescent="0.3">
      <c r="A73" s="5">
        <v>18693</v>
      </c>
      <c r="B73" s="55">
        <v>9.5802484827301332E-3</v>
      </c>
      <c r="C73" s="2" t="s">
        <v>30</v>
      </c>
    </row>
    <row r="74" spans="1:3" x14ac:dyDescent="0.3">
      <c r="A74" s="5">
        <v>20042</v>
      </c>
      <c r="B74" s="55">
        <v>3.5361871958419907E-3</v>
      </c>
      <c r="C74" s="2" t="s">
        <v>30</v>
      </c>
    </row>
    <row r="75" spans="1:3" x14ac:dyDescent="0.3">
      <c r="A75" s="5">
        <v>20692</v>
      </c>
      <c r="B75" s="55">
        <v>3.0759118725472716E-3</v>
      </c>
      <c r="C75" s="2" t="s">
        <v>30</v>
      </c>
    </row>
    <row r="76" spans="1:3" x14ac:dyDescent="0.3">
      <c r="A76" s="5">
        <v>21939</v>
      </c>
      <c r="B76" s="55">
        <v>7.4222825979957871E-3</v>
      </c>
      <c r="C76" s="2" t="s">
        <v>30</v>
      </c>
    </row>
    <row r="77" spans="1:3" x14ac:dyDescent="0.3">
      <c r="A77" s="5">
        <v>22724</v>
      </c>
      <c r="B77" s="55">
        <v>5.0721615839286359E-3</v>
      </c>
      <c r="C77" s="2" t="s">
        <v>30</v>
      </c>
    </row>
    <row r="78" spans="1:3" x14ac:dyDescent="0.3">
      <c r="A78" s="5">
        <v>22728</v>
      </c>
      <c r="B78" s="55">
        <v>2.8717173625543171E-2</v>
      </c>
      <c r="C78" s="2" t="s">
        <v>30</v>
      </c>
    </row>
    <row r="79" spans="1:3" x14ac:dyDescent="0.3">
      <c r="A79" s="5">
        <v>23140</v>
      </c>
      <c r="B79" s="55">
        <v>2.2667798288422093E-3</v>
      </c>
      <c r="C79" s="2" t="s">
        <v>30</v>
      </c>
    </row>
    <row r="80" spans="1:3" x14ac:dyDescent="0.3">
      <c r="A80" s="5">
        <v>24913</v>
      </c>
      <c r="B80" s="55">
        <v>3.5456226214689766E-3</v>
      </c>
      <c r="C80" s="2" t="s">
        <v>30</v>
      </c>
    </row>
    <row r="81" spans="1:3" x14ac:dyDescent="0.3">
      <c r="A81" s="5">
        <v>25525</v>
      </c>
      <c r="B81" s="55">
        <v>-4.6464109274628077E-4</v>
      </c>
      <c r="C81" s="2" t="s">
        <v>30</v>
      </c>
    </row>
    <row r="82" spans="1:3" x14ac:dyDescent="0.3">
      <c r="A82" s="5">
        <v>26663</v>
      </c>
      <c r="B82" s="55">
        <v>4.1581361392816901E-3</v>
      </c>
      <c r="C82" s="2" t="s">
        <v>30</v>
      </c>
    </row>
    <row r="83" spans="1:3" x14ac:dyDescent="0.3">
      <c r="A83" s="5">
        <v>29533</v>
      </c>
      <c r="B83" s="55">
        <v>-9.5914811987394058E-4</v>
      </c>
      <c r="C83" s="2" t="s">
        <v>30</v>
      </c>
    </row>
    <row r="84" spans="1:3" x14ac:dyDescent="0.3">
      <c r="A84" s="5">
        <v>30575</v>
      </c>
      <c r="B84" s="55">
        <v>2.7682576721248606E-3</v>
      </c>
      <c r="C84" s="2" t="s">
        <v>30</v>
      </c>
    </row>
    <row r="85" spans="1:3" x14ac:dyDescent="0.3">
      <c r="A85" s="5">
        <v>32478</v>
      </c>
      <c r="B85" s="55">
        <v>7.3371064356504961E-4</v>
      </c>
      <c r="C85" s="2" t="s">
        <v>30</v>
      </c>
    </row>
    <row r="86" spans="1:3" x14ac:dyDescent="0.3">
      <c r="A86" s="5">
        <v>33381</v>
      </c>
      <c r="B86" s="55">
        <v>4.1995793722733989E-3</v>
      </c>
      <c r="C86" s="2" t="s">
        <v>30</v>
      </c>
    </row>
    <row r="87" spans="1:3" x14ac:dyDescent="0.3">
      <c r="A87" s="5">
        <v>33799</v>
      </c>
      <c r="B87" s="55">
        <v>5.1052298518124532E-3</v>
      </c>
      <c r="C87" s="2" t="s">
        <v>30</v>
      </c>
    </row>
    <row r="88" spans="1:3" x14ac:dyDescent="0.3">
      <c r="A88" s="5">
        <v>35501</v>
      </c>
      <c r="B88" s="55">
        <v>2.335271198731579E-4</v>
      </c>
      <c r="C88" s="2" t="s">
        <v>30</v>
      </c>
    </row>
    <row r="89" spans="1:3" x14ac:dyDescent="0.3">
      <c r="A89" s="5">
        <v>36103</v>
      </c>
      <c r="B89" s="55">
        <v>3.8511033114748661E-3</v>
      </c>
      <c r="C89" s="2" t="s">
        <v>30</v>
      </c>
    </row>
    <row r="90" spans="1:3" x14ac:dyDescent="0.3">
      <c r="A90" s="5">
        <v>36397</v>
      </c>
      <c r="B90" s="55">
        <v>3.1501331857780751E-3</v>
      </c>
      <c r="C90" s="2" t="s">
        <v>30</v>
      </c>
    </row>
    <row r="91" spans="1:3" x14ac:dyDescent="0.3">
      <c r="A91" s="5">
        <v>36484</v>
      </c>
      <c r="B91" s="55">
        <v>2.5430053699827069E-2</v>
      </c>
      <c r="C91" s="2" t="s">
        <v>30</v>
      </c>
    </row>
    <row r="92" spans="1:3" x14ac:dyDescent="0.3">
      <c r="A92" s="5">
        <v>37132</v>
      </c>
      <c r="B92" s="55">
        <v>1.9361810704529763E-3</v>
      </c>
      <c r="C92" s="2" t="s">
        <v>30</v>
      </c>
    </row>
    <row r="93" spans="1:3" x14ac:dyDescent="0.3">
      <c r="A93" s="5">
        <v>37829</v>
      </c>
      <c r="B93" s="55">
        <v>1.2306082974775983E-2</v>
      </c>
      <c r="C93" s="2" t="s">
        <v>30</v>
      </c>
    </row>
    <row r="94" spans="1:3" x14ac:dyDescent="0.3">
      <c r="A94" s="5">
        <v>41215</v>
      </c>
      <c r="B94" s="55">
        <v>1.0000908202133741E-2</v>
      </c>
      <c r="C94" s="2" t="s">
        <v>30</v>
      </c>
    </row>
    <row r="95" spans="1:3" x14ac:dyDescent="0.3">
      <c r="A95" s="5">
        <v>43122</v>
      </c>
      <c r="B95" s="55">
        <v>4.0971536250166149E-3</v>
      </c>
      <c r="C95" s="2" t="s">
        <v>30</v>
      </c>
    </row>
    <row r="96" spans="1:3" x14ac:dyDescent="0.3">
      <c r="A96" s="5">
        <v>44097</v>
      </c>
      <c r="B96" s="55">
        <v>2.1291007252180398E-3</v>
      </c>
      <c r="C96" s="2" t="s">
        <v>30</v>
      </c>
    </row>
    <row r="97" spans="1:3" x14ac:dyDescent="0.3">
      <c r="A97" s="5">
        <v>47101</v>
      </c>
      <c r="B97" s="55">
        <v>2.7085701202809553E-3</v>
      </c>
      <c r="C97" s="2" t="s">
        <v>30</v>
      </c>
    </row>
    <row r="98" spans="1:3" x14ac:dyDescent="0.3">
      <c r="A98" s="5">
        <v>47812</v>
      </c>
      <c r="B98" s="55">
        <v>1.7550345364335054E-2</v>
      </c>
      <c r="C98" s="2" t="s">
        <v>30</v>
      </c>
    </row>
    <row r="99" spans="1:3" x14ac:dyDescent="0.3">
      <c r="A99" s="5">
        <v>49077</v>
      </c>
      <c r="B99" s="55">
        <v>1.2636715002329981E-3</v>
      </c>
      <c r="C99" s="2" t="s">
        <v>30</v>
      </c>
    </row>
    <row r="100" spans="1:3" x14ac:dyDescent="0.3">
      <c r="A100" s="5">
        <v>49303</v>
      </c>
      <c r="B100" s="55">
        <v>8.0371168669857163E-4</v>
      </c>
      <c r="C100" s="2" t="s">
        <v>30</v>
      </c>
    </row>
    <row r="101" spans="1:3" x14ac:dyDescent="0.3">
      <c r="A101" s="5">
        <v>49772</v>
      </c>
      <c r="B101" s="55">
        <v>1.0867503398564699E-2</v>
      </c>
      <c r="C101" s="2" t="s">
        <v>30</v>
      </c>
    </row>
    <row r="102" spans="1:3" x14ac:dyDescent="0.3">
      <c r="A102" s="5">
        <v>26752</v>
      </c>
      <c r="B102" s="55">
        <v>2.826320879360366E-3</v>
      </c>
      <c r="C102" s="2" t="s">
        <v>13</v>
      </c>
    </row>
    <row r="103" spans="1:3" x14ac:dyDescent="0.3">
      <c r="A103" s="5">
        <v>8912</v>
      </c>
      <c r="B103" s="55">
        <v>7.3128442639386348E-4</v>
      </c>
      <c r="C103" s="2" t="s">
        <v>13</v>
      </c>
    </row>
    <row r="104" spans="1:3" x14ac:dyDescent="0.3">
      <c r="A104" s="5">
        <v>22482</v>
      </c>
      <c r="B104" s="55">
        <v>1.0551445425805821E-2</v>
      </c>
      <c r="C104" s="2" t="s">
        <v>13</v>
      </c>
    </row>
    <row r="105" spans="1:3" x14ac:dyDescent="0.3">
      <c r="A105" s="5">
        <v>31280</v>
      </c>
      <c r="B105" s="55">
        <v>2.798060458211721E-3</v>
      </c>
      <c r="C105" s="2" t="s">
        <v>13</v>
      </c>
    </row>
    <row r="106" spans="1:3" x14ac:dyDescent="0.3">
      <c r="A106" s="5">
        <v>5914</v>
      </c>
      <c r="B106" s="55">
        <v>4.3037693661692649E-3</v>
      </c>
      <c r="C106" s="2" t="s">
        <v>13</v>
      </c>
    </row>
    <row r="107" spans="1:3" x14ac:dyDescent="0.3">
      <c r="A107" s="5">
        <v>2932</v>
      </c>
      <c r="B107" s="55">
        <v>1.40324773607655E-3</v>
      </c>
      <c r="C107" s="2" t="s">
        <v>13</v>
      </c>
    </row>
    <row r="108" spans="1:3" x14ac:dyDescent="0.3">
      <c r="A108" s="5">
        <v>32393</v>
      </c>
      <c r="B108" s="55">
        <v>1.8982132901478749E-3</v>
      </c>
      <c r="C108" s="2" t="s">
        <v>13</v>
      </c>
    </row>
    <row r="109" spans="1:3" x14ac:dyDescent="0.3">
      <c r="A109" s="5">
        <v>32763</v>
      </c>
      <c r="B109" s="55">
        <v>6.6371458255580548E-3</v>
      </c>
      <c r="C109" s="2" t="s">
        <v>13</v>
      </c>
    </row>
    <row r="110" spans="1:3" x14ac:dyDescent="0.3">
      <c r="A110" s="5">
        <v>39272</v>
      </c>
      <c r="B110" s="55">
        <v>5.1986619096302169E-3</v>
      </c>
      <c r="C110" s="2" t="s">
        <v>13</v>
      </c>
    </row>
    <row r="111" spans="1:3" x14ac:dyDescent="0.3">
      <c r="A111" s="5">
        <v>12384</v>
      </c>
      <c r="B111" s="55">
        <v>7.2889860753698943E-4</v>
      </c>
      <c r="C111" s="2" t="s">
        <v>13</v>
      </c>
    </row>
    <row r="112" spans="1:3" x14ac:dyDescent="0.3">
      <c r="A112" s="5">
        <v>33258</v>
      </c>
      <c r="B112" s="55">
        <v>8.5080354946042954E-5</v>
      </c>
      <c r="C112" s="2" t="s">
        <v>13</v>
      </c>
    </row>
    <row r="113" spans="1:3" x14ac:dyDescent="0.3">
      <c r="A113" s="5">
        <v>22206</v>
      </c>
      <c r="B113" s="55">
        <v>8.825634093981077E-3</v>
      </c>
      <c r="C113" s="2" t="s">
        <v>13</v>
      </c>
    </row>
    <row r="114" spans="1:3" x14ac:dyDescent="0.3">
      <c r="A114" s="5">
        <v>9942</v>
      </c>
      <c r="B114" s="55">
        <v>6.5914381026955706E-3</v>
      </c>
      <c r="C114" s="2" t="s">
        <v>13</v>
      </c>
    </row>
    <row r="115" spans="1:3" x14ac:dyDescent="0.3">
      <c r="A115" s="5">
        <v>25797</v>
      </c>
      <c r="B115" s="55">
        <v>6.1798299135137512E-4</v>
      </c>
      <c r="C115" s="2" t="s">
        <v>13</v>
      </c>
    </row>
    <row r="116" spans="1:3" x14ac:dyDescent="0.3">
      <c r="A116" s="5">
        <v>15476</v>
      </c>
      <c r="B116" s="55">
        <v>5.990134708914012E-4</v>
      </c>
      <c r="C116" s="2" t="s">
        <v>13</v>
      </c>
    </row>
    <row r="117" spans="1:3" x14ac:dyDescent="0.3">
      <c r="A117" s="5">
        <v>30270</v>
      </c>
      <c r="B117" s="55">
        <v>2.8673012960201858E-3</v>
      </c>
      <c r="C117" s="2" t="s">
        <v>13</v>
      </c>
    </row>
    <row r="118" spans="1:3" x14ac:dyDescent="0.3">
      <c r="A118" s="5">
        <v>24018</v>
      </c>
      <c r="B118" s="55">
        <v>6.2566104068286429E-3</v>
      </c>
      <c r="C118" s="2" t="s">
        <v>13</v>
      </c>
    </row>
    <row r="119" spans="1:3" x14ac:dyDescent="0.3">
      <c r="A119" s="5">
        <v>12148</v>
      </c>
      <c r="B119" s="55">
        <v>9.2287307798970819E-3</v>
      </c>
      <c r="C119" s="2" t="s">
        <v>13</v>
      </c>
    </row>
    <row r="120" spans="1:3" x14ac:dyDescent="0.3">
      <c r="A120" s="5">
        <v>4509</v>
      </c>
      <c r="B120" s="55">
        <v>2.2456063766826309E-4</v>
      </c>
      <c r="C120" s="2" t="s">
        <v>13</v>
      </c>
    </row>
    <row r="121" spans="1:3" x14ac:dyDescent="0.3">
      <c r="A121" s="5">
        <v>33174</v>
      </c>
      <c r="B121" s="55">
        <v>-6.456361452939582E-5</v>
      </c>
      <c r="C121" s="2" t="s">
        <v>13</v>
      </c>
    </row>
    <row r="122" spans="1:3" x14ac:dyDescent="0.3">
      <c r="A122" s="5">
        <v>21208</v>
      </c>
      <c r="B122" s="55">
        <v>2.4623771231227277E-3</v>
      </c>
      <c r="C122" s="2" t="s">
        <v>13</v>
      </c>
    </row>
    <row r="123" spans="1:3" x14ac:dyDescent="0.3">
      <c r="A123" s="5">
        <v>15827</v>
      </c>
      <c r="B123" s="55">
        <v>1.5381417584701726E-4</v>
      </c>
      <c r="C123" s="2" t="s">
        <v>13</v>
      </c>
    </row>
    <row r="124" spans="1:3" x14ac:dyDescent="0.3">
      <c r="A124" s="5">
        <v>36095</v>
      </c>
      <c r="B124" s="55">
        <v>3.6508153411678964E-3</v>
      </c>
      <c r="C124" s="2" t="s">
        <v>13</v>
      </c>
    </row>
    <row r="125" spans="1:3" x14ac:dyDescent="0.3">
      <c r="A125" s="5">
        <v>30428</v>
      </c>
      <c r="B125" s="55">
        <v>1.3172212358971423E-2</v>
      </c>
      <c r="C125" s="2" t="s">
        <v>13</v>
      </c>
    </row>
    <row r="126" spans="1:3" x14ac:dyDescent="0.3">
      <c r="A126" s="5">
        <v>5391</v>
      </c>
      <c r="B126" s="55">
        <v>9.1277744844858602E-4</v>
      </c>
      <c r="C126" s="2" t="s">
        <v>13</v>
      </c>
    </row>
    <row r="127" spans="1:3" x14ac:dyDescent="0.3">
      <c r="A127" s="5">
        <v>39530</v>
      </c>
      <c r="B127" s="55">
        <v>1.1079079758069075E-3</v>
      </c>
      <c r="C127" s="2" t="s">
        <v>13</v>
      </c>
    </row>
    <row r="128" spans="1:3" x14ac:dyDescent="0.3">
      <c r="A128" s="5">
        <v>3455</v>
      </c>
      <c r="B128" s="55">
        <v>3.7850431101244257E-3</v>
      </c>
      <c r="C128" s="2" t="s">
        <v>13</v>
      </c>
    </row>
    <row r="129" spans="1:3" x14ac:dyDescent="0.3">
      <c r="A129" s="5">
        <v>20861</v>
      </c>
      <c r="B129" s="55">
        <v>8.3806473528412681E-2</v>
      </c>
      <c r="C129" s="2" t="s">
        <v>13</v>
      </c>
    </row>
    <row r="130" spans="1:3" x14ac:dyDescent="0.3">
      <c r="A130" s="5">
        <v>13316</v>
      </c>
      <c r="B130" s="55">
        <v>4.1536387893013997E-3</v>
      </c>
      <c r="C130" s="2" t="s">
        <v>13</v>
      </c>
    </row>
    <row r="131" spans="1:3" x14ac:dyDescent="0.3">
      <c r="A131" s="5">
        <v>35359</v>
      </c>
      <c r="B131" s="55">
        <v>1.1230414576116569E-2</v>
      </c>
      <c r="C131" s="2" t="s">
        <v>13</v>
      </c>
    </row>
    <row r="132" spans="1:3" x14ac:dyDescent="0.3">
      <c r="A132" s="5">
        <v>9118</v>
      </c>
      <c r="B132" s="55">
        <v>5.5634189738421064E-3</v>
      </c>
      <c r="C132" s="2" t="s">
        <v>13</v>
      </c>
    </row>
    <row r="133" spans="1:3" x14ac:dyDescent="0.3">
      <c r="A133" s="5">
        <v>2798</v>
      </c>
      <c r="B133" s="55">
        <v>3.2008104408927781E-3</v>
      </c>
      <c r="C133" s="2" t="s">
        <v>13</v>
      </c>
    </row>
    <row r="134" spans="1:3" x14ac:dyDescent="0.3">
      <c r="A134" s="5">
        <v>12350</v>
      </c>
      <c r="B134" s="55">
        <v>-2.9514486693885583E-4</v>
      </c>
      <c r="C134" s="2" t="s">
        <v>13</v>
      </c>
    </row>
    <row r="135" spans="1:3" x14ac:dyDescent="0.3">
      <c r="A135" s="5">
        <v>45380</v>
      </c>
      <c r="B135" s="55">
        <v>7.1621491270377159E-3</v>
      </c>
      <c r="C135" s="2" t="s">
        <v>13</v>
      </c>
    </row>
    <row r="136" spans="1:3" x14ac:dyDescent="0.3">
      <c r="A136" s="5">
        <v>19119</v>
      </c>
      <c r="B136" s="55">
        <v>5.4309533874905263E-3</v>
      </c>
      <c r="C136" s="2" t="s">
        <v>13</v>
      </c>
    </row>
    <row r="137" spans="1:3" x14ac:dyDescent="0.3">
      <c r="A137" s="5">
        <v>48270</v>
      </c>
      <c r="B137" s="55">
        <v>3.2046588643454949E-3</v>
      </c>
      <c r="C137" s="2" t="s">
        <v>13</v>
      </c>
    </row>
    <row r="138" spans="1:3" x14ac:dyDescent="0.3">
      <c r="A138" s="5">
        <v>42832</v>
      </c>
      <c r="B138" s="55">
        <v>9.4958208908059605E-3</v>
      </c>
      <c r="C138" s="2" t="s">
        <v>13</v>
      </c>
    </row>
    <row r="139" spans="1:3" x14ac:dyDescent="0.3">
      <c r="A139" s="5">
        <v>37636</v>
      </c>
      <c r="B139" s="55">
        <v>-2.5410691720235154E-4</v>
      </c>
      <c r="C139" s="2" t="s">
        <v>13</v>
      </c>
    </row>
    <row r="140" spans="1:3" x14ac:dyDescent="0.3">
      <c r="A140" s="5">
        <v>8718</v>
      </c>
      <c r="B140" s="55">
        <v>2.2333891680625349E-3</v>
      </c>
      <c r="C140" s="2" t="s">
        <v>13</v>
      </c>
    </row>
    <row r="141" spans="1:3" x14ac:dyDescent="0.3">
      <c r="A141" s="5">
        <v>10002</v>
      </c>
      <c r="B141" s="55">
        <v>1.9268070513850934E-3</v>
      </c>
      <c r="C141" s="2" t="s">
        <v>13</v>
      </c>
    </row>
    <row r="142" spans="1:3" x14ac:dyDescent="0.3">
      <c r="A142" s="5">
        <v>14722</v>
      </c>
      <c r="B142" s="55">
        <v>0.10825114265095021</v>
      </c>
      <c r="C142" s="2" t="s">
        <v>13</v>
      </c>
    </row>
    <row r="143" spans="1:3" x14ac:dyDescent="0.3">
      <c r="A143" s="5">
        <v>14068</v>
      </c>
      <c r="B143" s="55">
        <v>6.9173294769824048E-2</v>
      </c>
      <c r="C143" s="2" t="s">
        <v>13</v>
      </c>
    </row>
    <row r="144" spans="1:3" x14ac:dyDescent="0.3">
      <c r="A144" s="5">
        <v>21061</v>
      </c>
      <c r="B144" s="55">
        <v>1.3832962243592781E-3</v>
      </c>
      <c r="C144" s="2" t="s">
        <v>13</v>
      </c>
    </row>
    <row r="145" spans="1:3" x14ac:dyDescent="0.3">
      <c r="A145" s="5">
        <v>11805</v>
      </c>
      <c r="B145" s="55">
        <v>8.4497101083942528E-3</v>
      </c>
      <c r="C145" s="2" t="s">
        <v>13</v>
      </c>
    </row>
    <row r="146" spans="1:3" x14ac:dyDescent="0.3">
      <c r="A146" s="5">
        <v>42964</v>
      </c>
      <c r="B146" s="55">
        <v>3.4032917638311531E-2</v>
      </c>
      <c r="C146" s="2" t="s">
        <v>13</v>
      </c>
    </row>
    <row r="147" spans="1:3" x14ac:dyDescent="0.3">
      <c r="A147" s="5">
        <v>11035</v>
      </c>
      <c r="B147" s="55">
        <v>3.7191155522184875E-4</v>
      </c>
      <c r="C147" s="2" t="s">
        <v>13</v>
      </c>
    </row>
    <row r="148" spans="1:3" x14ac:dyDescent="0.3">
      <c r="A148" s="5">
        <v>8471</v>
      </c>
      <c r="B148" s="55">
        <v>2.2734693021737242E-3</v>
      </c>
      <c r="C148" s="2" t="s">
        <v>13</v>
      </c>
    </row>
    <row r="149" spans="1:3" x14ac:dyDescent="0.3">
      <c r="A149" s="5">
        <v>32500</v>
      </c>
      <c r="B149" s="55">
        <v>1.9454574184929272E-3</v>
      </c>
      <c r="C149" s="2" t="s">
        <v>13</v>
      </c>
    </row>
    <row r="150" spans="1:3" x14ac:dyDescent="0.3">
      <c r="A150" s="5">
        <v>16149</v>
      </c>
      <c r="B150" s="55">
        <v>3.1174901520344203E-3</v>
      </c>
      <c r="C150" s="2" t="s">
        <v>13</v>
      </c>
    </row>
    <row r="151" spans="1:3" x14ac:dyDescent="0.3">
      <c r="A151" s="5">
        <v>4007</v>
      </c>
      <c r="B151" s="55">
        <v>5.8952701962314107E-4</v>
      </c>
      <c r="C151" s="2" t="s">
        <v>13</v>
      </c>
    </row>
    <row r="152" spans="1:3" x14ac:dyDescent="0.3">
      <c r="A152" s="5">
        <v>30671</v>
      </c>
      <c r="B152" s="55">
        <v>2.7557542170624167E-3</v>
      </c>
      <c r="C152" s="2" t="s">
        <v>24</v>
      </c>
    </row>
    <row r="153" spans="1:3" x14ac:dyDescent="0.3">
      <c r="A153" s="5">
        <v>21205</v>
      </c>
      <c r="B153" s="55">
        <v>2.4016739232334168E-3</v>
      </c>
      <c r="C153" s="2" t="s">
        <v>24</v>
      </c>
    </row>
    <row r="154" spans="1:3" x14ac:dyDescent="0.3">
      <c r="A154" s="5">
        <v>24313</v>
      </c>
      <c r="B154" s="55">
        <v>8.80238003818718E-4</v>
      </c>
      <c r="C154" s="2" t="s">
        <v>24</v>
      </c>
    </row>
    <row r="155" spans="1:3" x14ac:dyDescent="0.3">
      <c r="A155" s="5">
        <v>1783</v>
      </c>
      <c r="B155" s="55">
        <v>-2.8860773750305035E-4</v>
      </c>
      <c r="C155" s="2" t="s">
        <v>24</v>
      </c>
    </row>
    <row r="156" spans="1:3" x14ac:dyDescent="0.3">
      <c r="A156" s="5">
        <v>30060</v>
      </c>
      <c r="B156" s="55">
        <v>8.0050669434719116E-4</v>
      </c>
      <c r="C156" s="2" t="s">
        <v>24</v>
      </c>
    </row>
    <row r="157" spans="1:3" x14ac:dyDescent="0.3">
      <c r="A157" s="5">
        <v>15071</v>
      </c>
      <c r="B157" s="55">
        <v>2.1994574101175039E-3</v>
      </c>
      <c r="C157" s="2" t="s">
        <v>24</v>
      </c>
    </row>
    <row r="158" spans="1:3" x14ac:dyDescent="0.3">
      <c r="A158" s="5">
        <v>28474</v>
      </c>
      <c r="B158" s="55">
        <v>1.0211701333265254E-3</v>
      </c>
      <c r="C158" s="2" t="s">
        <v>24</v>
      </c>
    </row>
    <row r="159" spans="1:3" x14ac:dyDescent="0.3">
      <c r="A159" s="5">
        <v>26452</v>
      </c>
      <c r="B159" s="55">
        <v>1.0340418313957282E-3</v>
      </c>
      <c r="C159" s="2" t="s">
        <v>24</v>
      </c>
    </row>
    <row r="160" spans="1:3" x14ac:dyDescent="0.3">
      <c r="A160" s="5">
        <v>16804</v>
      </c>
      <c r="B160" s="55">
        <v>7.600121601945631E-3</v>
      </c>
      <c r="C160" s="2" t="s">
        <v>24</v>
      </c>
    </row>
    <row r="161" spans="1:3" x14ac:dyDescent="0.3">
      <c r="A161" s="5">
        <v>49372</v>
      </c>
      <c r="B161" s="55">
        <v>9.9485420240137223E-4</v>
      </c>
      <c r="C161" s="2" t="s">
        <v>24</v>
      </c>
    </row>
    <row r="162" spans="1:3" x14ac:dyDescent="0.3">
      <c r="A162" s="5">
        <v>6915</v>
      </c>
      <c r="B162" s="55">
        <v>1.011348268360087E-2</v>
      </c>
      <c r="C162" s="2" t="s">
        <v>24</v>
      </c>
    </row>
    <row r="163" spans="1:3" x14ac:dyDescent="0.3">
      <c r="A163" s="5">
        <v>10283</v>
      </c>
      <c r="B163" s="55">
        <v>2.1728440241071327E-3</v>
      </c>
      <c r="C163" s="2" t="s">
        <v>24</v>
      </c>
    </row>
    <row r="164" spans="1:3" x14ac:dyDescent="0.3">
      <c r="A164" s="5">
        <v>32929</v>
      </c>
      <c r="B164" s="55">
        <v>1.1713324743561855E-4</v>
      </c>
      <c r="C164" s="2" t="s">
        <v>24</v>
      </c>
    </row>
    <row r="165" spans="1:3" x14ac:dyDescent="0.3">
      <c r="A165" s="5">
        <v>12646</v>
      </c>
      <c r="B165" s="55">
        <v>8.9764429025449434E-4</v>
      </c>
      <c r="C165" s="2" t="s">
        <v>24</v>
      </c>
    </row>
    <row r="166" spans="1:3" x14ac:dyDescent="0.3">
      <c r="A166" s="5">
        <v>10217</v>
      </c>
      <c r="B166" s="55">
        <v>1.7032345973398571E-2</v>
      </c>
      <c r="C166" s="2" t="s">
        <v>24</v>
      </c>
    </row>
    <row r="167" spans="1:3" x14ac:dyDescent="0.3">
      <c r="A167" s="5">
        <v>5442</v>
      </c>
      <c r="B167" s="55">
        <v>-2.6681341404439108E-4</v>
      </c>
      <c r="C167" s="2" t="s">
        <v>24</v>
      </c>
    </row>
    <row r="168" spans="1:3" x14ac:dyDescent="0.3">
      <c r="A168" s="5">
        <v>38883</v>
      </c>
      <c r="B168" s="55">
        <v>1.592351646960128E-2</v>
      </c>
      <c r="C168" s="2" t="s">
        <v>24</v>
      </c>
    </row>
    <row r="169" spans="1:3" x14ac:dyDescent="0.3">
      <c r="A169" s="5">
        <v>36851</v>
      </c>
      <c r="B169" s="55">
        <v>1.8079694785926241E-2</v>
      </c>
      <c r="C169" s="2" t="s">
        <v>24</v>
      </c>
    </row>
    <row r="170" spans="1:3" x14ac:dyDescent="0.3">
      <c r="A170" s="5">
        <v>27822</v>
      </c>
      <c r="B170" s="55">
        <v>1.0019784829366461E-3</v>
      </c>
      <c r="C170" s="2" t="s">
        <v>24</v>
      </c>
    </row>
    <row r="171" spans="1:3" x14ac:dyDescent="0.3">
      <c r="A171" s="5">
        <v>6742</v>
      </c>
      <c r="B171" s="55">
        <v>1.8425729749269497E-3</v>
      </c>
      <c r="C171" s="2" t="s">
        <v>24</v>
      </c>
    </row>
    <row r="172" spans="1:3" x14ac:dyDescent="0.3">
      <c r="A172" s="5">
        <v>44321</v>
      </c>
      <c r="B172" s="55">
        <v>5.7763419096181542E-3</v>
      </c>
      <c r="C172" s="2" t="s">
        <v>24</v>
      </c>
    </row>
    <row r="173" spans="1:3" x14ac:dyDescent="0.3">
      <c r="A173" s="5">
        <v>46643</v>
      </c>
      <c r="B173" s="55">
        <v>5.4180958515762179E-3</v>
      </c>
      <c r="C173" s="2" t="s">
        <v>24</v>
      </c>
    </row>
    <row r="174" spans="1:3" x14ac:dyDescent="0.3">
      <c r="A174" s="5">
        <v>16443</v>
      </c>
      <c r="B174" s="55">
        <v>4.0317597627286209E-3</v>
      </c>
      <c r="C174" s="2" t="s">
        <v>24</v>
      </c>
    </row>
    <row r="175" spans="1:3" x14ac:dyDescent="0.3">
      <c r="A175" s="5">
        <v>9269</v>
      </c>
      <c r="B175" s="55">
        <v>2.8821299683708945E-3</v>
      </c>
      <c r="C175" s="2" t="s">
        <v>24</v>
      </c>
    </row>
    <row r="176" spans="1:3" x14ac:dyDescent="0.3">
      <c r="A176" s="5">
        <v>22373</v>
      </c>
      <c r="B176" s="55">
        <v>1.9887634863023914E-4</v>
      </c>
      <c r="C176" s="2" t="s">
        <v>24</v>
      </c>
    </row>
    <row r="177" spans="1:3" x14ac:dyDescent="0.3">
      <c r="A177" s="5">
        <v>37876</v>
      </c>
      <c r="B177" s="55">
        <v>1.4152074838090669E-2</v>
      </c>
      <c r="C177" s="2" t="s">
        <v>24</v>
      </c>
    </row>
    <row r="178" spans="1:3" x14ac:dyDescent="0.3">
      <c r="A178" s="5">
        <v>40888</v>
      </c>
      <c r="B178" s="55">
        <v>1.3151115811166245E-3</v>
      </c>
      <c r="C178" s="2" t="s">
        <v>24</v>
      </c>
    </row>
    <row r="179" spans="1:3" x14ac:dyDescent="0.3">
      <c r="A179" s="5">
        <v>46625</v>
      </c>
      <c r="B179" s="55">
        <v>1.2679964770499277E-3</v>
      </c>
      <c r="C179" s="2" t="s">
        <v>24</v>
      </c>
    </row>
    <row r="180" spans="1:3" x14ac:dyDescent="0.3">
      <c r="A180" s="5">
        <v>49558</v>
      </c>
      <c r="B180" s="55">
        <v>1.7917737946946315E-3</v>
      </c>
      <c r="C180" s="2" t="s">
        <v>24</v>
      </c>
    </row>
    <row r="181" spans="1:3" x14ac:dyDescent="0.3">
      <c r="A181" s="5">
        <v>14154</v>
      </c>
      <c r="B181" s="55">
        <v>6.3113158835445049E-2</v>
      </c>
      <c r="C181" s="2" t="s">
        <v>24</v>
      </c>
    </row>
    <row r="182" spans="1:3" x14ac:dyDescent="0.3">
      <c r="A182" s="5">
        <v>39931</v>
      </c>
      <c r="B182" s="55">
        <v>1.0669005078738719E-2</v>
      </c>
      <c r="C182" s="2" t="s">
        <v>24</v>
      </c>
    </row>
    <row r="183" spans="1:3" x14ac:dyDescent="0.3">
      <c r="A183" s="5">
        <v>15045</v>
      </c>
      <c r="B183" s="55">
        <v>8.8669950738916262E-3</v>
      </c>
      <c r="C183" s="2" t="s">
        <v>24</v>
      </c>
    </row>
    <row r="184" spans="1:3" x14ac:dyDescent="0.3">
      <c r="A184" s="5">
        <v>40868</v>
      </c>
      <c r="B184" s="55">
        <v>6.2409087760615087E-2</v>
      </c>
      <c r="C184" s="2" t="s">
        <v>24</v>
      </c>
    </row>
    <row r="185" spans="1:3" x14ac:dyDescent="0.3">
      <c r="A185" s="5">
        <v>7705</v>
      </c>
      <c r="B185" s="55">
        <v>2.1486931256659019E-3</v>
      </c>
      <c r="C185" s="2" t="s">
        <v>24</v>
      </c>
    </row>
    <row r="186" spans="1:3" x14ac:dyDescent="0.3">
      <c r="A186" s="5">
        <v>43999</v>
      </c>
      <c r="B186" s="55">
        <v>2.6534161921203288E-3</v>
      </c>
      <c r="C186" s="2" t="s">
        <v>24</v>
      </c>
    </row>
    <row r="187" spans="1:3" x14ac:dyDescent="0.3">
      <c r="A187" s="5">
        <v>18001</v>
      </c>
      <c r="B187" s="55">
        <v>-7.4972485467156139E-4</v>
      </c>
      <c r="C187" s="2" t="s">
        <v>24</v>
      </c>
    </row>
    <row r="188" spans="1:3" x14ac:dyDescent="0.3">
      <c r="A188" s="5">
        <v>24494</v>
      </c>
      <c r="B188" s="55">
        <v>2.9756017144741179E-3</v>
      </c>
      <c r="C188" s="2" t="s">
        <v>24</v>
      </c>
    </row>
    <row r="189" spans="1:3" x14ac:dyDescent="0.3">
      <c r="A189" s="5">
        <v>22996</v>
      </c>
      <c r="B189" s="55">
        <v>1.1086997546706926E-2</v>
      </c>
      <c r="C189" s="2" t="s">
        <v>24</v>
      </c>
    </row>
    <row r="190" spans="1:3" x14ac:dyDescent="0.3">
      <c r="A190" s="5">
        <v>39031</v>
      </c>
      <c r="B190" s="55">
        <v>2.1885278918832756E-3</v>
      </c>
      <c r="C190" s="2" t="s">
        <v>24</v>
      </c>
    </row>
    <row r="191" spans="1:3" x14ac:dyDescent="0.3">
      <c r="A191" s="5">
        <v>30987</v>
      </c>
      <c r="B191" s="55">
        <v>1.4029055733207443E-3</v>
      </c>
      <c r="C191" s="2" t="s">
        <v>24</v>
      </c>
    </row>
    <row r="192" spans="1:3" x14ac:dyDescent="0.3">
      <c r="A192" s="5">
        <v>11383</v>
      </c>
      <c r="B192" s="55">
        <v>1.2622336046830695E-2</v>
      </c>
      <c r="C192" s="2" t="s">
        <v>24</v>
      </c>
    </row>
    <row r="193" spans="1:3" x14ac:dyDescent="0.3">
      <c r="A193" s="5">
        <v>35801</v>
      </c>
      <c r="B193" s="55">
        <v>7.9689298043728429E-2</v>
      </c>
      <c r="C193" s="2" t="s">
        <v>24</v>
      </c>
    </row>
    <row r="194" spans="1:3" x14ac:dyDescent="0.3">
      <c r="A194" s="5">
        <v>20059</v>
      </c>
      <c r="B194" s="55">
        <v>8.8022790888170322E-4</v>
      </c>
      <c r="C194" s="2" t="s">
        <v>24</v>
      </c>
    </row>
    <row r="195" spans="1:3" x14ac:dyDescent="0.3">
      <c r="A195" s="5">
        <v>15969</v>
      </c>
      <c r="B195" s="55">
        <v>3.3667947287974553E-3</v>
      </c>
      <c r="C195" s="2" t="s">
        <v>24</v>
      </c>
    </row>
    <row r="196" spans="1:3" x14ac:dyDescent="0.3">
      <c r="A196" s="5">
        <v>39923</v>
      </c>
      <c r="B196" s="55">
        <v>7.1981098934404211E-4</v>
      </c>
      <c r="C196" s="2" t="s">
        <v>24</v>
      </c>
    </row>
    <row r="197" spans="1:3" x14ac:dyDescent="0.3">
      <c r="A197" s="5">
        <v>20733</v>
      </c>
      <c r="B197" s="55">
        <v>3.9239564305527366E-4</v>
      </c>
      <c r="C197" s="2" t="s">
        <v>24</v>
      </c>
    </row>
    <row r="198" spans="1:3" x14ac:dyDescent="0.3">
      <c r="A198" s="5">
        <v>14090</v>
      </c>
      <c r="B198" s="55">
        <v>6.0267642955734836E-3</v>
      </c>
      <c r="C198" s="2" t="s">
        <v>24</v>
      </c>
    </row>
    <row r="199" spans="1:3" x14ac:dyDescent="0.3">
      <c r="A199" s="5">
        <v>6832</v>
      </c>
      <c r="B199" s="55">
        <v>5.5706165282028861E-2</v>
      </c>
      <c r="C199" s="2" t="s">
        <v>24</v>
      </c>
    </row>
    <row r="200" spans="1:3" x14ac:dyDescent="0.3">
      <c r="A200" s="5">
        <v>7541</v>
      </c>
      <c r="B200" s="55">
        <v>5.8190830903102836E-3</v>
      </c>
      <c r="C200" s="2" t="s">
        <v>24</v>
      </c>
    </row>
    <row r="201" spans="1:3" x14ac:dyDescent="0.3">
      <c r="A201" s="5">
        <v>12174</v>
      </c>
      <c r="B201" s="55">
        <v>-4.0819787301048958E-3</v>
      </c>
      <c r="C201" s="2" t="s">
        <v>24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16</vt:i4>
      </vt:variant>
    </vt:vector>
  </HeadingPairs>
  <TitlesOfParts>
    <vt:vector size="40" baseType="lpstr">
      <vt:lpstr>Posts data</vt:lpstr>
      <vt:lpstr>Engagement summary data</vt:lpstr>
      <vt:lpstr>Campaign data </vt:lpstr>
      <vt:lpstr>Task 2.1</vt:lpstr>
      <vt:lpstr>Task 2.2</vt:lpstr>
      <vt:lpstr>Task 2.3 I</vt:lpstr>
      <vt:lpstr>Task 2.3 II</vt:lpstr>
      <vt:lpstr>Task 2.4</vt:lpstr>
      <vt:lpstr>Task 3.1</vt:lpstr>
      <vt:lpstr>Task 3.2</vt:lpstr>
      <vt:lpstr>Task 3.3</vt:lpstr>
      <vt:lpstr>Task 3.4</vt:lpstr>
      <vt:lpstr>Task 4.1</vt:lpstr>
      <vt:lpstr>Task 4.2</vt:lpstr>
      <vt:lpstr>Task 4.2 Data</vt:lpstr>
      <vt:lpstr>Task 4.3</vt:lpstr>
      <vt:lpstr>Task 4.4</vt:lpstr>
      <vt:lpstr>Task 5.1</vt:lpstr>
      <vt:lpstr>Task 5.2 I</vt:lpstr>
      <vt:lpstr>Task 5.2 II</vt:lpstr>
      <vt:lpstr>Task 6.1</vt:lpstr>
      <vt:lpstr>Task 6.2</vt:lpstr>
      <vt:lpstr>task 6.3</vt:lpstr>
      <vt:lpstr>Task 6.4</vt:lpstr>
      <vt:lpstr>Campaign_Name</vt:lpstr>
      <vt:lpstr>Clicks</vt:lpstr>
      <vt:lpstr>Comments</vt:lpstr>
      <vt:lpstr>Content_Type</vt:lpstr>
      <vt:lpstr>Date</vt:lpstr>
      <vt:lpstr>Engagement_rate</vt:lpstr>
      <vt:lpstr>Hashtag_1</vt:lpstr>
      <vt:lpstr>Hashtag_2</vt:lpstr>
      <vt:lpstr>Hashtag_3</vt:lpstr>
      <vt:lpstr>Impressions</vt:lpstr>
      <vt:lpstr>Likes</vt:lpstr>
      <vt:lpstr>Platform</vt:lpstr>
      <vt:lpstr>Post_ID</vt:lpstr>
      <vt:lpstr>Post_Text</vt:lpstr>
      <vt:lpstr>Reach</vt:lpstr>
      <vt:lpstr>Shares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Nilesh Bahirgaonkar</dc:creator>
  <cp:lastModifiedBy>Nilesh Bahirgaonkar</cp:lastModifiedBy>
  <dcterms:created xsi:type="dcterms:W3CDTF">2025-10-12T06:29:57Z</dcterms:created>
  <dcterms:modified xsi:type="dcterms:W3CDTF">2025-11-30T09:10:36Z</dcterms:modified>
</cp:coreProperties>
</file>